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workbookPr defaultThemeVersion="166925"/>
  <mc:AlternateContent xmlns:mc="http://schemas.openxmlformats.org/markup-compatibility/2006">
    <mc:Choice Requires="x15">
      <x15ac:absPath xmlns:x15ac="http://schemas.microsoft.com/office/spreadsheetml/2010/11/ac" url="C:\Users\Ken\Desktop\Working HACC Sheets\"/>
    </mc:Choice>
  </mc:AlternateContent>
  <xr:revisionPtr revIDLastSave="0" documentId="13_ncr:1_{1B64CBB5-B8D4-4C0B-BDBE-7163E42E6F16}" xr6:coauthVersionLast="45" xr6:coauthVersionMax="45" xr10:uidLastSave="{00000000-0000-0000-0000-000000000000}"/>
  <bookViews>
    <workbookView xWindow="-108" yWindow="-108" windowWidth="23256" windowHeight="12576" xr2:uid="{00000000-000D-0000-FFFF-FFFF00000000}"/>
  </bookViews>
  <sheets>
    <sheet name="UseEditKeys" sheetId="1" r:id="rId1"/>
  </sheets>
  <externalReferences>
    <externalReference r:id="rId2"/>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38" i="1" l="1"/>
  <c r="F22" i="1"/>
  <c r="F28" i="1"/>
  <c r="F8" i="1"/>
  <c r="F26" i="1"/>
  <c r="F12" i="1"/>
  <c r="F18" i="1"/>
  <c r="I37" i="1"/>
  <c r="F36" i="1"/>
  <c r="F24" i="1"/>
  <c r="F10" i="1"/>
  <c r="F32" i="1"/>
  <c r="F16" i="1"/>
  <c r="F14" i="1"/>
  <c r="F34" i="1"/>
  <c r="F20" i="1"/>
  <c r="F21" i="1"/>
  <c r="F30" i="1"/>
  <c r="D8" i="1"/>
  <c r="I8" i="1" l="1"/>
  <c r="I30" i="1"/>
  <c r="H30" i="1"/>
  <c r="H20" i="1"/>
  <c r="I20" i="1"/>
  <c r="I34" i="1"/>
  <c r="H34" i="1"/>
  <c r="I14" i="1"/>
  <c r="H14" i="1"/>
  <c r="I16" i="1"/>
  <c r="H16" i="1"/>
  <c r="H32" i="1"/>
  <c r="I32" i="1"/>
  <c r="H10" i="1"/>
  <c r="I10" i="1"/>
  <c r="I24" i="1"/>
  <c r="H24" i="1"/>
  <c r="I36" i="1"/>
  <c r="H36" i="1"/>
  <c r="H18" i="1"/>
  <c r="I18" i="1"/>
  <c r="I12" i="1"/>
  <c r="H12" i="1"/>
  <c r="I26" i="1"/>
  <c r="H26" i="1"/>
  <c r="H8" i="1"/>
  <c r="I28" i="1"/>
  <c r="H28" i="1"/>
  <c r="I22" i="1"/>
  <c r="H22" i="1"/>
  <c r="H37" i="1" l="1"/>
</calcChain>
</file>

<file path=xl/sharedStrings.xml><?xml version="1.0" encoding="utf-8"?>
<sst xmlns="http://schemas.openxmlformats.org/spreadsheetml/2006/main" count="17" uniqueCount="17">
  <si>
    <t>Chicago</t>
  </si>
  <si>
    <t>#end</t>
  </si>
  <si>
    <t>Mexico</t>
  </si>
  <si>
    <t>Howard</t>
  </si>
  <si>
    <t>house</t>
  </si>
  <si>
    <t>and</t>
  </si>
  <si>
    <t>nine</t>
  </si>
  <si>
    <t>seven</t>
  </si>
  <si>
    <t>sixty-eight</t>
  </si>
  <si>
    <t>father</t>
  </si>
  <si>
    <t>sister</t>
  </si>
  <si>
    <t>apartment</t>
  </si>
  <si>
    <t>school</t>
  </si>
  <si>
    <t>Thursday</t>
  </si>
  <si>
    <t>Use Backspace, Delete, Arrow Keys and Enter</t>
  </si>
  <si>
    <t>SCORE --&gt;</t>
  </si>
  <si>
    <t xml:space="preserve">Teacher: Enter student's name and misspell it on the right. Show student how to touch or Tab to each orange box, use arrow keys to move between letters, and Backspace to erase to the left or Delete to erase forward; then Enter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</si>
</sst>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theme="0"/>
      <name val="Calibri"/>
      <family val="2"/>
      <scheme val="minor"/>
    </font>
    <font>
      <sz val="24"/>
      <color theme="1"/>
      <name val="Calibri"/>
      <family val="2"/>
      <scheme val="minor"/>
    </font>
    <font>
      <sz val="18"/>
      <color theme="1"/>
      <name val="Calibri"/>
      <family val="2"/>
      <scheme val="minor"/>
    </font>
    <font>
      <i/>
      <sz val="18"/>
      <color theme="1"/>
      <name val="Calibri"/>
      <family val="2"/>
      <scheme val="minor"/>
    </font>
    <font>
      <sz val="24"/>
      <color theme="0"/>
      <name val="Calibri"/>
      <family val="2"/>
      <scheme val="minor"/>
    </font>
    <font>
      <sz val="16"/>
      <color theme="1"/>
      <name val="Calibri"/>
      <family val="2"/>
      <scheme val="minor"/>
    </font>
    <font>
      <sz val="18"/>
      <color theme="0"/>
      <name val="Calibri"/>
      <family val="2"/>
      <scheme val="minor"/>
    </font>
    <font>
      <i/>
      <sz val="11"/>
      <color theme="1"/>
      <name val="Calibri"/>
      <family val="2"/>
      <scheme val="minor"/>
    </font>
    <font>
      <i/>
      <sz val="13"/>
      <color theme="3" tint="0.39997558519241921"/>
      <name val="Calibri"/>
      <family val="2"/>
      <scheme val="minor"/>
    </font>
    <font>
      <i/>
      <sz val="12"/>
      <color theme="3" tint="0.39997558519241921"/>
      <name val="Calibri"/>
      <family val="2"/>
      <scheme val="minor"/>
    </font>
    <font>
      <sz val="8"/>
      <color rgb="FF000000"/>
      <name val="Verdana"/>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0" borderId="0" xfId="0" applyAlignment="1"/>
    <xf numFmtId="0" fontId="0" fillId="0" borderId="0" xfId="0" applyAlignment="1">
      <alignment vertical="center"/>
    </xf>
    <xf numFmtId="0" fontId="0" fillId="0" borderId="0" xfId="0" applyAlignment="1">
      <alignment horizontal="right" vertical="center" wrapText="1"/>
    </xf>
    <xf numFmtId="0" fontId="2" fillId="0" borderId="0" xfId="0" applyFont="1" applyAlignment="1">
      <alignment vertical="center"/>
    </xf>
    <xf numFmtId="0" fontId="2" fillId="0" borderId="0" xfId="0" applyFont="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0" fontId="5" fillId="0" borderId="0" xfId="0" applyFont="1" applyAlignment="1">
      <alignment horizontal="center" vertical="center"/>
    </xf>
    <xf numFmtId="9" fontId="6" fillId="0" borderId="0" xfId="0" applyNumberFormat="1" applyFont="1" applyAlignment="1">
      <alignment vertical="center"/>
    </xf>
    <xf numFmtId="0" fontId="6" fillId="0" borderId="0" xfId="0" applyFont="1" applyAlignment="1">
      <alignment horizontal="right" vertical="center"/>
    </xf>
    <xf numFmtId="0" fontId="4" fillId="0" borderId="0" xfId="0" applyFont="1" applyAlignment="1">
      <alignment horizontal="center" vertical="center"/>
    </xf>
    <xf numFmtId="0" fontId="1" fillId="0" borderId="0" xfId="0" applyFont="1"/>
    <xf numFmtId="0" fontId="7" fillId="0" borderId="0" xfId="0" applyFont="1" applyAlignment="1">
      <alignment horizontal="center" vertical="center"/>
    </xf>
    <xf numFmtId="0" fontId="1" fillId="0" borderId="0" xfId="0" applyFont="1" applyAlignment="1">
      <alignment vertical="center"/>
    </xf>
    <xf numFmtId="0" fontId="8" fillId="0" borderId="0" xfId="0" applyFont="1"/>
    <xf numFmtId="0" fontId="8" fillId="0" borderId="0" xfId="0" applyFont="1" applyAlignment="1">
      <alignment wrapText="1"/>
    </xf>
    <xf numFmtId="0" fontId="3" fillId="0" borderId="1" xfId="0" applyFont="1" applyBorder="1" applyAlignment="1">
      <alignment horizontal="center" vertical="center"/>
    </xf>
    <xf numFmtId="0" fontId="9" fillId="0" borderId="0" xfId="0" applyFont="1" applyAlignment="1">
      <alignment vertical="top" wrapText="1"/>
    </xf>
    <xf numFmtId="0" fontId="10" fillId="0" borderId="0" xfId="0" applyFont="1" applyAlignment="1">
      <alignment vertical="top" wrapText="1"/>
    </xf>
    <xf numFmtId="0" fontId="2" fillId="0" borderId="0" xfId="0" applyFont="1" applyAlignment="1">
      <alignment horizontal="center"/>
    </xf>
    <xf numFmtId="0" fontId="1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Ken/Desktop/WebWorksheet/webworkshee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wwsInput"/>
      <definedName name="wwsSetup"/>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46"/>
  <sheetViews>
    <sheetView tabSelected="1" topLeftCell="A29" workbookViewId="0">
      <selection activeCell="J39" sqref="J39"/>
    </sheetView>
  </sheetViews>
  <sheetFormatPr defaultRowHeight="14.4" x14ac:dyDescent="0.3"/>
  <cols>
    <col min="4" max="4" width="32.77734375" customWidth="1"/>
    <col min="5" max="5" width="1.88671875" customWidth="1"/>
    <col min="6" max="6" width="25.33203125" customWidth="1"/>
    <col min="7" max="7" width="1.88671875" customWidth="1"/>
    <col min="8" max="8" width="25" customWidth="1"/>
    <col min="9" max="9" width="1.6640625" style="12" customWidth="1"/>
    <col min="10" max="10" width="5.5546875" customWidth="1"/>
  </cols>
  <sheetData>
    <row r="1" spans="1:12" ht="72" customHeight="1" x14ac:dyDescent="0.3">
      <c r="A1" s="18" t="s">
        <v>16</v>
      </c>
      <c r="B1" s="18"/>
      <c r="C1" s="18"/>
      <c r="D1" s="18"/>
      <c r="E1" s="15"/>
      <c r="G1" s="15"/>
      <c r="I1" s="15"/>
    </row>
    <row r="2" spans="1:12" ht="37.799999999999997" customHeight="1" x14ac:dyDescent="0.3">
      <c r="B2" s="15"/>
      <c r="C2" s="15"/>
    </row>
    <row r="3" spans="1:12" x14ac:dyDescent="0.3">
      <c r="B3" s="15"/>
      <c r="C3" s="15"/>
      <c r="D3" s="20" t="s">
        <v>14</v>
      </c>
      <c r="E3" s="20"/>
      <c r="F3" s="20"/>
      <c r="G3" s="20"/>
      <c r="H3" s="20"/>
    </row>
    <row r="4" spans="1:12" x14ac:dyDescent="0.3">
      <c r="B4" s="15"/>
      <c r="C4" s="15"/>
      <c r="D4" s="20"/>
      <c r="E4" s="20"/>
      <c r="F4" s="20"/>
      <c r="G4" s="20"/>
      <c r="H4" s="20"/>
    </row>
    <row r="5" spans="1:12" x14ac:dyDescent="0.3">
      <c r="B5" s="15"/>
      <c r="C5" s="15"/>
    </row>
    <row r="6" spans="1:12" ht="19.2" customHeight="1" x14ac:dyDescent="0.3">
      <c r="A6" s="16"/>
      <c r="B6" s="16"/>
      <c r="C6" s="16"/>
      <c r="D6" s="3"/>
      <c r="E6" s="19"/>
      <c r="F6" s="19"/>
      <c r="G6" s="19"/>
      <c r="H6" s="19"/>
    </row>
    <row r="7" spans="1:12" ht="12" customHeight="1" x14ac:dyDescent="0.3">
      <c r="A7" s="16"/>
      <c r="B7" s="16"/>
      <c r="C7" s="16"/>
    </row>
    <row r="8" spans="1:12" s="2" customFormat="1" ht="25.95" customHeight="1" x14ac:dyDescent="0.3">
      <c r="D8" s="11" t="str">
        <f>[1]!wwsInput("(student's name)")</f>
        <v>(student's name)</v>
      </c>
      <c r="E8" s="4"/>
      <c r="F8" s="17" t="str">
        <f>[1]!wwsInput()</f>
        <v/>
      </c>
      <c r="G8" s="4"/>
      <c r="H8" s="6" t="str">
        <f>IF(EXACT(F8,D8),"GOOD","?")</f>
        <v>?</v>
      </c>
      <c r="I8" s="8">
        <f>IF(EXACT(D8,F8),1,0)</f>
        <v>0</v>
      </c>
      <c r="J8" s="5"/>
      <c r="K8" s="5"/>
      <c r="L8" s="5"/>
    </row>
    <row r="9" spans="1:12" ht="12" customHeight="1" x14ac:dyDescent="0.3"/>
    <row r="10" spans="1:12" s="7" customFormat="1" ht="25.95" customHeight="1" x14ac:dyDescent="0.3">
      <c r="D10" s="6" t="s">
        <v>0</v>
      </c>
      <c r="F10" s="17" t="str">
        <f>[1]!wwsInput("chiccago")</f>
        <v>chiccago</v>
      </c>
      <c r="H10" s="6" t="str">
        <f t="shared" ref="H10:H16" si="0">IF(EXACT(F10,D10),"GOOD","?")</f>
        <v>?</v>
      </c>
      <c r="I10" s="8">
        <f>IF(EXACT(D10,F10),1,0)</f>
        <v>0</v>
      </c>
    </row>
    <row r="11" spans="1:12" ht="12" customHeight="1" x14ac:dyDescent="0.3"/>
    <row r="12" spans="1:12" s="7" customFormat="1" ht="25.95" customHeight="1" x14ac:dyDescent="0.3">
      <c r="D12" s="6" t="s">
        <v>2</v>
      </c>
      <c r="F12" s="17" t="str">
        <f>[1]!wwsInput("mejico")</f>
        <v>mejico</v>
      </c>
      <c r="H12" s="6" t="str">
        <f t="shared" si="0"/>
        <v>?</v>
      </c>
      <c r="I12" s="8">
        <f>IF(EXACT(D12,F12),1,0)</f>
        <v>0</v>
      </c>
    </row>
    <row r="13" spans="1:12" ht="12" customHeight="1" x14ac:dyDescent="0.3"/>
    <row r="14" spans="1:12" s="7" customFormat="1" ht="25.95" customHeight="1" x14ac:dyDescent="0.3">
      <c r="D14" s="6" t="s">
        <v>3</v>
      </c>
      <c r="F14" s="17" t="str">
        <f>[1]!wwsInput("Howrd")</f>
        <v>Howrd</v>
      </c>
      <c r="H14" s="6" t="str">
        <f t="shared" si="0"/>
        <v>?</v>
      </c>
      <c r="I14" s="8">
        <f>IF(EXACT(D14,F14),1,0)</f>
        <v>0</v>
      </c>
    </row>
    <row r="15" spans="1:12" ht="12" customHeight="1" x14ac:dyDescent="0.3"/>
    <row r="16" spans="1:12" s="7" customFormat="1" ht="25.95" customHeight="1" x14ac:dyDescent="0.3">
      <c r="D16" s="6" t="s">
        <v>5</v>
      </c>
      <c r="F16" s="17" t="str">
        <f>[1]!wwsInput("adn")</f>
        <v>adn</v>
      </c>
      <c r="H16" s="6" t="str">
        <f t="shared" si="0"/>
        <v>?</v>
      </c>
      <c r="I16" s="8">
        <f>IF(EXACT(D16,F16),1,0)</f>
        <v>0</v>
      </c>
    </row>
    <row r="17" spans="4:11" ht="12" customHeight="1" x14ac:dyDescent="0.3"/>
    <row r="18" spans="4:11" s="7" customFormat="1" ht="25.95" customHeight="1" x14ac:dyDescent="0.3">
      <c r="D18" s="6" t="s">
        <v>6</v>
      </c>
      <c r="F18" s="17" t="str">
        <f>[1]!wwsInput("ninine")</f>
        <v>ninine</v>
      </c>
      <c r="H18" s="6" t="str">
        <f>IF(OR(F18=9,F18="nine"),"GOOD","?")</f>
        <v>?</v>
      </c>
      <c r="I18" s="13">
        <f>IF(OR(F18=9,F18="nine"),1,0)</f>
        <v>0</v>
      </c>
      <c r="K18" s="6"/>
    </row>
    <row r="19" spans="4:11" ht="12" customHeight="1" x14ac:dyDescent="0.3">
      <c r="H19" s="1"/>
    </row>
    <row r="20" spans="4:11" s="7" customFormat="1" ht="25.95" customHeight="1" x14ac:dyDescent="0.3">
      <c r="D20" s="6" t="s">
        <v>7</v>
      </c>
      <c r="F20" s="17" t="str">
        <f>[1]!wwsInput("svevn")</f>
        <v>svevn</v>
      </c>
      <c r="H20" s="6" t="str">
        <f>IF(OR(F20=7,F20="seven"),"GOOD","?")</f>
        <v>?</v>
      </c>
      <c r="I20" s="13">
        <f>IF(OR(F20=7,F20="seven"),1,0)</f>
        <v>0</v>
      </c>
    </row>
    <row r="21" spans="4:11" ht="12" customHeight="1" x14ac:dyDescent="0.3">
      <c r="F21" t="str">
        <f>[1]!wwsInput()</f>
        <v/>
      </c>
    </row>
    <row r="22" spans="4:11" s="7" customFormat="1" ht="25.95" customHeight="1" x14ac:dyDescent="0.3">
      <c r="D22" s="6">
        <v>2019</v>
      </c>
      <c r="F22" s="17" t="str">
        <f>[1]!wwsInput("20019")</f>
        <v>20019</v>
      </c>
      <c r="H22" s="6" t="str">
        <f>IF(EXACT(F22,D22),"GOOD","?")</f>
        <v>?</v>
      </c>
      <c r="I22" s="8">
        <f>IF(EXACT(D22,F22),1,0)</f>
        <v>0</v>
      </c>
    </row>
    <row r="23" spans="4:11" ht="12" customHeight="1" x14ac:dyDescent="0.3"/>
    <row r="24" spans="4:11" s="7" customFormat="1" ht="25.95" customHeight="1" x14ac:dyDescent="0.3">
      <c r="D24" s="6" t="s">
        <v>8</v>
      </c>
      <c r="F24" s="17" t="str">
        <f>[1]!wwsInput("sixty eight")</f>
        <v>sixty eight</v>
      </c>
      <c r="H24" s="6" t="str">
        <f>IF(OR(F24=68,F24="sixty-eight"),"GOOD","?")</f>
        <v>?</v>
      </c>
      <c r="I24" s="13">
        <f>IF(OR(F24=68,F24="sixty-eight"),1,0)</f>
        <v>0</v>
      </c>
    </row>
    <row r="25" spans="4:11" ht="12" customHeight="1" x14ac:dyDescent="0.3"/>
    <row r="26" spans="4:11" s="7" customFormat="1" ht="25.95" customHeight="1" x14ac:dyDescent="0.3">
      <c r="D26" s="6" t="s">
        <v>9</v>
      </c>
      <c r="F26" s="17" t="str">
        <f>[1]!wwsInput("farther")</f>
        <v>farther</v>
      </c>
      <c r="H26" s="6" t="str">
        <f t="shared" ref="H26" si="1">IF(EXACT(F26,D26),"GOOD","?")</f>
        <v>?</v>
      </c>
      <c r="I26" s="8">
        <f>IF(EXACT(D26,F26),1,0)</f>
        <v>0</v>
      </c>
    </row>
    <row r="27" spans="4:11" ht="12" customHeight="1" x14ac:dyDescent="0.3"/>
    <row r="28" spans="4:11" s="7" customFormat="1" ht="25.95" customHeight="1" x14ac:dyDescent="0.3">
      <c r="D28" s="6" t="s">
        <v>10</v>
      </c>
      <c r="F28" s="17" t="str">
        <f>[1]!wwsInput("sitster")</f>
        <v>sitster</v>
      </c>
      <c r="H28" s="6" t="str">
        <f>IF(EXACT(F28,D28),"GOOD","?")</f>
        <v>?</v>
      </c>
      <c r="I28" s="8">
        <f>IF(EXACT(D28,F28),1,0)</f>
        <v>0</v>
      </c>
    </row>
    <row r="29" spans="4:11" ht="12" customHeight="1" x14ac:dyDescent="0.3"/>
    <row r="30" spans="4:11" s="7" customFormat="1" ht="25.95" customHeight="1" x14ac:dyDescent="0.3">
      <c r="D30" s="6" t="s">
        <v>4</v>
      </c>
      <c r="F30" s="17" t="str">
        <f>[1]!wwsInput("hoose")</f>
        <v>hoose</v>
      </c>
      <c r="H30" s="6" t="str">
        <f t="shared" ref="H30:H36" si="2">IF(EXACT(F30,D30),"GOOD","?")</f>
        <v>?</v>
      </c>
      <c r="I30" s="8">
        <f>IF(EXACT(D30,F30),1,0)</f>
        <v>0</v>
      </c>
    </row>
    <row r="31" spans="4:11" ht="12" customHeight="1" x14ac:dyDescent="0.3"/>
    <row r="32" spans="4:11" s="7" customFormat="1" ht="25.95" customHeight="1" x14ac:dyDescent="0.3">
      <c r="D32" s="6" t="s">
        <v>11</v>
      </c>
      <c r="F32" s="17" t="str">
        <f>[1]!wwsInput("apratment")</f>
        <v>apratment</v>
      </c>
      <c r="H32" s="6" t="str">
        <f t="shared" si="2"/>
        <v>?</v>
      </c>
      <c r="I32" s="8">
        <f>IF(EXACT(D32,F32),1,0)</f>
        <v>0</v>
      </c>
    </row>
    <row r="33" spans="4:10" ht="12" customHeight="1" x14ac:dyDescent="0.3"/>
    <row r="34" spans="4:10" s="7" customFormat="1" ht="25.95" customHeight="1" x14ac:dyDescent="0.3">
      <c r="D34" s="6" t="s">
        <v>12</v>
      </c>
      <c r="F34" s="17" t="str">
        <f>[1]!wwsInput("skool")</f>
        <v>skool</v>
      </c>
      <c r="H34" s="6" t="str">
        <f t="shared" si="2"/>
        <v>?</v>
      </c>
      <c r="I34" s="8">
        <f>IF(EXACT(D34,F34),1,0)</f>
        <v>0</v>
      </c>
    </row>
    <row r="35" spans="4:10" ht="12" customHeight="1" x14ac:dyDescent="0.3"/>
    <row r="36" spans="4:10" s="7" customFormat="1" ht="25.95" customHeight="1" x14ac:dyDescent="0.3">
      <c r="D36" s="6" t="s">
        <v>13</v>
      </c>
      <c r="F36" s="17" t="str">
        <f>[1]!wwsInput("thurdsay")</f>
        <v>thurdsay</v>
      </c>
      <c r="H36" s="6" t="str">
        <f t="shared" si="2"/>
        <v>?</v>
      </c>
      <c r="I36" s="8">
        <f>IF(EXACT(D36,F36),1,0)</f>
        <v>0</v>
      </c>
    </row>
    <row r="37" spans="4:10" s="2" customFormat="1" ht="25.95" customHeight="1" x14ac:dyDescent="0.3">
      <c r="F37" s="10" t="s">
        <v>15</v>
      </c>
      <c r="H37" s="9">
        <f>SUM(I8:I36)/15</f>
        <v>0</v>
      </c>
      <c r="I37" s="14" t="str">
        <f>[1]!wwsInput()</f>
        <v/>
      </c>
    </row>
    <row r="38" spans="4:10" s="2" customFormat="1" ht="25.95" customHeight="1" x14ac:dyDescent="0.2">
      <c r="F38" s="5"/>
      <c r="H38" s="21" t="str">
        <f>[1]!wwsSetup("useHTTPS", TRUE)</f>
        <v>useHTTPS = "True"</v>
      </c>
      <c r="I38" s="14"/>
    </row>
    <row r="39" spans="4:10" s="2" customFormat="1" ht="25.95" customHeight="1" x14ac:dyDescent="0.3">
      <c r="I39" s="14"/>
      <c r="J39" s="2" t="s">
        <v>1</v>
      </c>
    </row>
    <row r="40" spans="4:10" s="2" customFormat="1" ht="25.95" customHeight="1" x14ac:dyDescent="0.3">
      <c r="H40" s="5"/>
      <c r="I40" s="14"/>
    </row>
    <row r="41" spans="4:10" s="2" customFormat="1" ht="25.95" customHeight="1" x14ac:dyDescent="0.3">
      <c r="H41" s="5"/>
      <c r="I41" s="14"/>
    </row>
    <row r="42" spans="4:10" s="2" customFormat="1" ht="25.95" customHeight="1" x14ac:dyDescent="0.3">
      <c r="H42" s="5"/>
      <c r="I42" s="14"/>
    </row>
    <row r="43" spans="4:10" s="2" customFormat="1" ht="25.95" customHeight="1" x14ac:dyDescent="0.3">
      <c r="H43" s="5"/>
      <c r="I43" s="14"/>
    </row>
    <row r="44" spans="4:10" s="2" customFormat="1" ht="25.95" customHeight="1" x14ac:dyDescent="0.3">
      <c r="H44" s="5"/>
      <c r="I44" s="14"/>
    </row>
    <row r="45" spans="4:10" s="2" customFormat="1" ht="25.95" customHeight="1" x14ac:dyDescent="0.3">
      <c r="H45" s="5"/>
      <c r="I45" s="14"/>
    </row>
    <row r="46" spans="4:10" s="2" customFormat="1" ht="25.95" customHeight="1" x14ac:dyDescent="0.3">
      <c r="H46" s="5"/>
      <c r="I46" s="14"/>
    </row>
  </sheetData>
  <mergeCells count="3">
    <mergeCell ref="A1:D1"/>
    <mergeCell ref="E6:H6"/>
    <mergeCell ref="D3:H4"/>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UseEditKeys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dc:creator>
  <cp:lastModifiedBy>Ken</cp:lastModifiedBy>
  <dcterms:created xsi:type="dcterms:W3CDTF">2019-10-28T12:48:50Z</dcterms:created>
  <dcterms:modified xsi:type="dcterms:W3CDTF">2019-11-01T23:34:27Z</dcterms:modified>
</cp:coreProperties>
</file>