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96BA9709-0112-40DA-A8FA-AFB067668D5C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Count by twos, tens, etc" sheetId="9" r:id="rId1"/>
    <sheet name="Convert word to numeral" sheetId="12" r:id="rId2"/>
    <sheet name="Convert numeral to word" sheetId="11" r:id="rId3"/>
  </sheets>
  <externalReferences>
    <externalReference r:id="rId4"/>
  </externalReferences>
  <calcPr calcId="181029"/>
  <webPublishObjects count="1">
    <webPublishObject id="2028" divId="Number tasks_2028" destinationFile="C:\Users\Ken\Desktop\Number tasks.mht" title="HACC ESL1 Number Tasks"/>
  </webPublishObjects>
</workbook>
</file>

<file path=xl/calcChain.xml><?xml version="1.0" encoding="utf-8"?>
<calcChain xmlns="http://schemas.openxmlformats.org/spreadsheetml/2006/main">
  <c r="A2" i="9" l="1"/>
  <c r="L8" i="9"/>
  <c r="A2" i="12" l="1"/>
  <c r="A2" i="11"/>
  <c r="D1" i="11"/>
  <c r="C14" i="11"/>
  <c r="C34" i="11"/>
  <c r="C30" i="11"/>
  <c r="C21" i="11"/>
  <c r="C26" i="11"/>
  <c r="C33" i="11"/>
  <c r="C19" i="11"/>
  <c r="C41" i="11"/>
  <c r="C28" i="11"/>
  <c r="C32" i="11"/>
  <c r="L28" i="9"/>
  <c r="C36" i="11"/>
  <c r="C35" i="11"/>
  <c r="C43" i="11"/>
  <c r="C13" i="11"/>
  <c r="C17" i="11"/>
  <c r="C31" i="11"/>
  <c r="C40" i="11"/>
  <c r="C42" i="11"/>
  <c r="C16" i="11"/>
  <c r="C24" i="11"/>
  <c r="E1" i="9"/>
  <c r="C25" i="11"/>
  <c r="C39" i="11"/>
  <c r="C22" i="11"/>
  <c r="K28" i="9"/>
  <c r="C23" i="11"/>
  <c r="C15" i="11"/>
  <c r="C38" i="11"/>
  <c r="C29" i="11"/>
  <c r="C37" i="11"/>
  <c r="C18" i="11"/>
  <c r="C27" i="11"/>
  <c r="C20" i="11"/>
  <c r="A16" i="12" l="1"/>
  <c r="A17" i="12" s="1"/>
  <c r="A18" i="12" s="1"/>
  <c r="A19" i="12" s="1"/>
  <c r="A20" i="12" s="1"/>
  <c r="A21" i="12" s="1"/>
  <c r="A22" i="12" s="1"/>
  <c r="A23" i="12" s="1"/>
  <c r="A24" i="12" s="1"/>
  <c r="A25" i="12" s="1"/>
  <c r="F15" i="12"/>
  <c r="F14" i="12"/>
  <c r="F13" i="12"/>
  <c r="F12" i="12"/>
  <c r="F11" i="12"/>
  <c r="F10" i="12"/>
  <c r="F9" i="12"/>
  <c r="F8" i="12"/>
  <c r="F7" i="12"/>
  <c r="F6" i="12"/>
  <c r="C37" i="12"/>
  <c r="C29" i="12"/>
  <c r="C19" i="12"/>
  <c r="C4" i="12"/>
  <c r="C21" i="12"/>
  <c r="C34" i="12"/>
  <c r="C25" i="12"/>
  <c r="D1" i="12"/>
  <c r="C24" i="12"/>
  <c r="C10" i="12"/>
  <c r="H16" i="9"/>
  <c r="C33" i="12"/>
  <c r="I16" i="9"/>
  <c r="G16" i="9"/>
  <c r="C14" i="12"/>
  <c r="C11" i="12"/>
  <c r="C38" i="12"/>
  <c r="C22" i="12"/>
  <c r="C6" i="12"/>
  <c r="C17" i="12"/>
  <c r="C26" i="12"/>
  <c r="C32" i="12"/>
  <c r="C35" i="12"/>
  <c r="C16" i="12"/>
  <c r="C42" i="12"/>
  <c r="C15" i="12"/>
  <c r="C20" i="12"/>
  <c r="C18" i="12"/>
  <c r="C23" i="12"/>
  <c r="C40" i="12"/>
  <c r="C39" i="12"/>
  <c r="C41" i="12"/>
  <c r="F16" i="9"/>
  <c r="C36" i="12"/>
  <c r="J16" i="9"/>
  <c r="C28" i="12"/>
  <c r="C12" i="12"/>
  <c r="C30" i="12"/>
  <c r="K16" i="9"/>
  <c r="C27" i="12"/>
  <c r="C7" i="12"/>
  <c r="L16" i="9"/>
  <c r="E16" i="9"/>
  <c r="C43" i="12"/>
  <c r="C13" i="12"/>
  <c r="C31" i="12"/>
  <c r="D12" i="12" l="1"/>
  <c r="E12" i="12" s="1"/>
  <c r="D11" i="12"/>
  <c r="E11" i="12" s="1"/>
  <c r="D19" i="12"/>
  <c r="E19" i="12" s="1"/>
  <c r="D22" i="12"/>
  <c r="E22" i="12" s="1"/>
  <c r="D25" i="12"/>
  <c r="E25" i="12" s="1"/>
  <c r="D27" i="12"/>
  <c r="E27" i="12" s="1"/>
  <c r="D29" i="12"/>
  <c r="E29" i="12" s="1"/>
  <c r="D31" i="12"/>
  <c r="E31" i="12" s="1"/>
  <c r="D33" i="12"/>
  <c r="E33" i="12" s="1"/>
  <c r="D35" i="12"/>
  <c r="E35" i="12" s="1"/>
  <c r="D37" i="12"/>
  <c r="E37" i="12" s="1"/>
  <c r="D39" i="12"/>
  <c r="E39" i="12" s="1"/>
  <c r="D41" i="12"/>
  <c r="E41" i="12" s="1"/>
  <c r="D7" i="12"/>
  <c r="E7" i="12" s="1"/>
  <c r="D10" i="12"/>
  <c r="E10" i="12" s="1"/>
  <c r="D15" i="12"/>
  <c r="E15" i="12" s="1"/>
  <c r="D8" i="12"/>
  <c r="E8" i="12" s="1"/>
  <c r="D13" i="12"/>
  <c r="E13" i="12" s="1"/>
  <c r="D16" i="12"/>
  <c r="E16" i="12" s="1"/>
  <c r="D21" i="12"/>
  <c r="E21" i="12" s="1"/>
  <c r="D40" i="12"/>
  <c r="E40" i="12" s="1"/>
  <c r="D18" i="12"/>
  <c r="E18" i="12" s="1"/>
  <c r="D24" i="12"/>
  <c r="E24" i="12" s="1"/>
  <c r="D6" i="12"/>
  <c r="E6" i="12" s="1"/>
  <c r="D9" i="12"/>
  <c r="E9" i="12" s="1"/>
  <c r="D14" i="12"/>
  <c r="E14" i="12" s="1"/>
  <c r="D26" i="12"/>
  <c r="E26" i="12" s="1"/>
  <c r="D28" i="12"/>
  <c r="E28" i="12" s="1"/>
  <c r="D30" i="12"/>
  <c r="E30" i="12" s="1"/>
  <c r="D32" i="12"/>
  <c r="E32" i="12" s="1"/>
  <c r="D34" i="12"/>
  <c r="E34" i="12" s="1"/>
  <c r="D36" i="12"/>
  <c r="E36" i="12" s="1"/>
  <c r="D38" i="12"/>
  <c r="E38" i="12" s="1"/>
  <c r="D42" i="12"/>
  <c r="E42" i="12" s="1"/>
  <c r="D17" i="12"/>
  <c r="E17" i="12" s="1"/>
  <c r="D20" i="12"/>
  <c r="E20" i="12" s="1"/>
  <c r="D23" i="12"/>
  <c r="E23" i="12" s="1"/>
  <c r="D43" i="12" l="1"/>
  <c r="C11" i="9"/>
  <c r="I24" i="9"/>
  <c r="I12" i="9"/>
  <c r="I8" i="9"/>
  <c r="G12" i="9"/>
  <c r="H12" i="9"/>
  <c r="K12" i="9"/>
  <c r="G24" i="9"/>
  <c r="J12" i="9"/>
  <c r="H24" i="9"/>
  <c r="D8" i="9"/>
  <c r="L24" i="9"/>
  <c r="D24" i="9"/>
  <c r="G8" i="9"/>
  <c r="D12" i="9"/>
  <c r="L12" i="9"/>
  <c r="H11" i="9" l="1"/>
  <c r="I23" i="9"/>
  <c r="D23" i="9"/>
  <c r="G23" i="9"/>
  <c r="L23" i="9"/>
  <c r="I11" i="9"/>
  <c r="H23" i="9"/>
  <c r="D11" i="9"/>
  <c r="D7" i="9"/>
  <c r="G7" i="9"/>
  <c r="I7" i="9"/>
  <c r="L7" i="9"/>
  <c r="L11" i="9"/>
  <c r="G11" i="9"/>
  <c r="J11" i="9"/>
  <c r="K11" i="9"/>
  <c r="G28" i="9"/>
  <c r="J20" i="9"/>
  <c r="L20" i="9"/>
  <c r="C8" i="11"/>
  <c r="M28" i="9"/>
  <c r="F28" i="9"/>
  <c r="C12" i="11"/>
  <c r="G20" i="9"/>
  <c r="E20" i="9"/>
  <c r="H20" i="9"/>
  <c r="F20" i="9"/>
  <c r="K20" i="9"/>
  <c r="H28" i="9"/>
  <c r="I20" i="9"/>
  <c r="C10" i="11"/>
  <c r="J28" i="9"/>
  <c r="C4" i="11"/>
  <c r="C6" i="11"/>
  <c r="C9" i="11"/>
  <c r="I28" i="9"/>
  <c r="C11" i="11"/>
  <c r="E28" i="9"/>
  <c r="C7" i="11"/>
  <c r="E15" i="9" l="1"/>
  <c r="K15" i="9"/>
  <c r="G19" i="9"/>
  <c r="H27" i="9"/>
  <c r="F15" i="9"/>
  <c r="L15" i="9"/>
  <c r="H19" i="9"/>
  <c r="I27" i="9"/>
  <c r="G15" i="9"/>
  <c r="I19" i="9"/>
  <c r="J27" i="9"/>
  <c r="H15" i="9"/>
  <c r="J19" i="9"/>
  <c r="E27" i="9"/>
  <c r="K27" i="9"/>
  <c r="I15" i="9"/>
  <c r="E19" i="9"/>
  <c r="K19" i="9"/>
  <c r="F27" i="9"/>
  <c r="L27" i="9"/>
  <c r="J15" i="9"/>
  <c r="F19" i="9"/>
  <c r="L19" i="9"/>
  <c r="G27" i="9"/>
  <c r="M27" i="9"/>
  <c r="D42" i="11"/>
  <c r="E42" i="11" s="1"/>
  <c r="D41" i="11"/>
  <c r="E41" i="11" s="1"/>
  <c r="D40" i="11"/>
  <c r="E40" i="11" s="1"/>
  <c r="D39" i="11"/>
  <c r="E39" i="11" s="1"/>
  <c r="D38" i="11"/>
  <c r="E38" i="11" s="1"/>
  <c r="D37" i="11"/>
  <c r="E37" i="11" s="1"/>
  <c r="D36" i="11"/>
  <c r="E36" i="11" s="1"/>
  <c r="D35" i="11"/>
  <c r="E35" i="11" s="1"/>
  <c r="D34" i="11"/>
  <c r="E34" i="11" s="1"/>
  <c r="D33" i="11"/>
  <c r="E33" i="11" s="1"/>
  <c r="D32" i="11"/>
  <c r="E32" i="11" s="1"/>
  <c r="D31" i="11"/>
  <c r="E31" i="11" s="1"/>
  <c r="D30" i="11"/>
  <c r="E30" i="11" s="1"/>
  <c r="D29" i="11"/>
  <c r="E29" i="11" s="1"/>
  <c r="D28" i="11"/>
  <c r="E28" i="11" s="1"/>
  <c r="D27" i="11"/>
  <c r="E27" i="11" s="1"/>
  <c r="D26" i="11"/>
  <c r="E26" i="11" s="1"/>
  <c r="D25" i="11"/>
  <c r="E25" i="11" s="1"/>
  <c r="D24" i="11"/>
  <c r="E24" i="11" s="1"/>
  <c r="D23" i="11"/>
  <c r="E23" i="11" s="1"/>
  <c r="D22" i="11"/>
  <c r="E22" i="11" s="1"/>
  <c r="D21" i="11"/>
  <c r="E21" i="11" s="1"/>
  <c r="D20" i="11"/>
  <c r="E20" i="11" s="1"/>
  <c r="D19" i="11"/>
  <c r="E19" i="11" s="1"/>
  <c r="D18" i="11"/>
  <c r="E18" i="11" s="1"/>
  <c r="D17" i="11"/>
  <c r="E17" i="11" s="1"/>
  <c r="D16" i="11"/>
  <c r="E16" i="11" s="1"/>
  <c r="D15" i="11"/>
  <c r="E15" i="11" s="1"/>
  <c r="D14" i="11"/>
  <c r="E14" i="11" s="1"/>
  <c r="D13" i="11"/>
  <c r="E13" i="11" s="1"/>
  <c r="D12" i="11"/>
  <c r="E12" i="11" s="1"/>
  <c r="D11" i="11"/>
  <c r="E11" i="11" s="1"/>
  <c r="D10" i="11"/>
  <c r="E10" i="11" s="1"/>
  <c r="D9" i="11"/>
  <c r="E9" i="11" s="1"/>
  <c r="D8" i="11"/>
  <c r="E8" i="11" s="1"/>
  <c r="D7" i="11"/>
  <c r="E7" i="11" s="1"/>
  <c r="D6" i="11"/>
  <c r="E6" i="11" s="1"/>
  <c r="D43" i="11" l="1"/>
</calcChain>
</file>

<file path=xl/sharedStrings.xml><?xml version="1.0" encoding="utf-8"?>
<sst xmlns="http://schemas.openxmlformats.org/spreadsheetml/2006/main" count="91" uniqueCount="47">
  <si>
    <t>Name</t>
  </si>
  <si>
    <t>one</t>
  </si>
  <si>
    <t>eleven</t>
  </si>
  <si>
    <t>two</t>
  </si>
  <si>
    <t>twelve</t>
  </si>
  <si>
    <t>three</t>
  </si>
  <si>
    <t>thirteen</t>
  </si>
  <si>
    <t>four</t>
  </si>
  <si>
    <t>fourteen</t>
  </si>
  <si>
    <t>five</t>
  </si>
  <si>
    <t>fifteen</t>
  </si>
  <si>
    <t>six</t>
  </si>
  <si>
    <t>sixteen</t>
  </si>
  <si>
    <t>seven</t>
  </si>
  <si>
    <t>seventeen</t>
  </si>
  <si>
    <t>eight</t>
  </si>
  <si>
    <t>eighteen</t>
  </si>
  <si>
    <t>nine</t>
  </si>
  <si>
    <t>nineteen</t>
  </si>
  <si>
    <t>ten</t>
  </si>
  <si>
    <t>twenty</t>
  </si>
  <si>
    <t>#end</t>
  </si>
  <si>
    <t>twenty-one</t>
  </si>
  <si>
    <t>twenty-seven</t>
  </si>
  <si>
    <t>twenty-nine</t>
  </si>
  <si>
    <t>thirty</t>
  </si>
  <si>
    <t>thirty-two</t>
  </si>
  <si>
    <t>thirty-six</t>
  </si>
  <si>
    <t>forty</t>
  </si>
  <si>
    <t>fifty-four</t>
  </si>
  <si>
    <t>seventy-one</t>
  </si>
  <si>
    <t>ninety-three</t>
  </si>
  <si>
    <t>forty-two</t>
  </si>
  <si>
    <t>thirty-eight</t>
  </si>
  <si>
    <t>eighty-three</t>
  </si>
  <si>
    <t>one hundred</t>
  </si>
  <si>
    <t>one hundred six</t>
  </si>
  <si>
    <t>seventy-six</t>
  </si>
  <si>
    <t>two hundred twelve</t>
  </si>
  <si>
    <t>(count by tens)</t>
  </si>
  <si>
    <t>(count by fives)</t>
  </si>
  <si>
    <t>(count by twos)</t>
  </si>
  <si>
    <t>Convert word to numeral</t>
  </si>
  <si>
    <t>CORRECT!</t>
  </si>
  <si>
    <t>The reverse task is</t>
  </si>
  <si>
    <t>Convert numeral to word</t>
  </si>
  <si>
    <t>Fill in the 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</si>
</sst>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omic Sans MS"/>
      <family val="4"/>
    </font>
    <font>
      <sz val="20"/>
      <color theme="0"/>
      <name val="Comic Sans MS"/>
      <family val="4"/>
    </font>
    <font>
      <sz val="11"/>
      <name val="Calibri"/>
      <family val="2"/>
      <scheme val="minor"/>
    </font>
    <font>
      <sz val="20"/>
      <name val="Comic Sans MS"/>
      <family val="4"/>
    </font>
    <font>
      <u/>
      <sz val="11"/>
      <color theme="10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0"/>
      <name val="Comic Sans MS"/>
      <family val="4"/>
    </font>
    <font>
      <sz val="18"/>
      <name val="Calibri"/>
      <family val="2"/>
      <scheme val="minor"/>
    </font>
    <font>
      <sz val="16"/>
      <name val="Calibri"/>
      <family val="2"/>
      <scheme val="minor"/>
    </font>
    <font>
      <i/>
      <sz val="12"/>
      <color theme="1"/>
      <name val="Calibri"/>
      <family val="2"/>
    </font>
    <font>
      <sz val="18"/>
      <color theme="1"/>
      <name val="Bodoni MT"/>
      <family val="1"/>
    </font>
    <font>
      <sz val="16"/>
      <color theme="1"/>
      <name val="Calibri"/>
      <family val="2"/>
      <scheme val="minor"/>
    </font>
    <font>
      <sz val="18"/>
      <name val="Bodoni MT"/>
      <family val="1"/>
    </font>
    <font>
      <i/>
      <sz val="12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Protection="1"/>
    <xf numFmtId="0" fontId="2" fillId="0" borderId="0" xfId="0" applyFont="1" applyBorder="1" applyAlignment="1" applyProtection="1">
      <alignment horizontal="center"/>
    </xf>
    <xf numFmtId="0" fontId="0" fillId="0" borderId="0" xfId="0" applyBorder="1" applyProtection="1"/>
    <xf numFmtId="0" fontId="1" fillId="0" borderId="0" xfId="0" applyFont="1" applyProtection="1"/>
    <xf numFmtId="0" fontId="0" fillId="0" borderId="0" xfId="0" applyBorder="1" applyAlignment="1" applyProtection="1">
      <alignment horizontal="center"/>
    </xf>
    <xf numFmtId="0" fontId="0" fillId="0" borderId="0" xfId="0" applyBorder="1" applyAlignment="1" applyProtection="1">
      <alignment horizontal="left"/>
    </xf>
    <xf numFmtId="0" fontId="1" fillId="0" borderId="0" xfId="0" applyFont="1" applyBorder="1" applyProtection="1"/>
    <xf numFmtId="0" fontId="2" fillId="2" borderId="0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center"/>
    </xf>
    <xf numFmtId="0" fontId="4" fillId="0" borderId="0" xfId="0" applyFont="1"/>
    <xf numFmtId="0" fontId="4" fillId="0" borderId="0" xfId="0" applyFont="1" applyProtection="1"/>
    <xf numFmtId="0" fontId="4" fillId="0" borderId="2" xfId="0" applyFont="1" applyBorder="1" applyAlignment="1" applyProtection="1">
      <alignment horizontal="center" vertical="center"/>
    </xf>
    <xf numFmtId="0" fontId="5" fillId="0" borderId="2" xfId="0" applyFont="1" applyBorder="1" applyAlignment="1" applyProtection="1">
      <alignment horizontal="center"/>
    </xf>
    <xf numFmtId="0" fontId="5" fillId="2" borderId="2" xfId="0" applyFont="1" applyFill="1" applyBorder="1" applyAlignment="1" applyProtection="1">
      <alignment horizontal="center"/>
      <protection locked="0"/>
    </xf>
    <xf numFmtId="0" fontId="2" fillId="2" borderId="0" xfId="0" applyFont="1" applyFill="1" applyBorder="1" applyAlignment="1" applyProtection="1">
      <alignment horizontal="right"/>
      <protection locked="0"/>
    </xf>
    <xf numFmtId="0" fontId="2" fillId="3" borderId="0" xfId="0" applyFont="1" applyFill="1" applyBorder="1" applyAlignment="1" applyProtection="1">
      <alignment horizontal="right"/>
      <protection locked="0"/>
    </xf>
    <xf numFmtId="0" fontId="0" fillId="3" borderId="0" xfId="0" applyFill="1"/>
    <xf numFmtId="0" fontId="5" fillId="3" borderId="2" xfId="0" applyFont="1" applyFill="1" applyBorder="1" applyAlignment="1" applyProtection="1">
      <alignment horizontal="center"/>
      <protection locked="0"/>
    </xf>
    <xf numFmtId="0" fontId="4" fillId="3" borderId="0" xfId="0" applyFont="1" applyFill="1" applyBorder="1" applyProtection="1"/>
    <xf numFmtId="0" fontId="4" fillId="3" borderId="0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 applyProtection="1">
      <alignment vertical="center"/>
    </xf>
    <xf numFmtId="0" fontId="0" fillId="3" borderId="0" xfId="0" applyFill="1" applyBorder="1"/>
    <xf numFmtId="0" fontId="5" fillId="2" borderId="2" xfId="0" applyFont="1" applyFill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vertical="center"/>
    </xf>
    <xf numFmtId="0" fontId="4" fillId="0" borderId="0" xfId="0" applyFont="1" applyAlignment="1">
      <alignment vertical="center"/>
    </xf>
    <xf numFmtId="0" fontId="4" fillId="0" borderId="1" xfId="0" applyFont="1" applyBorder="1" applyAlignment="1" applyProtection="1">
      <alignment horizontal="left" vertical="center"/>
    </xf>
    <xf numFmtId="0" fontId="7" fillId="3" borderId="0" xfId="0" applyFont="1" applyFill="1"/>
    <xf numFmtId="0" fontId="7" fillId="3" borderId="0" xfId="0" applyFont="1" applyFill="1" applyProtection="1"/>
    <xf numFmtId="0" fontId="8" fillId="3" borderId="0" xfId="0" applyFont="1" applyFill="1" applyBorder="1" applyAlignment="1" applyProtection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Border="1"/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2" xfId="0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 applyAlignment="1">
      <alignment vertical="center"/>
    </xf>
    <xf numFmtId="0" fontId="2" fillId="3" borderId="0" xfId="0" applyFont="1" applyFill="1" applyBorder="1" applyAlignment="1">
      <alignment horizontal="center"/>
    </xf>
    <xf numFmtId="0" fontId="2" fillId="3" borderId="0" xfId="0" applyFont="1" applyFill="1" applyBorder="1" applyAlignment="1" applyProtection="1">
      <alignment horizontal="center"/>
      <protection locked="0"/>
    </xf>
    <xf numFmtId="0" fontId="1" fillId="3" borderId="0" xfId="0" applyFont="1" applyFill="1" applyBorder="1" applyProtection="1"/>
    <xf numFmtId="0" fontId="1" fillId="3" borderId="0" xfId="0" applyFont="1" applyFill="1" applyBorder="1" applyAlignment="1" applyProtection="1">
      <alignment horizontal="center" vertical="center"/>
    </xf>
    <xf numFmtId="0" fontId="1" fillId="3" borderId="0" xfId="0" applyFont="1" applyFill="1" applyBorder="1" applyAlignment="1" applyProtection="1">
      <alignment vertical="center"/>
    </xf>
    <xf numFmtId="0" fontId="3" fillId="3" borderId="0" xfId="0" applyFont="1" applyFill="1" applyBorder="1" applyAlignment="1" applyProtection="1">
      <alignment horizontal="center"/>
      <protection locked="0"/>
    </xf>
    <xf numFmtId="0" fontId="1" fillId="3" borderId="0" xfId="0" applyFont="1" applyFill="1" applyBorder="1"/>
    <xf numFmtId="0" fontId="1" fillId="0" borderId="0" xfId="0" applyFont="1" applyBorder="1"/>
    <xf numFmtId="0" fontId="1" fillId="3" borderId="0" xfId="0" applyFont="1" applyFill="1" applyBorder="1" applyAlignment="1" applyProtection="1">
      <alignment horizontal="left" vertical="center"/>
    </xf>
    <xf numFmtId="0" fontId="4" fillId="3" borderId="0" xfId="0" applyFont="1" applyFill="1"/>
    <xf numFmtId="9" fontId="9" fillId="3" borderId="0" xfId="0" applyNumberFormat="1" applyFont="1" applyFill="1"/>
    <xf numFmtId="0" fontId="10" fillId="3" borderId="0" xfId="0" applyFont="1" applyFill="1"/>
    <xf numFmtId="0" fontId="4" fillId="0" borderId="0" xfId="0" applyFont="1" applyBorder="1" applyAlignment="1">
      <alignment horizontal="right" vertical="center"/>
    </xf>
    <xf numFmtId="0" fontId="7" fillId="3" borderId="0" xfId="0" applyFont="1" applyFill="1" applyBorder="1"/>
    <xf numFmtId="0" fontId="2" fillId="0" borderId="0" xfId="0" applyFont="1" applyBorder="1" applyAlignment="1">
      <alignment horizontal="right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2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13" fillId="0" borderId="0" xfId="0" applyFont="1" applyBorder="1" applyAlignment="1">
      <alignment horizontal="right"/>
    </xf>
    <xf numFmtId="9" fontId="9" fillId="3" borderId="0" xfId="0" applyNumberFormat="1" applyFont="1" applyFill="1" applyBorder="1" applyAlignment="1">
      <alignment horizontal="center"/>
    </xf>
    <xf numFmtId="0" fontId="10" fillId="3" borderId="0" xfId="0" applyFont="1" applyFill="1" applyAlignment="1">
      <alignment horizontal="right"/>
    </xf>
    <xf numFmtId="0" fontId="6" fillId="0" borderId="0" xfId="1" applyAlignment="1">
      <alignment vertical="center"/>
    </xf>
    <xf numFmtId="0" fontId="6" fillId="0" borderId="0" xfId="1"/>
    <xf numFmtId="0" fontId="1" fillId="0" borderId="0" xfId="0" applyFont="1"/>
    <xf numFmtId="0" fontId="4" fillId="0" borderId="0" xfId="0" applyFont="1"/>
    <xf numFmtId="0" fontId="14" fillId="0" borderId="0" xfId="0" applyFont="1" applyBorder="1" applyAlignment="1">
      <alignment horizontal="left"/>
    </xf>
    <xf numFmtId="0" fontId="15" fillId="0" borderId="0" xfId="0" applyFont="1" applyBorder="1" applyAlignment="1" applyProtection="1">
      <alignment horizontal="left"/>
      <protection locked="0"/>
    </xf>
    <xf numFmtId="0" fontId="13" fillId="0" borderId="0" xfId="0" applyFont="1" applyBorder="1"/>
    <xf numFmtId="0" fontId="12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11" fillId="0" borderId="0" xfId="0" applyFont="1" applyBorder="1" applyAlignment="1" applyProtection="1">
      <alignment horizontal="left"/>
      <protection locked="0"/>
    </xf>
    <xf numFmtId="0" fontId="6" fillId="4" borderId="0" xfId="1" applyFill="1" applyBorder="1" applyAlignment="1">
      <alignment vertical="center"/>
    </xf>
    <xf numFmtId="0" fontId="2" fillId="2" borderId="0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left"/>
    </xf>
    <xf numFmtId="0" fontId="11" fillId="0" borderId="0" xfId="0" applyFont="1" applyAlignment="1" applyProtection="1">
      <alignment horizontal="left"/>
      <protection locked="0"/>
    </xf>
    <xf numFmtId="0" fontId="12" fillId="0" borderId="0" xfId="0" applyFont="1" applyAlignment="1">
      <alignment horizontal="left"/>
    </xf>
  </cellXfs>
  <cellStyles count="2">
    <cellStyle name="Hyperlink" xfId="1" builtinId="8"/>
    <cellStyle name="Normal" xfId="0" builtinId="0"/>
  </cellStyles>
  <dxfs count="109"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</dxfs>
  <tableStyles count="0" defaultTableStyle="TableStyleMedium2" defaultPivotStyle="PivotStyleLight16"/>
  <colors>
    <mruColors>
      <color rgb="FFCCFF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Convert_numeral_to_word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Convert_word_to_numeral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2A45D-6EB7-4B67-A70D-4392E0ADFB16}">
  <dimension ref="A1:N46"/>
  <sheetViews>
    <sheetView showGridLines="0" tabSelected="1" workbookViewId="0">
      <selection activeCell="E1" sqref="E1"/>
    </sheetView>
  </sheetViews>
  <sheetFormatPr defaultRowHeight="14.4" x14ac:dyDescent="0.3"/>
  <sheetData>
    <row r="1" spans="1:13" ht="25.05" customHeight="1" x14ac:dyDescent="0.45">
      <c r="A1" s="67" t="s">
        <v>46</v>
      </c>
      <c r="B1" s="67"/>
      <c r="C1" s="67"/>
      <c r="E1" s="65" t="str">
        <f>[1]!wwsSetup("useHTTPS",TRUE)</f>
        <v>useHTTPS = "True"</v>
      </c>
      <c r="F1" s="11"/>
      <c r="G1" s="11"/>
      <c r="H1" s="11"/>
    </row>
    <row r="2" spans="1:13" ht="25.05" customHeight="1" x14ac:dyDescent="0.3">
      <c r="A2" s="68" t="str">
        <f>CONCATENATE("©ESLatHoward.com"," ","7/28/20")</f>
        <v>©ESLatHoward.com 7/28/20</v>
      </c>
      <c r="B2" s="68"/>
      <c r="C2" s="68"/>
      <c r="D2" s="11"/>
      <c r="E2" s="11"/>
      <c r="F2" s="11"/>
      <c r="G2" s="11"/>
      <c r="H2" s="11"/>
    </row>
    <row r="3" spans="1:13" x14ac:dyDescent="0.3">
      <c r="A3" s="66"/>
      <c r="B3" s="66"/>
      <c r="C3" s="66"/>
      <c r="D3" s="66"/>
      <c r="E3" s="66"/>
      <c r="F3" s="11"/>
      <c r="G3" s="11"/>
      <c r="H3" s="11"/>
    </row>
    <row r="4" spans="1:13" x14ac:dyDescent="0.3">
      <c r="A4" s="11"/>
      <c r="B4" s="11"/>
      <c r="C4" s="11"/>
      <c r="D4" s="11"/>
      <c r="E4" s="11"/>
      <c r="F4" s="11"/>
      <c r="G4" s="11"/>
      <c r="H4" s="11"/>
    </row>
    <row r="5" spans="1:13" x14ac:dyDescent="0.3">
      <c r="A5" s="11"/>
      <c r="B5" s="11"/>
      <c r="C5" s="11"/>
      <c r="D5" s="11"/>
      <c r="E5" s="11"/>
      <c r="F5" s="11"/>
      <c r="G5" s="11"/>
      <c r="H5" s="11"/>
    </row>
    <row r="7" spans="1:13" x14ac:dyDescent="0.3">
      <c r="D7" s="34" t="e">
        <f>IF(D8,IF(D8=2,"yes","no"),"")</f>
        <v>#VALUE!</v>
      </c>
      <c r="E7" s="35"/>
      <c r="F7" s="35"/>
      <c r="G7" s="34" t="e">
        <f>IF(G8,IF(G8=5,"yes","no"),"")</f>
        <v>#VALUE!</v>
      </c>
      <c r="H7" s="35"/>
      <c r="I7" s="34" t="e">
        <f>IF(I8,IF(I8=7,"yes","no"),"")</f>
        <v>#VALUE!</v>
      </c>
      <c r="J7" s="35"/>
      <c r="K7" s="35"/>
      <c r="L7" s="34" t="e">
        <f>IF(L8,IF(L8=10,"yes","no"),"")</f>
        <v>#VALUE!</v>
      </c>
    </row>
    <row r="8" spans="1:13" ht="30" x14ac:dyDescent="0.7">
      <c r="C8" s="36">
        <v>1</v>
      </c>
      <c r="D8" s="37" t="str">
        <f>[1]!wwsInput()</f>
        <v/>
      </c>
      <c r="E8" s="36">
        <v>3</v>
      </c>
      <c r="F8" s="36">
        <v>4</v>
      </c>
      <c r="G8" s="37" t="str">
        <f>[1]!wwsInput()</f>
        <v/>
      </c>
      <c r="H8" s="36">
        <v>6</v>
      </c>
      <c r="I8" s="37" t="str">
        <f>[1]!wwsInput()</f>
        <v/>
      </c>
      <c r="J8" s="36">
        <v>8</v>
      </c>
      <c r="K8" s="36">
        <v>9</v>
      </c>
      <c r="L8" s="37" t="str">
        <f>[1]!wwsInput()</f>
        <v/>
      </c>
    </row>
    <row r="11" spans="1:13" x14ac:dyDescent="0.3">
      <c r="C11" s="34" t="str">
        <f>IF(C12,IF(C12=11,"yes","no"),"")</f>
        <v>yes</v>
      </c>
      <c r="D11" s="34" t="e">
        <f>IF(D12,IF(D12=12,"yes","no"),"")</f>
        <v>#VALUE!</v>
      </c>
      <c r="E11" s="35"/>
      <c r="F11" s="35"/>
      <c r="G11" s="34" t="e">
        <f>IF(G12,IF(G12=15,"yes","no"),"")</f>
        <v>#VALUE!</v>
      </c>
      <c r="H11" s="34" t="e">
        <f>IF(H12,IF(H12=16,"yes","no"),"")</f>
        <v>#VALUE!</v>
      </c>
      <c r="I11" s="34" t="e">
        <f>IF(I12,IF(I12=17,"yes","no"),"")</f>
        <v>#VALUE!</v>
      </c>
      <c r="J11" s="34" t="e">
        <f>IF(J12,IF(J12=18,"yes","no"),"")</f>
        <v>#VALUE!</v>
      </c>
      <c r="K11" s="34" t="e">
        <f>IF(K12,IF(K12=19,"yes","no"),"")</f>
        <v>#VALUE!</v>
      </c>
      <c r="L11" s="34" t="e">
        <f>IF(L12,IF(L12=20,"yes","no"),"")</f>
        <v>#VALUE!</v>
      </c>
    </row>
    <row r="12" spans="1:13" ht="30" x14ac:dyDescent="0.7">
      <c r="C12" s="36">
        <v>11</v>
      </c>
      <c r="D12" s="37" t="str">
        <f>[1]!wwsInput()</f>
        <v/>
      </c>
      <c r="E12" s="36">
        <v>13</v>
      </c>
      <c r="F12" s="36">
        <v>14</v>
      </c>
      <c r="G12" s="37" t="str">
        <f>[1]!wwsInput()</f>
        <v/>
      </c>
      <c r="H12" s="37" t="str">
        <f>[1]!wwsInput()</f>
        <v/>
      </c>
      <c r="I12" s="37" t="str">
        <f>[1]!wwsInput()</f>
        <v/>
      </c>
      <c r="J12" s="37" t="str">
        <f>[1]!wwsInput()</f>
        <v/>
      </c>
      <c r="K12" s="37" t="str">
        <f>[1]!wwsInput()</f>
        <v/>
      </c>
      <c r="L12" s="37" t="str">
        <f>[1]!wwsInput()</f>
        <v/>
      </c>
    </row>
    <row r="13" spans="1:13" x14ac:dyDescent="0.3"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</row>
    <row r="14" spans="1:13" x14ac:dyDescent="0.3"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</row>
    <row r="15" spans="1:13" x14ac:dyDescent="0.3">
      <c r="C15" s="27" t="s">
        <v>39</v>
      </c>
      <c r="E15" s="13" t="e">
        <f>IF(E16,IF(E16=30,"yes","no"),"")</f>
        <v>#VALUE!</v>
      </c>
      <c r="F15" s="13" t="e">
        <f>IF(F16,IF(F16=40,"yes","no"),"")</f>
        <v>#VALUE!</v>
      </c>
      <c r="G15" s="13" t="e">
        <f>IF(G16,IF(G16=50,"yes","no"),"")</f>
        <v>#VALUE!</v>
      </c>
      <c r="H15" s="13" t="e">
        <f>IF(H16,IF(H16=60,"yes","no"),"")</f>
        <v>#VALUE!</v>
      </c>
      <c r="I15" s="13" t="e">
        <f>IF(I16,IF(I16=70,"yes","no"),"")</f>
        <v>#VALUE!</v>
      </c>
      <c r="J15" s="13" t="e">
        <f>IF(J16,IF(J16=80,"yes","no"),"")</f>
        <v>#VALUE!</v>
      </c>
      <c r="K15" s="13" t="e">
        <f>IF(K16,IF(K16=90,"yes","no"),"")</f>
        <v>#VALUE!</v>
      </c>
      <c r="L15" s="13" t="e">
        <f>IF(L16,IF(L16=100,"yes","no"),"")</f>
        <v>#VALUE!</v>
      </c>
      <c r="M15" s="11"/>
    </row>
    <row r="16" spans="1:13" ht="30" x14ac:dyDescent="0.7">
      <c r="C16" s="14">
        <v>10</v>
      </c>
      <c r="D16" s="19">
        <v>20</v>
      </c>
      <c r="E16" s="24" t="str">
        <f>[1]!wwsInput()</f>
        <v/>
      </c>
      <c r="F16" s="24" t="str">
        <f>[1]!wwsInput()</f>
        <v/>
      </c>
      <c r="G16" s="15" t="str">
        <f>[1]!wwsInput()</f>
        <v/>
      </c>
      <c r="H16" s="24" t="str">
        <f>[1]!wwsInput()</f>
        <v/>
      </c>
      <c r="I16" s="15" t="str">
        <f>[1]!wwsInput()</f>
        <v/>
      </c>
      <c r="J16" s="24" t="str">
        <f>[1]!wwsInput()</f>
        <v/>
      </c>
      <c r="K16" s="24" t="str">
        <f>[1]!wwsInput()</f>
        <v/>
      </c>
      <c r="L16" s="15" t="str">
        <f>[1]!wwsInput()</f>
        <v/>
      </c>
      <c r="M16" s="11"/>
    </row>
    <row r="17" spans="3:14" x14ac:dyDescent="0.3"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1"/>
    </row>
    <row r="18" spans="3:14" x14ac:dyDescent="0.3"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1"/>
    </row>
    <row r="19" spans="3:14" x14ac:dyDescent="0.3">
      <c r="C19" s="27" t="s">
        <v>40</v>
      </c>
      <c r="D19" s="25"/>
      <c r="E19" s="13" t="e">
        <f>IF(E20,IF(E20=15,"yes","no"),"")</f>
        <v>#VALUE!</v>
      </c>
      <c r="F19" s="13" t="e">
        <f>IF(F20,IF(F20=20,"yes","no"),"")</f>
        <v>#VALUE!</v>
      </c>
      <c r="G19" s="13" t="e">
        <f>IF(G20,IF(G20=25,"yes","no"),"")</f>
        <v>#VALUE!</v>
      </c>
      <c r="H19" s="13" t="e">
        <f>IF(H20,IF(H20=30,"yes","no"),"")</f>
        <v>#VALUE!</v>
      </c>
      <c r="I19" s="13" t="e">
        <f>IF(I20,IF(I20=35,"yes","no"),"")</f>
        <v>#VALUE!</v>
      </c>
      <c r="J19" s="13" t="e">
        <f>IF(J20,IF(J20=40,"yes","no"),"")</f>
        <v>#VALUE!</v>
      </c>
      <c r="K19" s="13" t="e">
        <f>IF(K20,IF(K20=45,"yes","no"),"")</f>
        <v>#VALUE!</v>
      </c>
      <c r="L19" s="13" t="e">
        <f>IF(L20,IF(L20=50,"yes","no"),"")</f>
        <v>#VALUE!</v>
      </c>
      <c r="M19" s="11"/>
    </row>
    <row r="20" spans="3:14" ht="30" x14ac:dyDescent="0.7">
      <c r="C20" s="14">
        <v>5</v>
      </c>
      <c r="D20" s="19">
        <v>10</v>
      </c>
      <c r="E20" s="24" t="str">
        <f>[1]!wwsInput()</f>
        <v/>
      </c>
      <c r="F20" s="24" t="str">
        <f>[1]!wwsInput()</f>
        <v/>
      </c>
      <c r="G20" s="15" t="str">
        <f>[1]!wwsInput()</f>
        <v/>
      </c>
      <c r="H20" s="24" t="str">
        <f>[1]!wwsInput()</f>
        <v/>
      </c>
      <c r="I20" s="15" t="str">
        <f>[1]!wwsInput()</f>
        <v/>
      </c>
      <c r="J20" s="24" t="str">
        <f>[1]!wwsInput()</f>
        <v/>
      </c>
      <c r="K20" s="24" t="str">
        <f>[1]!wwsInput()</f>
        <v/>
      </c>
      <c r="L20" s="15" t="str">
        <f>[1]!wwsInput()</f>
        <v/>
      </c>
      <c r="M20" s="11"/>
    </row>
    <row r="21" spans="3:14" x14ac:dyDescent="0.3">
      <c r="C21" s="1"/>
      <c r="D21" s="1"/>
      <c r="E21" s="1"/>
      <c r="F21" s="1"/>
      <c r="G21" s="1"/>
      <c r="H21" s="1"/>
      <c r="I21" s="1"/>
      <c r="J21" s="1"/>
      <c r="K21" s="1"/>
      <c r="L21" s="1"/>
      <c r="M21" s="11"/>
    </row>
    <row r="22" spans="3:14" x14ac:dyDescent="0.3">
      <c r="C22" s="1"/>
      <c r="D22" s="1"/>
      <c r="E22" s="1"/>
      <c r="F22" s="1"/>
      <c r="G22" s="1"/>
      <c r="H22" s="1"/>
      <c r="I22" s="1"/>
      <c r="J22" s="1"/>
      <c r="K22" s="1"/>
      <c r="L22" s="1"/>
      <c r="M22" s="11"/>
    </row>
    <row r="23" spans="3:14" x14ac:dyDescent="0.3">
      <c r="D23" s="34" t="e">
        <f>IF(D24,IF(D24=4,"yes","no"),"")</f>
        <v>#VALUE!</v>
      </c>
      <c r="E23" s="35"/>
      <c r="F23" s="35"/>
      <c r="G23" s="34" t="e">
        <f>IF(G24,IF(G24=10,"yes","no"),"")</f>
        <v>#VALUE!</v>
      </c>
      <c r="H23" s="34" t="e">
        <f>IF(H24,IF(H24=12,"yes","no"),"")</f>
        <v>#VALUE!</v>
      </c>
      <c r="I23" s="34" t="e">
        <f>IF(I24,IF(I24=14,"yes","no"),"")</f>
        <v>#VALUE!</v>
      </c>
      <c r="J23" s="35"/>
      <c r="K23" s="35"/>
      <c r="L23" s="34" t="e">
        <f>IF(L24,IF(L24=20,"yes","no"),"")</f>
        <v>#VALUE!</v>
      </c>
    </row>
    <row r="24" spans="3:14" ht="30" x14ac:dyDescent="0.7">
      <c r="C24" s="36">
        <v>2</v>
      </c>
      <c r="D24" s="37" t="str">
        <f>[1]!wwsInput()</f>
        <v/>
      </c>
      <c r="E24" s="36">
        <v>6</v>
      </c>
      <c r="F24" s="36">
        <v>8</v>
      </c>
      <c r="G24" s="37" t="str">
        <f>[1]!wwsInput()</f>
        <v/>
      </c>
      <c r="H24" s="37" t="str">
        <f>[1]!wwsInput()</f>
        <v/>
      </c>
      <c r="I24" s="37" t="str">
        <f>[1]!wwsInput()</f>
        <v/>
      </c>
      <c r="J24" s="36">
        <v>16</v>
      </c>
      <c r="K24" s="36">
        <v>18</v>
      </c>
      <c r="L24" s="37" t="str">
        <f>[1]!wwsInput()</f>
        <v/>
      </c>
    </row>
    <row r="25" spans="3:14" x14ac:dyDescent="0.3">
      <c r="C25" s="20"/>
      <c r="D25" s="21"/>
      <c r="E25" s="22"/>
      <c r="F25" s="22"/>
      <c r="G25" s="21"/>
      <c r="H25" s="22"/>
      <c r="I25" s="21"/>
      <c r="J25" s="22"/>
      <c r="K25" s="22"/>
      <c r="L25" s="21"/>
      <c r="M25" s="12"/>
    </row>
    <row r="26" spans="3:14" x14ac:dyDescent="0.3">
      <c r="C26" s="20"/>
      <c r="D26" s="21"/>
      <c r="E26" s="22"/>
      <c r="F26" s="22"/>
      <c r="G26" s="21"/>
      <c r="H26" s="22"/>
      <c r="I26" s="21"/>
      <c r="J26" s="22"/>
      <c r="K26" s="22"/>
      <c r="L26" s="21"/>
      <c r="M26" s="12"/>
    </row>
    <row r="27" spans="3:14" x14ac:dyDescent="0.3">
      <c r="C27" s="27" t="s">
        <v>41</v>
      </c>
      <c r="D27" s="25"/>
      <c r="E27" s="13" t="e">
        <f>IF(E28,IF(E28=24,"yes","no"),"")</f>
        <v>#VALUE!</v>
      </c>
      <c r="F27" s="13" t="e">
        <f>IF(F28,IF(F28=26,"yes","no"),"")</f>
        <v>#VALUE!</v>
      </c>
      <c r="G27" s="13" t="e">
        <f>IF(G28,IF(G28=28,"yes","no"),"")</f>
        <v>#VALUE!</v>
      </c>
      <c r="H27" s="13" t="e">
        <f>IF(H28,IF(H28=30,"yes","no"),"")</f>
        <v>#VALUE!</v>
      </c>
      <c r="I27" s="13" t="e">
        <f>IF(I28,IF(I28=32,"yes","no"),"")</f>
        <v>#VALUE!</v>
      </c>
      <c r="J27" s="13" t="e">
        <f>IF(J28,IF(J28=34,"yes","no"),"")</f>
        <v>#VALUE!</v>
      </c>
      <c r="K27" s="13" t="e">
        <f>IF(K28,IF(K28=36,"yes","no"),"")</f>
        <v>#VALUE!</v>
      </c>
      <c r="L27" s="13" t="e">
        <f>IF(L28,IF(L28=38,"yes","no"),"")</f>
        <v>#VALUE!</v>
      </c>
      <c r="M27" s="13" t="e">
        <f>IF(M28,IF(M28=40,"yes","no"),"")</f>
        <v>#VALUE!</v>
      </c>
    </row>
    <row r="28" spans="3:14" ht="30" x14ac:dyDescent="0.7">
      <c r="C28" s="14">
        <v>20</v>
      </c>
      <c r="D28" s="19">
        <v>22</v>
      </c>
      <c r="E28" s="24" t="str">
        <f>[1]!wwsInput()</f>
        <v/>
      </c>
      <c r="F28" s="24" t="str">
        <f>[1]!wwsInput()</f>
        <v/>
      </c>
      <c r="G28" s="15" t="str">
        <f>[1]!wwsInput()</f>
        <v/>
      </c>
      <c r="H28" s="24" t="str">
        <f>[1]!wwsInput()</f>
        <v/>
      </c>
      <c r="I28" s="15" t="str">
        <f>[1]!wwsInput()</f>
        <v/>
      </c>
      <c r="J28" s="24" t="str">
        <f>[1]!wwsInput()</f>
        <v/>
      </c>
      <c r="K28" s="24" t="str">
        <f>[1]!wwsInput()</f>
        <v/>
      </c>
      <c r="L28" s="24" t="str">
        <f>[1]!wwsInput()</f>
        <v/>
      </c>
      <c r="M28" s="15" t="str">
        <f>[1]!wwsInput()</f>
        <v/>
      </c>
    </row>
    <row r="30" spans="3:14" x14ac:dyDescent="0.3">
      <c r="N30" t="s">
        <v>21</v>
      </c>
    </row>
    <row r="35" spans="2:14" x14ac:dyDescent="0.3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</row>
    <row r="36" spans="2:14" x14ac:dyDescent="0.3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</row>
    <row r="37" spans="2:14" x14ac:dyDescent="0.3">
      <c r="B37" s="23"/>
      <c r="C37" s="38"/>
      <c r="D37" s="38"/>
      <c r="E37" s="39"/>
      <c r="F37" s="39"/>
      <c r="G37" s="38"/>
      <c r="H37" s="39"/>
      <c r="I37" s="38"/>
      <c r="J37" s="39"/>
      <c r="K37" s="39"/>
      <c r="L37" s="38"/>
      <c r="M37" s="23"/>
      <c r="N37" s="23"/>
    </row>
    <row r="38" spans="2:14" ht="30" x14ac:dyDescent="0.7">
      <c r="B38" s="23"/>
      <c r="C38" s="40"/>
      <c r="D38" s="41"/>
      <c r="E38" s="40"/>
      <c r="F38" s="40"/>
      <c r="G38" s="41"/>
      <c r="H38" s="40"/>
      <c r="I38" s="41"/>
      <c r="J38" s="40"/>
      <c r="K38" s="40"/>
      <c r="L38" s="41"/>
      <c r="M38" s="23"/>
      <c r="N38" s="23"/>
    </row>
    <row r="39" spans="2:14" x14ac:dyDescent="0.3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</row>
    <row r="40" spans="2:14" x14ac:dyDescent="0.3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</row>
    <row r="41" spans="2:14" x14ac:dyDescent="0.3">
      <c r="B41" s="23"/>
      <c r="C41" s="23"/>
      <c r="D41" s="38"/>
      <c r="E41" s="39"/>
      <c r="F41" s="39"/>
      <c r="G41" s="38"/>
      <c r="H41" s="39"/>
      <c r="I41" s="38"/>
      <c r="J41" s="39"/>
      <c r="K41" s="39"/>
      <c r="L41" s="38"/>
      <c r="M41" s="23"/>
      <c r="N41" s="23"/>
    </row>
    <row r="42" spans="2:14" ht="30" x14ac:dyDescent="0.7">
      <c r="B42" s="23"/>
      <c r="C42" s="40"/>
      <c r="D42" s="41"/>
      <c r="E42" s="40"/>
      <c r="F42" s="40"/>
      <c r="G42" s="41"/>
      <c r="H42" s="40"/>
      <c r="I42" s="41"/>
      <c r="J42" s="40"/>
      <c r="K42" s="40"/>
      <c r="L42" s="41"/>
      <c r="M42" s="23"/>
      <c r="N42" s="23"/>
    </row>
    <row r="43" spans="2:14" x14ac:dyDescent="0.3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</row>
    <row r="44" spans="2:14" x14ac:dyDescent="0.3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</row>
    <row r="45" spans="2:14" x14ac:dyDescent="0.3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</row>
    <row r="46" spans="2:14" x14ac:dyDescent="0.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</row>
  </sheetData>
  <mergeCells count="3">
    <mergeCell ref="A3:E3"/>
    <mergeCell ref="A1:C1"/>
    <mergeCell ref="A2:C2"/>
  </mergeCells>
  <conditionalFormatting sqref="L15">
    <cfRule type="expression" dxfId="108" priority="42">
      <formula>"if(c2=""yes"")"</formula>
    </cfRule>
  </conditionalFormatting>
  <conditionalFormatting sqref="K19">
    <cfRule type="expression" dxfId="107" priority="38">
      <formula>"if(c2=""yes"")"</formula>
    </cfRule>
  </conditionalFormatting>
  <conditionalFormatting sqref="F19">
    <cfRule type="expression" dxfId="106" priority="41">
      <formula>"if(c2=""yes"")"</formula>
    </cfRule>
  </conditionalFormatting>
  <conditionalFormatting sqref="I19">
    <cfRule type="expression" dxfId="105" priority="40">
      <formula>"if(c2=""yes"")"</formula>
    </cfRule>
  </conditionalFormatting>
  <conditionalFormatting sqref="J19">
    <cfRule type="expression" dxfId="104" priority="39">
      <formula>"if(c2=""yes"")"</formula>
    </cfRule>
  </conditionalFormatting>
  <conditionalFormatting sqref="I27">
    <cfRule type="expression" dxfId="103" priority="35">
      <formula>"if(c2=""yes"")"</formula>
    </cfRule>
  </conditionalFormatting>
  <conditionalFormatting sqref="J27">
    <cfRule type="expression" dxfId="102" priority="34">
      <formula>"if(c2=""yes"")"</formula>
    </cfRule>
  </conditionalFormatting>
  <conditionalFormatting sqref="K27">
    <cfRule type="expression" dxfId="101" priority="33">
      <formula>"if(c2=""yes"")"</formula>
    </cfRule>
  </conditionalFormatting>
  <conditionalFormatting sqref="L27">
    <cfRule type="expression" dxfId="100" priority="32">
      <formula>"if(c2=""yes"")"</formula>
    </cfRule>
  </conditionalFormatting>
  <conditionalFormatting sqref="F27">
    <cfRule type="expression" dxfId="99" priority="36">
      <formula>"if(c2=""yes"")"</formula>
    </cfRule>
  </conditionalFormatting>
  <conditionalFormatting sqref="D7">
    <cfRule type="expression" dxfId="98" priority="31">
      <formula>"if(c2=""yes"")"</formula>
    </cfRule>
  </conditionalFormatting>
  <conditionalFormatting sqref="L19">
    <cfRule type="expression" dxfId="97" priority="37">
      <formula>"if(c2=""yes"")"</formula>
    </cfRule>
  </conditionalFormatting>
  <conditionalFormatting sqref="D11">
    <cfRule type="expression" dxfId="96" priority="30">
      <formula>"if(c2=""yes"")"</formula>
    </cfRule>
  </conditionalFormatting>
  <conditionalFormatting sqref="D37">
    <cfRule type="expression" dxfId="95" priority="29">
      <formula>"if(c2=""yes"")"</formula>
    </cfRule>
  </conditionalFormatting>
  <conditionalFormatting sqref="C11">
    <cfRule type="expression" dxfId="94" priority="28">
      <formula>"if(c2=""yes"")"</formula>
    </cfRule>
  </conditionalFormatting>
  <conditionalFormatting sqref="D41">
    <cfRule type="expression" dxfId="93" priority="27">
      <formula>"if(c2=""yes"")"</formula>
    </cfRule>
  </conditionalFormatting>
  <conditionalFormatting sqref="D23">
    <cfRule type="expression" dxfId="92" priority="26">
      <formula>"if(c2=""yes"")"</formula>
    </cfRule>
  </conditionalFormatting>
  <conditionalFormatting sqref="G7">
    <cfRule type="expression" dxfId="91" priority="25">
      <formula>"if(c2=""yes"")"</formula>
    </cfRule>
  </conditionalFormatting>
  <conditionalFormatting sqref="I7">
    <cfRule type="expression" dxfId="90" priority="24">
      <formula>"if(c2=""yes"")"</formula>
    </cfRule>
  </conditionalFormatting>
  <conditionalFormatting sqref="L7">
    <cfRule type="expression" dxfId="89" priority="23">
      <formula>"if(c2=""yes"")"</formula>
    </cfRule>
  </conditionalFormatting>
  <conditionalFormatting sqref="G11">
    <cfRule type="expression" dxfId="88" priority="22">
      <formula>"if(c2=""yes"")"</formula>
    </cfRule>
  </conditionalFormatting>
  <conditionalFormatting sqref="H11">
    <cfRule type="expression" dxfId="87" priority="21">
      <formula>"if(c2=""yes"")"</formula>
    </cfRule>
  </conditionalFormatting>
  <conditionalFormatting sqref="L41">
    <cfRule type="expression" dxfId="86" priority="13">
      <formula>"if(c2=""yes"")"</formula>
    </cfRule>
  </conditionalFormatting>
  <conditionalFormatting sqref="L11">
    <cfRule type="expression" dxfId="85" priority="19">
      <formula>"if(c2=""yes"")"</formula>
    </cfRule>
  </conditionalFormatting>
  <conditionalFormatting sqref="G37">
    <cfRule type="expression" dxfId="84" priority="18">
      <formula>"if(c2=""yes"")"</formula>
    </cfRule>
  </conditionalFormatting>
  <conditionalFormatting sqref="I37">
    <cfRule type="expression" dxfId="83" priority="17">
      <formula>"if(c2=""yes"")"</formula>
    </cfRule>
  </conditionalFormatting>
  <conditionalFormatting sqref="L37">
    <cfRule type="expression" dxfId="82" priority="16">
      <formula>"if(c2=""yes"")"</formula>
    </cfRule>
  </conditionalFormatting>
  <conditionalFormatting sqref="G41">
    <cfRule type="expression" dxfId="81" priority="15">
      <formula>"if(c2=""yes"")"</formula>
    </cfRule>
  </conditionalFormatting>
  <conditionalFormatting sqref="I41">
    <cfRule type="expression" dxfId="80" priority="14">
      <formula>"if(c2=""yes"")"</formula>
    </cfRule>
  </conditionalFormatting>
  <conditionalFormatting sqref="G23">
    <cfRule type="expression" dxfId="79" priority="12">
      <formula>"if(c2=""yes"")"</formula>
    </cfRule>
  </conditionalFormatting>
  <conditionalFormatting sqref="H23">
    <cfRule type="expression" dxfId="78" priority="11">
      <formula>"if(c2=""yes"")"</formula>
    </cfRule>
  </conditionalFormatting>
  <conditionalFormatting sqref="I23">
    <cfRule type="expression" dxfId="77" priority="10">
      <formula>"if(c2=""yes"")"</formula>
    </cfRule>
  </conditionalFormatting>
  <conditionalFormatting sqref="L23">
    <cfRule type="expression" dxfId="76" priority="9">
      <formula>"if(c2=""yes"")"</formula>
    </cfRule>
  </conditionalFormatting>
  <conditionalFormatting sqref="D25">
    <cfRule type="expression" dxfId="75" priority="65">
      <formula>"if(c2=""yes"")"</formula>
    </cfRule>
  </conditionalFormatting>
  <conditionalFormatting sqref="G15">
    <cfRule type="expression" dxfId="74" priority="61">
      <formula>"if(c2=""yes"")"</formula>
    </cfRule>
  </conditionalFormatting>
  <conditionalFormatting sqref="C15">
    <cfRule type="expression" dxfId="73" priority="64">
      <formula>"if(c2=""yes"")"</formula>
    </cfRule>
  </conditionalFormatting>
  <conditionalFormatting sqref="G25">
    <cfRule type="expression" dxfId="72" priority="63">
      <formula>"if(c2=""yes"")"</formula>
    </cfRule>
  </conditionalFormatting>
  <conditionalFormatting sqref="I25">
    <cfRule type="expression" dxfId="71" priority="62">
      <formula>"if(c2=""yes"")"</formula>
    </cfRule>
  </conditionalFormatting>
  <conditionalFormatting sqref="E15">
    <cfRule type="expression" dxfId="70" priority="58">
      <formula>"if(c2=""yes"")"</formula>
    </cfRule>
  </conditionalFormatting>
  <conditionalFormatting sqref="D19">
    <cfRule type="expression" dxfId="69" priority="57">
      <formula>"if(c2=""yes"")"</formula>
    </cfRule>
  </conditionalFormatting>
  <conditionalFormatting sqref="G19">
    <cfRule type="expression" dxfId="68" priority="56">
      <formula>"if(c2=""yes"")"</formula>
    </cfRule>
  </conditionalFormatting>
  <conditionalFormatting sqref="H19">
    <cfRule type="expression" dxfId="67" priority="55">
      <formula>"if(c2=""yes"")"</formula>
    </cfRule>
  </conditionalFormatting>
  <conditionalFormatting sqref="H15">
    <cfRule type="expression" dxfId="66" priority="59">
      <formula>"if(c2=""yes"")"</formula>
    </cfRule>
  </conditionalFormatting>
  <conditionalFormatting sqref="E19">
    <cfRule type="expression" dxfId="65" priority="54">
      <formula>"if(c2=""yes"")"</formula>
    </cfRule>
  </conditionalFormatting>
  <conditionalFormatting sqref="L25">
    <cfRule type="expression" dxfId="64" priority="60">
      <formula>"if(c2=""yes"")"</formula>
    </cfRule>
  </conditionalFormatting>
  <conditionalFormatting sqref="D27">
    <cfRule type="expression" dxfId="63" priority="53">
      <formula>"if(c2=""yes"")"</formula>
    </cfRule>
  </conditionalFormatting>
  <conditionalFormatting sqref="G27">
    <cfRule type="expression" dxfId="62" priority="52">
      <formula>"if(c2=""yes"")"</formula>
    </cfRule>
  </conditionalFormatting>
  <conditionalFormatting sqref="H27">
    <cfRule type="expression" dxfId="61" priority="51">
      <formula>"if(c2=""yes"")"</formula>
    </cfRule>
  </conditionalFormatting>
  <conditionalFormatting sqref="E27">
    <cfRule type="expression" dxfId="60" priority="50">
      <formula>"if(c2=""yes"")"</formula>
    </cfRule>
  </conditionalFormatting>
  <conditionalFormatting sqref="M27">
    <cfRule type="expression" dxfId="59" priority="49">
      <formula>"if(c2=""yes"")"</formula>
    </cfRule>
  </conditionalFormatting>
  <conditionalFormatting sqref="C19">
    <cfRule type="expression" dxfId="58" priority="48">
      <formula>"if(c2=""yes"")"</formula>
    </cfRule>
  </conditionalFormatting>
  <conditionalFormatting sqref="C27">
    <cfRule type="expression" dxfId="57" priority="47">
      <formula>"if(c2=""yes"")"</formula>
    </cfRule>
  </conditionalFormatting>
  <conditionalFormatting sqref="F15">
    <cfRule type="expression" dxfId="56" priority="46">
      <formula>"if(c2=""yes"")"</formula>
    </cfRule>
  </conditionalFormatting>
  <conditionalFormatting sqref="I15">
    <cfRule type="expression" dxfId="55" priority="45">
      <formula>"if(c2=""yes"")"</formula>
    </cfRule>
  </conditionalFormatting>
  <conditionalFormatting sqref="J15">
    <cfRule type="expression" dxfId="54" priority="44">
      <formula>"if(c2=""yes"")"</formula>
    </cfRule>
  </conditionalFormatting>
  <conditionalFormatting sqref="K15">
    <cfRule type="expression" dxfId="53" priority="43">
      <formula>"if(c2=""yes"")"</formula>
    </cfRule>
  </conditionalFormatting>
  <conditionalFormatting sqref="I11">
    <cfRule type="expression" dxfId="52" priority="7">
      <formula>"if(c2=""yes"")"</formula>
    </cfRule>
  </conditionalFormatting>
  <conditionalFormatting sqref="J11">
    <cfRule type="expression" dxfId="51" priority="6">
      <formula>"if(c2=""yes"")"</formula>
    </cfRule>
  </conditionalFormatting>
  <conditionalFormatting sqref="D26">
    <cfRule type="expression" dxfId="50" priority="5">
      <formula>"if(c2=""yes"")"</formula>
    </cfRule>
  </conditionalFormatting>
  <conditionalFormatting sqref="G26">
    <cfRule type="expression" dxfId="49" priority="4">
      <formula>"if(c2=""yes"")"</formula>
    </cfRule>
  </conditionalFormatting>
  <conditionalFormatting sqref="I26">
    <cfRule type="expression" dxfId="48" priority="3">
      <formula>"if(c2=""yes"")"</formula>
    </cfRule>
  </conditionalFormatting>
  <conditionalFormatting sqref="L26">
    <cfRule type="expression" dxfId="47" priority="2">
      <formula>"if(c2=""yes"")"</formula>
    </cfRule>
  </conditionalFormatting>
  <conditionalFormatting sqref="K11">
    <cfRule type="expression" dxfId="46" priority="1">
      <formula>"if(c2=""yes"")"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44748-A2F6-4433-AD9F-ED569FE578D2}">
  <dimension ref="A1:I44"/>
  <sheetViews>
    <sheetView showGridLines="0" workbookViewId="0">
      <selection activeCell="D1" sqref="D1"/>
    </sheetView>
  </sheetViews>
  <sheetFormatPr defaultRowHeight="14.4" x14ac:dyDescent="0.3"/>
  <cols>
    <col min="2" max="2" width="38" customWidth="1"/>
    <col min="4" max="4" width="14.6640625" customWidth="1"/>
    <col min="9" max="9" width="8.88671875" style="33"/>
  </cols>
  <sheetData>
    <row r="1" spans="1:8" ht="23.4" x14ac:dyDescent="0.45">
      <c r="A1" s="70" t="s">
        <v>42</v>
      </c>
      <c r="B1" s="70"/>
      <c r="C1" s="70"/>
      <c r="D1" s="47" t="str">
        <f>[1]!wwsSetup("useHTTPS",TRUE)</f>
        <v>useHTTPS = "True"</v>
      </c>
      <c r="E1" s="33"/>
      <c r="F1" s="71" t="s">
        <v>44</v>
      </c>
      <c r="G1" s="71"/>
      <c r="H1" s="71"/>
    </row>
    <row r="2" spans="1:8" ht="15.6" x14ac:dyDescent="0.3">
      <c r="A2" s="72" t="str">
        <f>CONCATENATE("©ESLatHoward.com"," ","7/22/20")</f>
        <v>©ESLatHoward.com 7/22/20</v>
      </c>
      <c r="B2" s="72"/>
      <c r="C2" s="72"/>
      <c r="D2" s="33"/>
      <c r="E2" s="52"/>
      <c r="F2" s="73" t="s">
        <v>45</v>
      </c>
      <c r="G2" s="73"/>
      <c r="H2" s="73"/>
    </row>
    <row r="3" spans="1:8" ht="30" x14ac:dyDescent="0.7">
      <c r="A3" s="53"/>
      <c r="B3" s="17"/>
      <c r="C3" s="33"/>
      <c r="D3" s="33"/>
      <c r="E3" s="33"/>
      <c r="F3" s="33"/>
      <c r="G3" s="33"/>
      <c r="H3" s="33"/>
    </row>
    <row r="4" spans="1:8" ht="30" x14ac:dyDescent="0.7">
      <c r="A4" s="33"/>
      <c r="B4" s="54" t="s">
        <v>0</v>
      </c>
      <c r="C4" s="74" t="str">
        <f>[1]!wwsInput()</f>
        <v/>
      </c>
      <c r="D4" s="74"/>
      <c r="E4" s="74"/>
      <c r="F4" s="74"/>
      <c r="G4" s="33"/>
      <c r="H4" s="33"/>
    </row>
    <row r="5" spans="1:8" x14ac:dyDescent="0.3">
      <c r="A5" s="47">
        <v>1</v>
      </c>
      <c r="B5" s="33"/>
      <c r="C5" s="55"/>
      <c r="D5" s="56"/>
      <c r="E5" s="47"/>
      <c r="F5" s="33"/>
      <c r="G5" s="33"/>
      <c r="H5" s="33"/>
    </row>
    <row r="6" spans="1:8" ht="30" x14ac:dyDescent="0.7">
      <c r="A6" s="47">
        <v>1</v>
      </c>
      <c r="B6" s="57" t="s">
        <v>1</v>
      </c>
      <c r="C6" s="8">
        <f>[1]!wwsInput(1)</f>
        <v>1</v>
      </c>
      <c r="D6" s="57" t="str">
        <f t="shared" ref="D6:D19" si="0">IF(C6&lt;&gt;"",IF(C6=A6,"GOOD","  ?")," ")</f>
        <v>GOOD</v>
      </c>
      <c r="E6" s="58">
        <f>IF(D6="GOOD",1,0)</f>
        <v>1</v>
      </c>
      <c r="F6" s="47">
        <f>A5+10</f>
        <v>11</v>
      </c>
      <c r="G6" s="33"/>
      <c r="H6" s="33"/>
    </row>
    <row r="7" spans="1:8" ht="30" x14ac:dyDescent="0.7">
      <c r="A7" s="47">
        <v>2</v>
      </c>
      <c r="B7" s="57" t="s">
        <v>3</v>
      </c>
      <c r="C7" s="8">
        <f>[1]!wwsInput(2)</f>
        <v>2</v>
      </c>
      <c r="D7" s="57" t="str">
        <f t="shared" si="0"/>
        <v>GOOD</v>
      </c>
      <c r="E7" s="58">
        <f t="shared" ref="E7:E42" si="1">IF(D7="GOOD",1,0)</f>
        <v>1</v>
      </c>
      <c r="F7" s="47">
        <f t="shared" ref="F7:F15" si="2">A7+10</f>
        <v>12</v>
      </c>
      <c r="G7" s="33"/>
      <c r="H7" s="33"/>
    </row>
    <row r="8" spans="1:8" ht="30" x14ac:dyDescent="0.7">
      <c r="A8" s="47">
        <v>3</v>
      </c>
      <c r="B8" s="57" t="s">
        <v>5</v>
      </c>
      <c r="C8" s="8">
        <v>3</v>
      </c>
      <c r="D8" s="57" t="str">
        <f t="shared" si="0"/>
        <v>GOOD</v>
      </c>
      <c r="E8" s="58">
        <f t="shared" si="1"/>
        <v>1</v>
      </c>
      <c r="F8" s="47">
        <f t="shared" si="2"/>
        <v>13</v>
      </c>
      <c r="G8" s="33"/>
      <c r="H8" s="33"/>
    </row>
    <row r="9" spans="1:8" ht="30" x14ac:dyDescent="0.7">
      <c r="A9" s="47">
        <v>4</v>
      </c>
      <c r="B9" s="57" t="s">
        <v>7</v>
      </c>
      <c r="C9" s="8">
        <v>4</v>
      </c>
      <c r="D9" s="57" t="str">
        <f t="shared" si="0"/>
        <v>GOOD</v>
      </c>
      <c r="E9" s="58">
        <f t="shared" si="1"/>
        <v>1</v>
      </c>
      <c r="F9" s="47">
        <f t="shared" si="2"/>
        <v>14</v>
      </c>
      <c r="G9" s="33"/>
      <c r="H9" s="33"/>
    </row>
    <row r="10" spans="1:8" ht="30" x14ac:dyDescent="0.7">
      <c r="A10" s="47">
        <v>5</v>
      </c>
      <c r="B10" s="57" t="s">
        <v>9</v>
      </c>
      <c r="C10" s="8" t="str">
        <f>[1]!wwsInput()</f>
        <v/>
      </c>
      <c r="D10" s="57" t="str">
        <f t="shared" si="0"/>
        <v xml:space="preserve"> </v>
      </c>
      <c r="E10" s="58">
        <f t="shared" si="1"/>
        <v>0</v>
      </c>
      <c r="F10" s="47">
        <f t="shared" si="2"/>
        <v>15</v>
      </c>
      <c r="G10" s="33"/>
      <c r="H10" s="33"/>
    </row>
    <row r="11" spans="1:8" ht="30" x14ac:dyDescent="0.7">
      <c r="A11" s="47">
        <v>6</v>
      </c>
      <c r="B11" s="57" t="s">
        <v>11</v>
      </c>
      <c r="C11" s="8" t="str">
        <f>[1]!wwsInput()</f>
        <v/>
      </c>
      <c r="D11" s="57" t="str">
        <f t="shared" si="0"/>
        <v xml:space="preserve"> </v>
      </c>
      <c r="E11" s="58">
        <f t="shared" si="1"/>
        <v>0</v>
      </c>
      <c r="F11" s="47">
        <f t="shared" si="2"/>
        <v>16</v>
      </c>
      <c r="G11" s="33"/>
      <c r="H11" s="33"/>
    </row>
    <row r="12" spans="1:8" ht="30" x14ac:dyDescent="0.7">
      <c r="A12" s="47">
        <v>7</v>
      </c>
      <c r="B12" s="57" t="s">
        <v>13</v>
      </c>
      <c r="C12" s="8" t="str">
        <f>[1]!wwsInput()</f>
        <v/>
      </c>
      <c r="D12" s="57" t="str">
        <f t="shared" si="0"/>
        <v xml:space="preserve"> </v>
      </c>
      <c r="E12" s="58">
        <f t="shared" si="1"/>
        <v>0</v>
      </c>
      <c r="F12" s="47">
        <f t="shared" si="2"/>
        <v>17</v>
      </c>
      <c r="G12" s="33"/>
      <c r="H12" s="33"/>
    </row>
    <row r="13" spans="1:8" ht="30" x14ac:dyDescent="0.7">
      <c r="A13" s="47">
        <v>8</v>
      </c>
      <c r="B13" s="57" t="s">
        <v>15</v>
      </c>
      <c r="C13" s="8" t="str">
        <f>[1]!wwsInput()</f>
        <v/>
      </c>
      <c r="D13" s="57" t="str">
        <f t="shared" si="0"/>
        <v xml:space="preserve"> </v>
      </c>
      <c r="E13" s="58">
        <f t="shared" si="1"/>
        <v>0</v>
      </c>
      <c r="F13" s="47">
        <f t="shared" si="2"/>
        <v>18</v>
      </c>
      <c r="G13" s="33"/>
      <c r="H13" s="33"/>
    </row>
    <row r="14" spans="1:8" ht="30" x14ac:dyDescent="0.7">
      <c r="A14" s="47">
        <v>9</v>
      </c>
      <c r="B14" s="40" t="s">
        <v>17</v>
      </c>
      <c r="C14" s="8" t="str">
        <f>[1]!wwsInput()</f>
        <v/>
      </c>
      <c r="D14" s="57" t="str">
        <f t="shared" si="0"/>
        <v xml:space="preserve"> </v>
      </c>
      <c r="E14" s="58">
        <f t="shared" si="1"/>
        <v>0</v>
      </c>
      <c r="F14" s="47">
        <f t="shared" si="2"/>
        <v>19</v>
      </c>
      <c r="G14" s="33"/>
      <c r="H14" s="33"/>
    </row>
    <row r="15" spans="1:8" ht="30" x14ac:dyDescent="0.7">
      <c r="A15" s="47">
        <v>10</v>
      </c>
      <c r="B15" s="40" t="s">
        <v>19</v>
      </c>
      <c r="C15" s="8" t="str">
        <f>[1]!wwsInput()</f>
        <v/>
      </c>
      <c r="D15" s="57" t="str">
        <f t="shared" si="0"/>
        <v xml:space="preserve"> </v>
      </c>
      <c r="E15" s="58">
        <f t="shared" si="1"/>
        <v>0</v>
      </c>
      <c r="F15" s="47">
        <f t="shared" si="2"/>
        <v>20</v>
      </c>
      <c r="G15" s="33"/>
      <c r="H15" s="33"/>
    </row>
    <row r="16" spans="1:8" ht="30" x14ac:dyDescent="0.7">
      <c r="A16" s="47">
        <f>A15+1</f>
        <v>11</v>
      </c>
      <c r="B16" s="57" t="s">
        <v>2</v>
      </c>
      <c r="C16" s="8" t="str">
        <f>[1]!wwsInput()</f>
        <v/>
      </c>
      <c r="D16" s="57" t="str">
        <f t="shared" si="0"/>
        <v xml:space="preserve"> </v>
      </c>
      <c r="E16" s="58">
        <f t="shared" si="1"/>
        <v>0</v>
      </c>
      <c r="F16" s="33"/>
      <c r="G16" s="33"/>
      <c r="H16" s="33"/>
    </row>
    <row r="17" spans="1:9" ht="30" x14ac:dyDescent="0.7">
      <c r="A17" s="47">
        <f t="shared" ref="A17:A25" si="3">A16+1</f>
        <v>12</v>
      </c>
      <c r="B17" s="57" t="s">
        <v>4</v>
      </c>
      <c r="C17" s="8" t="str">
        <f>[1]!wwsInput()</f>
        <v/>
      </c>
      <c r="D17" s="57" t="str">
        <f t="shared" si="0"/>
        <v xml:space="preserve"> </v>
      </c>
      <c r="E17" s="58">
        <f t="shared" si="1"/>
        <v>0</v>
      </c>
      <c r="F17" s="33"/>
      <c r="G17" s="33"/>
      <c r="H17" s="33"/>
    </row>
    <row r="18" spans="1:9" ht="30" x14ac:dyDescent="0.7">
      <c r="A18" s="47">
        <f t="shared" si="3"/>
        <v>13</v>
      </c>
      <c r="B18" s="57" t="s">
        <v>6</v>
      </c>
      <c r="C18" s="8" t="str">
        <f>[1]!wwsInput()</f>
        <v/>
      </c>
      <c r="D18" s="57" t="str">
        <f t="shared" si="0"/>
        <v xml:space="preserve"> </v>
      </c>
      <c r="E18" s="58">
        <f t="shared" si="1"/>
        <v>0</v>
      </c>
      <c r="F18" s="23"/>
      <c r="G18" s="23"/>
      <c r="H18" s="23"/>
      <c r="I18" s="23"/>
    </row>
    <row r="19" spans="1:9" ht="30" x14ac:dyDescent="0.7">
      <c r="A19" s="47">
        <f t="shared" si="3"/>
        <v>14</v>
      </c>
      <c r="B19" s="57" t="s">
        <v>8</v>
      </c>
      <c r="C19" s="8" t="str">
        <f>[1]!wwsInput()</f>
        <v/>
      </c>
      <c r="D19" s="57" t="str">
        <f t="shared" si="0"/>
        <v xml:space="preserve"> </v>
      </c>
      <c r="E19" s="58">
        <f t="shared" si="1"/>
        <v>0</v>
      </c>
      <c r="F19" s="23"/>
      <c r="G19" s="23"/>
      <c r="H19" s="38"/>
      <c r="I19" s="39"/>
    </row>
    <row r="20" spans="1:9" ht="30" x14ac:dyDescent="0.7">
      <c r="A20" s="47">
        <f t="shared" si="3"/>
        <v>15</v>
      </c>
      <c r="B20" s="57" t="s">
        <v>10</v>
      </c>
      <c r="C20" s="8" t="str">
        <f>[1]!wwsInput()</f>
        <v/>
      </c>
      <c r="D20" s="57" t="str">
        <f>IF(C20&lt;&gt;"",IF(C20=A20,"GOOD","  ?")," ")</f>
        <v xml:space="preserve"> </v>
      </c>
      <c r="E20" s="58">
        <f t="shared" si="1"/>
        <v>0</v>
      </c>
      <c r="F20" s="23"/>
      <c r="G20" s="40"/>
      <c r="H20" s="41"/>
      <c r="I20" s="40"/>
    </row>
    <row r="21" spans="1:9" ht="30" x14ac:dyDescent="0.7">
      <c r="A21" s="47">
        <f t="shared" si="3"/>
        <v>16</v>
      </c>
      <c r="B21" s="57" t="s">
        <v>12</v>
      </c>
      <c r="C21" s="8" t="str">
        <f>[1]!wwsInput()</f>
        <v/>
      </c>
      <c r="D21" s="57" t="str">
        <f t="shared" ref="D21:D42" si="4">IF(C21&lt;&gt;"",IF(C21=A21,"GOOD","  ?")," ")</f>
        <v xml:space="preserve"> </v>
      </c>
      <c r="E21" s="58">
        <f t="shared" si="1"/>
        <v>0</v>
      </c>
      <c r="F21" s="23"/>
      <c r="G21" s="23"/>
      <c r="H21" s="23"/>
      <c r="I21" s="23"/>
    </row>
    <row r="22" spans="1:9" ht="30" x14ac:dyDescent="0.7">
      <c r="A22" s="47">
        <f t="shared" si="3"/>
        <v>17</v>
      </c>
      <c r="B22" s="57" t="s">
        <v>14</v>
      </c>
      <c r="C22" s="8" t="str">
        <f>[1]!wwsInput()</f>
        <v/>
      </c>
      <c r="D22" s="57" t="str">
        <f t="shared" si="4"/>
        <v xml:space="preserve"> </v>
      </c>
      <c r="E22" s="58">
        <f t="shared" si="1"/>
        <v>0</v>
      </c>
      <c r="F22" s="23"/>
      <c r="G22" s="23"/>
      <c r="H22" s="23"/>
      <c r="I22" s="23"/>
    </row>
    <row r="23" spans="1:9" ht="30" x14ac:dyDescent="0.7">
      <c r="A23" s="47">
        <f t="shared" si="3"/>
        <v>18</v>
      </c>
      <c r="B23" s="57" t="s">
        <v>16</v>
      </c>
      <c r="C23" s="8" t="str">
        <f>[1]!wwsInput()</f>
        <v/>
      </c>
      <c r="D23" s="57" t="str">
        <f t="shared" si="4"/>
        <v xml:space="preserve"> </v>
      </c>
      <c r="E23" s="58">
        <f t="shared" si="1"/>
        <v>0</v>
      </c>
      <c r="F23" s="23"/>
      <c r="G23" s="38"/>
      <c r="H23" s="38"/>
      <c r="I23" s="39"/>
    </row>
    <row r="24" spans="1:9" ht="30" x14ac:dyDescent="0.7">
      <c r="A24" s="47">
        <f t="shared" si="3"/>
        <v>19</v>
      </c>
      <c r="B24" s="40" t="s">
        <v>18</v>
      </c>
      <c r="C24" s="8" t="str">
        <f>[1]!wwsInput()</f>
        <v/>
      </c>
      <c r="D24" s="57" t="str">
        <f t="shared" si="4"/>
        <v xml:space="preserve"> </v>
      </c>
      <c r="E24" s="58">
        <f t="shared" si="1"/>
        <v>0</v>
      </c>
      <c r="F24" s="59"/>
      <c r="G24" s="41"/>
      <c r="H24" s="41"/>
      <c r="I24" s="40"/>
    </row>
    <row r="25" spans="1:9" ht="30" x14ac:dyDescent="0.7">
      <c r="A25" s="47">
        <f t="shared" si="3"/>
        <v>20</v>
      </c>
      <c r="B25" s="40" t="s">
        <v>20</v>
      </c>
      <c r="C25" s="8" t="str">
        <f>[1]!wwsInput()</f>
        <v/>
      </c>
      <c r="D25" s="57" t="str">
        <f t="shared" si="4"/>
        <v xml:space="preserve"> </v>
      </c>
      <c r="E25" s="58">
        <f t="shared" si="1"/>
        <v>0</v>
      </c>
      <c r="F25" s="23"/>
      <c r="G25" s="23"/>
      <c r="H25" s="23"/>
      <c r="I25" s="23"/>
    </row>
    <row r="26" spans="1:9" ht="30" x14ac:dyDescent="0.7">
      <c r="A26" s="47">
        <v>21</v>
      </c>
      <c r="B26" s="57" t="s">
        <v>22</v>
      </c>
      <c r="C26" s="8" t="str">
        <f>[1]!wwsInput()</f>
        <v/>
      </c>
      <c r="D26" s="57" t="str">
        <f t="shared" si="4"/>
        <v xml:space="preserve"> </v>
      </c>
      <c r="E26" s="58">
        <f t="shared" si="1"/>
        <v>0</v>
      </c>
      <c r="F26" s="23"/>
      <c r="G26" s="23"/>
      <c r="H26" s="23"/>
      <c r="I26" s="23"/>
    </row>
    <row r="27" spans="1:9" ht="30" x14ac:dyDescent="0.7">
      <c r="A27" s="47">
        <v>27</v>
      </c>
      <c r="B27" s="57" t="s">
        <v>23</v>
      </c>
      <c r="C27" s="8" t="str">
        <f>[1]!wwsInput()</f>
        <v/>
      </c>
      <c r="D27" s="57" t="str">
        <f t="shared" si="4"/>
        <v xml:space="preserve"> </v>
      </c>
      <c r="E27" s="58">
        <f t="shared" si="1"/>
        <v>0</v>
      </c>
      <c r="F27" s="23"/>
      <c r="G27" s="38"/>
      <c r="H27" s="38"/>
      <c r="I27" s="39"/>
    </row>
    <row r="28" spans="1:9" ht="30" x14ac:dyDescent="0.7">
      <c r="A28" s="47">
        <v>29</v>
      </c>
      <c r="B28" s="57" t="s">
        <v>24</v>
      </c>
      <c r="C28" s="8" t="str">
        <f>[1]!wwsInput()</f>
        <v/>
      </c>
      <c r="D28" s="57" t="str">
        <f t="shared" si="4"/>
        <v xml:space="preserve"> </v>
      </c>
      <c r="E28" s="58">
        <f t="shared" si="1"/>
        <v>0</v>
      </c>
      <c r="F28" s="23"/>
      <c r="G28" s="40"/>
      <c r="H28" s="41"/>
      <c r="I28" s="40"/>
    </row>
    <row r="29" spans="1:9" ht="30" x14ac:dyDescent="0.7">
      <c r="A29" s="47">
        <v>30</v>
      </c>
      <c r="B29" s="57" t="s">
        <v>25</v>
      </c>
      <c r="C29" s="8" t="str">
        <f>[1]!wwsInput()</f>
        <v/>
      </c>
      <c r="D29" s="57" t="str">
        <f t="shared" si="4"/>
        <v xml:space="preserve"> </v>
      </c>
      <c r="E29" s="58">
        <f t="shared" si="1"/>
        <v>0</v>
      </c>
      <c r="F29" s="23"/>
      <c r="G29" s="23"/>
      <c r="H29" s="23"/>
      <c r="I29" s="23"/>
    </row>
    <row r="30" spans="1:9" ht="30" x14ac:dyDescent="0.7">
      <c r="A30" s="47">
        <v>32</v>
      </c>
      <c r="B30" s="57" t="s">
        <v>26</v>
      </c>
      <c r="C30" s="8" t="str">
        <f>[1]!wwsInput()</f>
        <v/>
      </c>
      <c r="D30" s="57" t="str">
        <f t="shared" si="4"/>
        <v xml:space="preserve"> </v>
      </c>
      <c r="E30" s="58">
        <f t="shared" si="1"/>
        <v>0</v>
      </c>
      <c r="F30" s="23"/>
      <c r="G30" s="23"/>
      <c r="H30" s="23"/>
      <c r="I30" s="23"/>
    </row>
    <row r="31" spans="1:9" ht="30" x14ac:dyDescent="0.7">
      <c r="A31" s="47">
        <v>36</v>
      </c>
      <c r="B31" s="57" t="s">
        <v>27</v>
      </c>
      <c r="C31" s="8" t="str">
        <f>[1]!wwsInput()</f>
        <v/>
      </c>
      <c r="D31" s="57" t="str">
        <f t="shared" si="4"/>
        <v xml:space="preserve"> </v>
      </c>
      <c r="E31" s="58">
        <f t="shared" si="1"/>
        <v>0</v>
      </c>
      <c r="F31" s="23"/>
      <c r="G31" s="23"/>
      <c r="H31" s="38"/>
      <c r="I31" s="39"/>
    </row>
    <row r="32" spans="1:9" ht="30" x14ac:dyDescent="0.7">
      <c r="A32" s="47">
        <v>40</v>
      </c>
      <c r="B32" s="57" t="s">
        <v>28</v>
      </c>
      <c r="C32" s="8" t="str">
        <f>[1]!wwsInput()</f>
        <v/>
      </c>
      <c r="D32" s="57" t="str">
        <f t="shared" si="4"/>
        <v xml:space="preserve"> </v>
      </c>
      <c r="E32" s="58">
        <f t="shared" si="1"/>
        <v>0</v>
      </c>
      <c r="F32" s="59"/>
      <c r="G32" s="40"/>
      <c r="H32" s="41"/>
      <c r="I32" s="40"/>
    </row>
    <row r="33" spans="1:9" ht="30" x14ac:dyDescent="0.7">
      <c r="A33" s="47">
        <v>54</v>
      </c>
      <c r="B33" s="57" t="s">
        <v>29</v>
      </c>
      <c r="C33" s="8" t="str">
        <f>[1]!wwsInput()</f>
        <v/>
      </c>
      <c r="D33" s="57" t="str">
        <f t="shared" si="4"/>
        <v xml:space="preserve"> </v>
      </c>
      <c r="E33" s="58">
        <f t="shared" si="1"/>
        <v>0</v>
      </c>
      <c r="F33" s="23"/>
      <c r="G33" s="23"/>
      <c r="H33" s="23"/>
      <c r="I33" s="23"/>
    </row>
    <row r="34" spans="1:9" ht="30" x14ac:dyDescent="0.7">
      <c r="A34" s="47">
        <v>71</v>
      </c>
      <c r="B34" s="57" t="s">
        <v>30</v>
      </c>
      <c r="C34" s="8" t="str">
        <f>[1]!wwsInput()</f>
        <v/>
      </c>
      <c r="D34" s="57" t="str">
        <f t="shared" si="4"/>
        <v xml:space="preserve"> </v>
      </c>
      <c r="E34" s="58">
        <f t="shared" si="1"/>
        <v>0</v>
      </c>
      <c r="F34" s="23"/>
      <c r="G34" s="23"/>
      <c r="H34" s="23"/>
      <c r="I34" s="23"/>
    </row>
    <row r="35" spans="1:9" ht="30" x14ac:dyDescent="0.7">
      <c r="A35" s="47">
        <v>93</v>
      </c>
      <c r="B35" s="57" t="s">
        <v>31</v>
      </c>
      <c r="C35" s="8" t="str">
        <f>[1]!wwsInput()</f>
        <v/>
      </c>
      <c r="D35" s="57" t="str">
        <f t="shared" si="4"/>
        <v xml:space="preserve"> </v>
      </c>
      <c r="E35" s="58">
        <f t="shared" si="1"/>
        <v>0</v>
      </c>
      <c r="F35" s="23"/>
      <c r="G35" s="23"/>
      <c r="H35" s="38"/>
      <c r="I35" s="39"/>
    </row>
    <row r="36" spans="1:9" ht="30" x14ac:dyDescent="0.7">
      <c r="A36" s="47">
        <v>42</v>
      </c>
      <c r="B36" s="57" t="s">
        <v>32</v>
      </c>
      <c r="C36" s="8" t="str">
        <f>[1]!wwsInput()</f>
        <v/>
      </c>
      <c r="D36" s="57" t="str">
        <f t="shared" si="4"/>
        <v xml:space="preserve"> </v>
      </c>
      <c r="E36" s="58">
        <f t="shared" si="1"/>
        <v>0</v>
      </c>
      <c r="F36" s="23"/>
      <c r="G36" s="40"/>
      <c r="H36" s="41"/>
      <c r="I36" s="40"/>
    </row>
    <row r="37" spans="1:9" ht="30" x14ac:dyDescent="0.7">
      <c r="A37" s="47">
        <v>38</v>
      </c>
      <c r="B37" s="57" t="s">
        <v>33</v>
      </c>
      <c r="C37" s="8" t="str">
        <f>[1]!wwsInput()</f>
        <v/>
      </c>
      <c r="D37" s="57" t="str">
        <f t="shared" si="4"/>
        <v xml:space="preserve"> </v>
      </c>
      <c r="E37" s="58">
        <f t="shared" si="1"/>
        <v>0</v>
      </c>
      <c r="F37" s="23"/>
      <c r="G37" s="23"/>
      <c r="H37" s="23"/>
      <c r="I37" s="23"/>
    </row>
    <row r="38" spans="1:9" ht="30" x14ac:dyDescent="0.7">
      <c r="A38" s="47">
        <v>83</v>
      </c>
      <c r="B38" s="57" t="s">
        <v>34</v>
      </c>
      <c r="C38" s="8" t="str">
        <f>[1]!wwsInput()</f>
        <v/>
      </c>
      <c r="D38" s="57" t="str">
        <f t="shared" si="4"/>
        <v xml:space="preserve"> </v>
      </c>
      <c r="E38" s="58">
        <f t="shared" si="1"/>
        <v>0</v>
      </c>
      <c r="F38" s="23"/>
      <c r="G38" s="23"/>
      <c r="H38" s="23"/>
      <c r="I38" s="23"/>
    </row>
    <row r="39" spans="1:9" ht="30" x14ac:dyDescent="0.7">
      <c r="A39" s="47">
        <v>76</v>
      </c>
      <c r="B39" s="57" t="s">
        <v>37</v>
      </c>
      <c r="C39" s="8" t="str">
        <f>[1]!wwsInput()</f>
        <v/>
      </c>
      <c r="D39" s="57" t="str">
        <f t="shared" si="4"/>
        <v xml:space="preserve"> </v>
      </c>
      <c r="E39" s="58">
        <f t="shared" si="1"/>
        <v>0</v>
      </c>
      <c r="F39" s="23"/>
      <c r="G39" s="23"/>
      <c r="H39" s="23"/>
      <c r="I39" s="23"/>
    </row>
    <row r="40" spans="1:9" ht="30" x14ac:dyDescent="0.7">
      <c r="A40" s="47">
        <v>100</v>
      </c>
      <c r="B40" s="57" t="s">
        <v>35</v>
      </c>
      <c r="C40" s="8" t="str">
        <f>[1]!wwsInput()</f>
        <v/>
      </c>
      <c r="D40" s="57" t="str">
        <f t="shared" si="4"/>
        <v xml:space="preserve"> </v>
      </c>
      <c r="E40" s="58">
        <f t="shared" si="1"/>
        <v>0</v>
      </c>
      <c r="F40" s="33"/>
      <c r="G40" s="33"/>
      <c r="H40" s="33"/>
    </row>
    <row r="41" spans="1:9" ht="30" x14ac:dyDescent="0.7">
      <c r="A41" s="47">
        <v>106</v>
      </c>
      <c r="B41" s="57" t="s">
        <v>36</v>
      </c>
      <c r="C41" s="8" t="str">
        <f>[1]!wwsInput()</f>
        <v/>
      </c>
      <c r="D41" s="57" t="str">
        <f t="shared" si="4"/>
        <v xml:space="preserve"> </v>
      </c>
      <c r="E41" s="58">
        <f t="shared" si="1"/>
        <v>0</v>
      </c>
      <c r="F41" s="33"/>
      <c r="G41" s="33"/>
      <c r="H41" s="33"/>
    </row>
    <row r="42" spans="1:9" ht="30" x14ac:dyDescent="0.7">
      <c r="A42" s="47">
        <v>212</v>
      </c>
      <c r="B42" s="57" t="s">
        <v>38</v>
      </c>
      <c r="C42" s="8" t="str">
        <f>[1]!wwsInput()</f>
        <v/>
      </c>
      <c r="D42" s="57" t="str">
        <f t="shared" si="4"/>
        <v xml:space="preserve"> </v>
      </c>
      <c r="E42" s="58">
        <f t="shared" si="1"/>
        <v>0</v>
      </c>
      <c r="F42" s="33"/>
      <c r="G42" s="33"/>
      <c r="H42" s="33"/>
    </row>
    <row r="43" spans="1:9" ht="23.4" x14ac:dyDescent="0.45">
      <c r="A43" s="33"/>
      <c r="C43" s="60" t="str">
        <f>[1]!wwsInput("SCORE:")</f>
        <v>SCORE:</v>
      </c>
      <c r="D43" s="61">
        <f>SUM(E6:E42)/37</f>
        <v>0.10810810810810811</v>
      </c>
      <c r="E43" s="69" t="s">
        <v>43</v>
      </c>
      <c r="F43" s="69"/>
      <c r="G43" s="69"/>
      <c r="H43" s="33"/>
    </row>
    <row r="44" spans="1:9" x14ac:dyDescent="0.3">
      <c r="A44" s="33"/>
      <c r="B44" s="33"/>
      <c r="C44" s="33"/>
      <c r="D44" s="33"/>
      <c r="E44" s="33"/>
      <c r="F44" s="33"/>
      <c r="G44" s="33"/>
      <c r="H44" s="33"/>
      <c r="I44" s="33" t="s">
        <v>21</v>
      </c>
    </row>
  </sheetData>
  <mergeCells count="6">
    <mergeCell ref="E43:G43"/>
    <mergeCell ref="A1:C1"/>
    <mergeCell ref="F1:H1"/>
    <mergeCell ref="A2:C2"/>
    <mergeCell ref="F2:H2"/>
    <mergeCell ref="C4:F4"/>
  </mergeCells>
  <conditionalFormatting sqref="H19">
    <cfRule type="expression" dxfId="45" priority="6">
      <formula>"if(c2=""yes"")"</formula>
    </cfRule>
  </conditionalFormatting>
  <conditionalFormatting sqref="H31">
    <cfRule type="expression" dxfId="44" priority="2">
      <formula>"if(c2=""yes"")"</formula>
    </cfRule>
  </conditionalFormatting>
  <conditionalFormatting sqref="G23">
    <cfRule type="expression" dxfId="43" priority="3">
      <formula>"if(c2=""yes"")"</formula>
    </cfRule>
  </conditionalFormatting>
  <conditionalFormatting sqref="H23">
    <cfRule type="expression" dxfId="42" priority="5">
      <formula>"if(c2=""yes"")"</formula>
    </cfRule>
  </conditionalFormatting>
  <conditionalFormatting sqref="H27">
    <cfRule type="expression" dxfId="41" priority="4">
      <formula>"if(c2=""yes"")"</formula>
    </cfRule>
  </conditionalFormatting>
  <conditionalFormatting sqref="H35">
    <cfRule type="expression" dxfId="40" priority="1">
      <formula>"if(c2=""yes"")"</formula>
    </cfRule>
  </conditionalFormatting>
  <hyperlinks>
    <hyperlink ref="F2:H2" r:id="rId1" display="Convert numeral to word" xr:uid="{BC3A857F-FA20-48F5-BD2B-BC293B064CE3}"/>
  </hyperlinks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C4065-FE6B-4E19-BCFD-D304014DDA78}">
  <dimension ref="A1:R319"/>
  <sheetViews>
    <sheetView showGridLines="0" workbookViewId="0">
      <selection activeCell="D1" sqref="D1"/>
    </sheetView>
  </sheetViews>
  <sheetFormatPr defaultRowHeight="30" x14ac:dyDescent="0.7"/>
  <cols>
    <col min="1" max="1" width="15.33203125" style="28" customWidth="1"/>
    <col min="2" max="2" width="9.88671875" style="16" customWidth="1"/>
    <col min="3" max="3" width="34.88671875" customWidth="1"/>
    <col min="4" max="4" width="11.109375" customWidth="1"/>
    <col min="5" max="5" width="2.21875" customWidth="1"/>
    <col min="6" max="6" width="5" customWidth="1"/>
    <col min="7" max="9" width="8.77734375" customWidth="1"/>
    <col min="10" max="10" width="11.77734375" customWidth="1"/>
    <col min="11" max="11" width="8.77734375" customWidth="1"/>
    <col min="12" max="12" width="2.109375" customWidth="1"/>
    <col min="13" max="16" width="8.77734375" customWidth="1"/>
    <col min="17" max="17" width="8.33203125" customWidth="1"/>
    <col min="18" max="18" width="4.88671875" customWidth="1"/>
  </cols>
  <sheetData>
    <row r="1" spans="1:18" ht="30.6" customHeight="1" x14ac:dyDescent="0.45">
      <c r="A1" s="77" t="s">
        <v>45</v>
      </c>
      <c r="B1" s="77"/>
      <c r="C1" s="77"/>
      <c r="D1" s="47" t="str">
        <f>[1]!wwsSetup("useHTTPS",TRUE)</f>
        <v>useHTTPS = "True"</v>
      </c>
      <c r="F1" s="75" t="s">
        <v>44</v>
      </c>
      <c r="G1" s="75"/>
      <c r="H1" s="75"/>
      <c r="M1" s="26"/>
      <c r="N1" s="26"/>
    </row>
    <row r="2" spans="1:18" ht="19.95" customHeight="1" x14ac:dyDescent="0.3">
      <c r="A2" s="76" t="str">
        <f>CONCATENATE("©ESLatHoward.com"," ","7/22/20")</f>
        <v>©ESLatHoward.com 7/22/20</v>
      </c>
      <c r="B2" s="76"/>
      <c r="C2" s="76"/>
      <c r="E2" s="31"/>
      <c r="F2" s="73" t="s">
        <v>42</v>
      </c>
      <c r="G2" s="73"/>
      <c r="H2" s="73"/>
      <c r="M2" s="63"/>
      <c r="N2" s="26"/>
    </row>
    <row r="3" spans="1:18" ht="15" customHeight="1" x14ac:dyDescent="0.7">
      <c r="A3" s="29"/>
      <c r="B3" s="17"/>
      <c r="C3" s="3"/>
      <c r="D3" s="3"/>
      <c r="E3" s="3"/>
      <c r="I3" s="32"/>
      <c r="J3" s="32"/>
      <c r="K3" s="32"/>
      <c r="L3" s="32"/>
      <c r="M3" s="63"/>
      <c r="N3" s="32"/>
      <c r="R3" s="1"/>
    </row>
    <row r="4" spans="1:18" x14ac:dyDescent="0.7">
      <c r="A4" s="29"/>
      <c r="B4" s="17" t="s">
        <v>0</v>
      </c>
      <c r="C4" s="74" t="str">
        <f>[1]!wwsInput()</f>
        <v/>
      </c>
      <c r="D4" s="74"/>
      <c r="E4" s="74"/>
      <c r="F4" s="74"/>
      <c r="G4" s="74"/>
      <c r="H4" s="74"/>
      <c r="I4" s="11"/>
      <c r="K4" s="11"/>
      <c r="L4" s="11"/>
      <c r="M4" s="64"/>
      <c r="N4" s="11"/>
      <c r="O4" s="11"/>
      <c r="P4" s="11"/>
      <c r="Q4" s="11"/>
      <c r="R4" s="1"/>
    </row>
    <row r="5" spans="1:18" x14ac:dyDescent="0.7">
      <c r="A5" s="29"/>
      <c r="B5" s="17"/>
      <c r="C5" s="5"/>
      <c r="D5" s="6"/>
      <c r="E5" s="7"/>
      <c r="G5" s="11"/>
      <c r="H5" s="11"/>
      <c r="I5" s="11"/>
      <c r="K5" s="11"/>
      <c r="L5" s="11"/>
      <c r="M5" s="64"/>
      <c r="N5" s="11"/>
      <c r="O5" s="11"/>
      <c r="P5" s="11"/>
      <c r="Q5" s="11"/>
      <c r="R5" s="4"/>
    </row>
    <row r="6" spans="1:18" x14ac:dyDescent="0.7">
      <c r="A6" s="30" t="s">
        <v>1</v>
      </c>
      <c r="B6" s="17">
        <v>1</v>
      </c>
      <c r="C6" s="8" t="str">
        <f>[1]!wwsInput("one")</f>
        <v>one</v>
      </c>
      <c r="D6" s="2" t="str">
        <f t="shared" ref="D6:D42" si="0">IF(C6&lt;&gt;"",IF(C6=A6,"GOOD","  ?")," ")</f>
        <v>GOOD</v>
      </c>
      <c r="E6" s="9">
        <f>IF(D6="GOOD",1,0)</f>
        <v>1</v>
      </c>
      <c r="G6" s="11"/>
      <c r="H6" s="11"/>
      <c r="I6" s="11"/>
      <c r="J6" s="11"/>
      <c r="K6" s="11"/>
      <c r="L6" s="11"/>
      <c r="M6" s="64"/>
      <c r="N6" s="11"/>
      <c r="O6" s="11"/>
      <c r="P6" s="11"/>
      <c r="Q6" s="11"/>
    </row>
    <row r="7" spans="1:18" x14ac:dyDescent="0.7">
      <c r="A7" s="30" t="s">
        <v>3</v>
      </c>
      <c r="B7" s="17">
        <v>2</v>
      </c>
      <c r="C7" s="8" t="str">
        <f>[1]!wwsInput("two")</f>
        <v>two</v>
      </c>
      <c r="D7" s="2" t="str">
        <f t="shared" si="0"/>
        <v>GOOD</v>
      </c>
      <c r="E7" s="9">
        <f t="shared" ref="E7:E42" si="1">IF(D7="GOOD",1,0)</f>
        <v>1</v>
      </c>
      <c r="G7" s="11"/>
      <c r="H7" s="11"/>
      <c r="I7" s="11"/>
      <c r="J7" s="11"/>
      <c r="K7" s="11"/>
      <c r="L7" s="11"/>
      <c r="M7" s="64"/>
      <c r="N7" s="11"/>
      <c r="O7" s="11"/>
      <c r="P7" s="11"/>
      <c r="Q7" s="11"/>
    </row>
    <row r="8" spans="1:18" x14ac:dyDescent="0.7">
      <c r="A8" s="30" t="s">
        <v>5</v>
      </c>
      <c r="B8" s="17">
        <v>3</v>
      </c>
      <c r="C8" s="8" t="str">
        <f>[1]!wwsInput("tree")</f>
        <v>tree</v>
      </c>
      <c r="D8" s="2" t="str">
        <f t="shared" si="0"/>
        <v xml:space="preserve">  ?</v>
      </c>
      <c r="E8" s="9">
        <f t="shared" si="1"/>
        <v>0</v>
      </c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18" x14ac:dyDescent="0.7">
      <c r="A9" s="30" t="s">
        <v>7</v>
      </c>
      <c r="B9" s="17">
        <v>4</v>
      </c>
      <c r="C9" s="8" t="str">
        <f>[1]!wwsInput("for")</f>
        <v>for</v>
      </c>
      <c r="D9" s="2" t="str">
        <f t="shared" si="0"/>
        <v xml:space="preserve">  ?</v>
      </c>
      <c r="E9" s="9">
        <f t="shared" si="1"/>
        <v>0</v>
      </c>
      <c r="G9" s="11"/>
      <c r="H9" s="11"/>
      <c r="J9" s="11"/>
      <c r="K9" s="11"/>
      <c r="L9" s="11"/>
      <c r="M9" s="11"/>
      <c r="N9" s="11"/>
      <c r="O9" s="11"/>
      <c r="P9" s="11"/>
      <c r="Q9" s="11"/>
    </row>
    <row r="10" spans="1:18" x14ac:dyDescent="0.7">
      <c r="A10" s="30" t="s">
        <v>9</v>
      </c>
      <c r="B10" s="17">
        <v>5</v>
      </c>
      <c r="C10" s="8" t="str">
        <f>[1]!wwsInput("fife")</f>
        <v>fife</v>
      </c>
      <c r="D10" s="2" t="str">
        <f t="shared" si="0"/>
        <v xml:space="preserve">  ?</v>
      </c>
      <c r="E10" s="9">
        <f t="shared" si="1"/>
        <v>0</v>
      </c>
      <c r="G10" s="11"/>
      <c r="H10" s="11"/>
      <c r="J10" s="11"/>
      <c r="K10" s="11"/>
      <c r="L10" s="11"/>
      <c r="M10" s="11"/>
      <c r="N10" s="11"/>
      <c r="O10" s="11"/>
      <c r="P10" s="11"/>
      <c r="Q10" s="11"/>
    </row>
    <row r="11" spans="1:18" x14ac:dyDescent="0.7">
      <c r="A11" s="30" t="s">
        <v>11</v>
      </c>
      <c r="B11" s="17">
        <v>6</v>
      </c>
      <c r="C11" s="8" t="str">
        <f>[1]!wwsInput("sick")</f>
        <v>sick</v>
      </c>
      <c r="D11" s="2" t="str">
        <f t="shared" si="0"/>
        <v xml:space="preserve">  ?</v>
      </c>
      <c r="E11" s="9">
        <f t="shared" si="1"/>
        <v>0</v>
      </c>
      <c r="G11" s="11"/>
      <c r="H11" s="11"/>
      <c r="J11" s="11"/>
      <c r="K11" s="11"/>
      <c r="L11" s="11"/>
      <c r="M11" s="11"/>
      <c r="N11" s="11"/>
      <c r="O11" s="11"/>
      <c r="P11" s="11"/>
      <c r="Q11" s="11"/>
    </row>
    <row r="12" spans="1:18" x14ac:dyDescent="0.7">
      <c r="A12" s="30" t="s">
        <v>13</v>
      </c>
      <c r="B12" s="17">
        <v>7</v>
      </c>
      <c r="C12" s="8" t="str">
        <f>[1]!wwsInput("seven")</f>
        <v>seven</v>
      </c>
      <c r="D12" s="2" t="str">
        <f t="shared" si="0"/>
        <v>GOOD</v>
      </c>
      <c r="E12" s="9">
        <f t="shared" si="1"/>
        <v>1</v>
      </c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</row>
    <row r="13" spans="1:18" x14ac:dyDescent="0.7">
      <c r="A13" s="30" t="s">
        <v>15</v>
      </c>
      <c r="B13" s="17">
        <v>8</v>
      </c>
      <c r="C13" s="8" t="str">
        <f>[1]!wwsInput()</f>
        <v/>
      </c>
      <c r="D13" s="2" t="str">
        <f t="shared" si="0"/>
        <v xml:space="preserve"> </v>
      </c>
      <c r="E13" s="9">
        <f t="shared" si="1"/>
        <v>0</v>
      </c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</row>
    <row r="14" spans="1:18" x14ac:dyDescent="0.7">
      <c r="A14" s="30" t="s">
        <v>17</v>
      </c>
      <c r="B14" s="17">
        <v>9</v>
      </c>
      <c r="C14" s="8" t="str">
        <f>[1]!wwsInput()</f>
        <v/>
      </c>
      <c r="D14" s="2" t="str">
        <f t="shared" si="0"/>
        <v xml:space="preserve"> </v>
      </c>
      <c r="E14" s="9">
        <f t="shared" si="1"/>
        <v>0</v>
      </c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</row>
    <row r="15" spans="1:18" x14ac:dyDescent="0.7">
      <c r="A15" s="30" t="s">
        <v>19</v>
      </c>
      <c r="B15" s="17">
        <v>10</v>
      </c>
      <c r="C15" s="8" t="str">
        <f>[1]!wwsInput()</f>
        <v/>
      </c>
      <c r="D15" s="2" t="str">
        <f t="shared" si="0"/>
        <v xml:space="preserve"> </v>
      </c>
      <c r="E15" s="9">
        <f t="shared" si="1"/>
        <v>0</v>
      </c>
      <c r="F15" s="46"/>
      <c r="G15" s="48"/>
      <c r="H15" s="46"/>
      <c r="I15" s="43"/>
      <c r="J15" s="43"/>
      <c r="K15" s="43"/>
      <c r="L15" s="43"/>
      <c r="M15" s="43"/>
      <c r="N15" s="43"/>
      <c r="O15" s="43"/>
      <c r="P15" s="43"/>
      <c r="Q15" s="46"/>
    </row>
    <row r="16" spans="1:18" x14ac:dyDescent="0.7">
      <c r="A16" s="30" t="s">
        <v>2</v>
      </c>
      <c r="B16" s="17">
        <v>11</v>
      </c>
      <c r="C16" s="8" t="str">
        <f>[1]!wwsInput()</f>
        <v/>
      </c>
      <c r="D16" s="2" t="str">
        <f t="shared" si="0"/>
        <v xml:space="preserve"> </v>
      </c>
      <c r="E16" s="9">
        <f t="shared" si="1"/>
        <v>0</v>
      </c>
      <c r="F16" s="46"/>
      <c r="G16" s="10"/>
      <c r="H16" s="45"/>
      <c r="I16" s="10"/>
      <c r="J16" s="10"/>
      <c r="K16" s="45"/>
      <c r="L16" s="10"/>
      <c r="M16" s="45"/>
      <c r="N16" s="10"/>
      <c r="O16" s="10"/>
      <c r="P16" s="45"/>
      <c r="Q16" s="46"/>
    </row>
    <row r="17" spans="1:17" x14ac:dyDescent="0.7">
      <c r="A17" s="30" t="s">
        <v>4</v>
      </c>
      <c r="B17" s="17">
        <v>12</v>
      </c>
      <c r="C17" s="8" t="str">
        <f>[1]!wwsInput()</f>
        <v/>
      </c>
      <c r="D17" s="2" t="str">
        <f t="shared" si="0"/>
        <v xml:space="preserve"> </v>
      </c>
      <c r="E17" s="9">
        <f t="shared" si="1"/>
        <v>0</v>
      </c>
      <c r="F17" s="46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6"/>
    </row>
    <row r="18" spans="1:17" x14ac:dyDescent="0.7">
      <c r="A18" s="30" t="s">
        <v>6</v>
      </c>
      <c r="B18" s="17">
        <v>13</v>
      </c>
      <c r="C18" s="8" t="str">
        <f>[1]!wwsInput()</f>
        <v/>
      </c>
      <c r="D18" s="2" t="str">
        <f t="shared" si="0"/>
        <v xml:space="preserve"> </v>
      </c>
      <c r="E18" s="9">
        <f t="shared" si="1"/>
        <v>0</v>
      </c>
      <c r="F18" s="46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6"/>
    </row>
    <row r="19" spans="1:17" x14ac:dyDescent="0.7">
      <c r="A19" s="30" t="s">
        <v>8</v>
      </c>
      <c r="B19" s="17">
        <v>14</v>
      </c>
      <c r="C19" s="8" t="str">
        <f>[1]!wwsInput()</f>
        <v/>
      </c>
      <c r="D19" s="2" t="str">
        <f t="shared" si="0"/>
        <v xml:space="preserve"> </v>
      </c>
      <c r="E19" s="9">
        <f t="shared" si="1"/>
        <v>0</v>
      </c>
      <c r="F19" s="46"/>
      <c r="G19" s="48"/>
      <c r="H19" s="43"/>
      <c r="I19" s="43"/>
      <c r="J19" s="43"/>
      <c r="K19" s="43"/>
      <c r="L19" s="43"/>
      <c r="M19" s="43"/>
      <c r="N19" s="43"/>
      <c r="O19" s="43"/>
      <c r="P19" s="43"/>
      <c r="Q19" s="46"/>
    </row>
    <row r="20" spans="1:17" x14ac:dyDescent="0.7">
      <c r="A20" s="30" t="s">
        <v>10</v>
      </c>
      <c r="B20" s="17">
        <v>15</v>
      </c>
      <c r="C20" s="8" t="str">
        <f>[1]!wwsInput()</f>
        <v/>
      </c>
      <c r="D20" s="2" t="str">
        <f t="shared" si="0"/>
        <v xml:space="preserve"> </v>
      </c>
      <c r="E20" s="9">
        <f t="shared" si="1"/>
        <v>0</v>
      </c>
      <c r="F20" s="46"/>
      <c r="G20" s="10"/>
      <c r="H20" s="45"/>
      <c r="I20" s="10"/>
      <c r="J20" s="10"/>
      <c r="K20" s="45"/>
      <c r="L20" s="10"/>
      <c r="M20" s="45"/>
      <c r="N20" s="10"/>
      <c r="O20" s="10"/>
      <c r="P20" s="45"/>
      <c r="Q20" s="46"/>
    </row>
    <row r="21" spans="1:17" x14ac:dyDescent="0.7">
      <c r="A21" s="30" t="s">
        <v>12</v>
      </c>
      <c r="B21" s="17">
        <v>16</v>
      </c>
      <c r="C21" s="8" t="str">
        <f>[1]!wwsInput()</f>
        <v/>
      </c>
      <c r="D21" s="2" t="str">
        <f t="shared" si="0"/>
        <v xml:space="preserve"> </v>
      </c>
      <c r="E21" s="9">
        <f t="shared" si="1"/>
        <v>0</v>
      </c>
      <c r="F21" s="46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6"/>
    </row>
    <row r="22" spans="1:17" x14ac:dyDescent="0.7">
      <c r="A22" s="30" t="s">
        <v>14</v>
      </c>
      <c r="B22" s="17">
        <v>17</v>
      </c>
      <c r="C22" s="8" t="str">
        <f>[1]!wwsInput()</f>
        <v/>
      </c>
      <c r="D22" s="2" t="str">
        <f t="shared" si="0"/>
        <v xml:space="preserve"> </v>
      </c>
      <c r="E22" s="9">
        <f t="shared" si="1"/>
        <v>0</v>
      </c>
      <c r="F22" s="46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6"/>
    </row>
    <row r="23" spans="1:17" x14ac:dyDescent="0.7">
      <c r="A23" s="30" t="s">
        <v>16</v>
      </c>
      <c r="B23" s="17">
        <v>18</v>
      </c>
      <c r="C23" s="8" t="str">
        <f>[1]!wwsInput()</f>
        <v/>
      </c>
      <c r="D23" s="2" t="str">
        <f t="shared" si="0"/>
        <v xml:space="preserve"> </v>
      </c>
      <c r="E23" s="9">
        <f t="shared" si="1"/>
        <v>0</v>
      </c>
      <c r="F23" s="46"/>
      <c r="G23" s="48"/>
      <c r="H23" s="43"/>
      <c r="I23" s="43"/>
      <c r="J23" s="43"/>
      <c r="K23" s="43"/>
      <c r="L23" s="43"/>
      <c r="M23" s="43"/>
      <c r="N23" s="43"/>
      <c r="O23" s="43"/>
      <c r="P23" s="43"/>
      <c r="Q23" s="43"/>
    </row>
    <row r="24" spans="1:17" x14ac:dyDescent="0.7">
      <c r="A24" s="30" t="s">
        <v>18</v>
      </c>
      <c r="B24" s="17">
        <v>19</v>
      </c>
      <c r="C24" s="8" t="str">
        <f>[1]!wwsInput()</f>
        <v/>
      </c>
      <c r="D24" s="2" t="str">
        <f t="shared" si="0"/>
        <v xml:space="preserve"> </v>
      </c>
      <c r="E24" s="9">
        <f t="shared" si="1"/>
        <v>0</v>
      </c>
      <c r="F24" s="42"/>
      <c r="G24" s="10"/>
      <c r="H24" s="45"/>
      <c r="I24" s="10"/>
      <c r="J24" s="10"/>
      <c r="K24" s="45"/>
      <c r="L24" s="10"/>
      <c r="M24" s="45"/>
      <c r="N24" s="10"/>
      <c r="O24" s="10"/>
      <c r="P24" s="45"/>
      <c r="Q24" s="45"/>
    </row>
    <row r="25" spans="1:17" x14ac:dyDescent="0.7">
      <c r="A25" s="30" t="s">
        <v>20</v>
      </c>
      <c r="B25" s="17">
        <v>20</v>
      </c>
      <c r="C25" s="8" t="str">
        <f>[1]!wwsInput()</f>
        <v/>
      </c>
      <c r="D25" s="2" t="str">
        <f t="shared" si="0"/>
        <v xml:space="preserve"> </v>
      </c>
      <c r="E25" s="9">
        <f t="shared" si="1"/>
        <v>0</v>
      </c>
      <c r="F25" s="42"/>
      <c r="G25" s="42"/>
      <c r="H25" s="43"/>
      <c r="I25" s="44"/>
      <c r="J25" s="44"/>
      <c r="K25" s="43"/>
      <c r="L25" s="44"/>
      <c r="M25" s="43"/>
      <c r="N25" s="44"/>
      <c r="O25" s="44"/>
      <c r="P25" s="43"/>
      <c r="Q25" s="42"/>
    </row>
    <row r="26" spans="1:17" x14ac:dyDescent="0.7">
      <c r="A26" s="30" t="s">
        <v>22</v>
      </c>
      <c r="B26" s="17">
        <v>21</v>
      </c>
      <c r="C26" s="8" t="str">
        <f>[1]!wwsInput()</f>
        <v/>
      </c>
      <c r="D26" s="2" t="str">
        <f t="shared" si="0"/>
        <v xml:space="preserve"> </v>
      </c>
      <c r="E26" s="9">
        <f t="shared" si="1"/>
        <v>0</v>
      </c>
      <c r="F26" s="42"/>
      <c r="G26" s="10"/>
      <c r="H26" s="45"/>
      <c r="I26" s="10"/>
      <c r="J26" s="10"/>
      <c r="K26" s="45"/>
      <c r="L26" s="10"/>
      <c r="M26" s="45"/>
      <c r="N26" s="10"/>
      <c r="O26" s="10"/>
      <c r="P26" s="45"/>
      <c r="Q26" s="42"/>
    </row>
    <row r="27" spans="1:17" x14ac:dyDescent="0.7">
      <c r="A27" s="30" t="s">
        <v>23</v>
      </c>
      <c r="B27" s="17">
        <v>27</v>
      </c>
      <c r="C27" s="8" t="str">
        <f>[1]!wwsInput()</f>
        <v/>
      </c>
      <c r="D27" s="2" t="str">
        <f t="shared" si="0"/>
        <v xml:space="preserve"> </v>
      </c>
      <c r="E27" s="9">
        <f t="shared" si="1"/>
        <v>0</v>
      </c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</row>
    <row r="28" spans="1:17" x14ac:dyDescent="0.7">
      <c r="A28" s="30" t="s">
        <v>24</v>
      </c>
      <c r="B28" s="17">
        <v>29</v>
      </c>
      <c r="C28" s="8" t="str">
        <f>[1]!wwsInput()</f>
        <v/>
      </c>
      <c r="D28" s="2" t="str">
        <f t="shared" si="0"/>
        <v xml:space="preserve"> </v>
      </c>
      <c r="E28" s="9">
        <f t="shared" si="1"/>
        <v>0</v>
      </c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</row>
    <row r="29" spans="1:17" x14ac:dyDescent="0.7">
      <c r="A29" s="30" t="s">
        <v>25</v>
      </c>
      <c r="B29" s="17">
        <v>30</v>
      </c>
      <c r="C29" s="8" t="str">
        <f>[1]!wwsInput()</f>
        <v/>
      </c>
      <c r="D29" s="2" t="str">
        <f t="shared" si="0"/>
        <v xml:space="preserve"> </v>
      </c>
      <c r="E29" s="9">
        <f t="shared" si="1"/>
        <v>0</v>
      </c>
      <c r="F29" s="42"/>
      <c r="G29" s="43"/>
      <c r="H29" s="43"/>
      <c r="I29" s="44"/>
      <c r="J29" s="44"/>
      <c r="K29" s="43"/>
      <c r="L29" s="43"/>
      <c r="M29" s="43"/>
      <c r="N29" s="44"/>
      <c r="O29" s="44"/>
      <c r="P29" s="43"/>
      <c r="Q29" s="42"/>
    </row>
    <row r="30" spans="1:17" x14ac:dyDescent="0.7">
      <c r="A30" s="30" t="s">
        <v>26</v>
      </c>
      <c r="B30" s="17">
        <v>32</v>
      </c>
      <c r="C30" s="8" t="str">
        <f>[1]!wwsInput()</f>
        <v/>
      </c>
      <c r="D30" s="2" t="str">
        <f t="shared" si="0"/>
        <v xml:space="preserve"> </v>
      </c>
      <c r="E30" s="9">
        <f t="shared" si="1"/>
        <v>0</v>
      </c>
      <c r="F30" s="10"/>
      <c r="G30" s="45"/>
      <c r="H30" s="45"/>
      <c r="I30" s="10"/>
      <c r="J30" s="10"/>
      <c r="K30" s="45"/>
      <c r="L30" s="45"/>
      <c r="M30" s="45"/>
      <c r="N30" s="10"/>
      <c r="O30" s="10"/>
      <c r="P30" s="45"/>
      <c r="Q30" s="42"/>
    </row>
    <row r="31" spans="1:17" x14ac:dyDescent="0.7">
      <c r="A31" s="30" t="s">
        <v>27</v>
      </c>
      <c r="B31" s="17">
        <v>36</v>
      </c>
      <c r="C31" s="8" t="str">
        <f>[1]!wwsInput()</f>
        <v/>
      </c>
      <c r="D31" s="2" t="str">
        <f t="shared" si="0"/>
        <v xml:space="preserve"> </v>
      </c>
      <c r="E31" s="9">
        <f t="shared" si="1"/>
        <v>0</v>
      </c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</row>
    <row r="32" spans="1:17" x14ac:dyDescent="0.7">
      <c r="A32" s="30" t="s">
        <v>28</v>
      </c>
      <c r="B32" s="17">
        <v>40</v>
      </c>
      <c r="C32" s="8" t="str">
        <f>[1]!wwsInput()</f>
        <v/>
      </c>
      <c r="D32" s="2" t="str">
        <f t="shared" si="0"/>
        <v xml:space="preserve"> </v>
      </c>
      <c r="E32" s="9">
        <f t="shared" si="1"/>
        <v>0</v>
      </c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</row>
    <row r="33" spans="1:17" x14ac:dyDescent="0.7">
      <c r="A33" s="30" t="s">
        <v>29</v>
      </c>
      <c r="B33" s="17">
        <v>54</v>
      </c>
      <c r="C33" s="8" t="str">
        <f>[1]!wwsInput()</f>
        <v/>
      </c>
      <c r="D33" s="2" t="str">
        <f t="shared" si="0"/>
        <v xml:space="preserve"> </v>
      </c>
      <c r="E33" s="9">
        <f t="shared" si="1"/>
        <v>0</v>
      </c>
      <c r="F33" s="42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2"/>
    </row>
    <row r="34" spans="1:17" x14ac:dyDescent="0.7">
      <c r="A34" s="30" t="s">
        <v>30</v>
      </c>
      <c r="B34" s="17">
        <v>71</v>
      </c>
      <c r="C34" s="8" t="str">
        <f>[1]!wwsInput()</f>
        <v/>
      </c>
      <c r="D34" s="2" t="str">
        <f t="shared" si="0"/>
        <v xml:space="preserve"> </v>
      </c>
      <c r="E34" s="9">
        <f t="shared" si="1"/>
        <v>0</v>
      </c>
      <c r="F34" s="42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2"/>
    </row>
    <row r="35" spans="1:17" x14ac:dyDescent="0.7">
      <c r="A35" s="30" t="s">
        <v>31</v>
      </c>
      <c r="B35" s="17">
        <v>93</v>
      </c>
      <c r="C35" s="8" t="str">
        <f>[1]!wwsInput()</f>
        <v/>
      </c>
      <c r="D35" s="2" t="str">
        <f t="shared" si="0"/>
        <v xml:space="preserve"> </v>
      </c>
      <c r="E35" s="9">
        <f t="shared" si="1"/>
        <v>0</v>
      </c>
      <c r="F35" s="42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2"/>
    </row>
    <row r="36" spans="1:17" x14ac:dyDescent="0.7">
      <c r="A36" s="30" t="s">
        <v>32</v>
      </c>
      <c r="B36" s="17">
        <v>42</v>
      </c>
      <c r="C36" s="8" t="str">
        <f>[1]!wwsInput()</f>
        <v/>
      </c>
      <c r="D36" s="2" t="str">
        <f t="shared" si="0"/>
        <v xml:space="preserve"> </v>
      </c>
      <c r="E36" s="9">
        <f t="shared" si="1"/>
        <v>0</v>
      </c>
      <c r="F36" s="42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2"/>
    </row>
    <row r="37" spans="1:17" x14ac:dyDescent="0.7">
      <c r="A37" s="30" t="s">
        <v>33</v>
      </c>
      <c r="B37" s="17">
        <v>38</v>
      </c>
      <c r="C37" s="8" t="str">
        <f>[1]!wwsInput()</f>
        <v/>
      </c>
      <c r="D37" s="2" t="str">
        <f t="shared" si="0"/>
        <v xml:space="preserve"> </v>
      </c>
      <c r="E37" s="9">
        <f t="shared" si="1"/>
        <v>0</v>
      </c>
      <c r="F37" s="42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2"/>
    </row>
    <row r="38" spans="1:17" x14ac:dyDescent="0.7">
      <c r="A38" s="30" t="s">
        <v>34</v>
      </c>
      <c r="B38" s="17">
        <v>83</v>
      </c>
      <c r="C38" s="8" t="str">
        <f>[1]!wwsInput()</f>
        <v/>
      </c>
      <c r="D38" s="2" t="str">
        <f t="shared" si="0"/>
        <v xml:space="preserve"> </v>
      </c>
      <c r="E38" s="9">
        <f t="shared" si="1"/>
        <v>0</v>
      </c>
      <c r="F38" s="10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2"/>
    </row>
    <row r="39" spans="1:17" x14ac:dyDescent="0.7">
      <c r="A39" s="30" t="s">
        <v>37</v>
      </c>
      <c r="B39" s="17">
        <v>76</v>
      </c>
      <c r="C39" s="8" t="str">
        <f>[1]!wwsInput()</f>
        <v/>
      </c>
      <c r="D39" s="2" t="str">
        <f t="shared" si="0"/>
        <v xml:space="preserve"> </v>
      </c>
      <c r="E39" s="9">
        <f t="shared" si="1"/>
        <v>0</v>
      </c>
      <c r="F39" s="42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2"/>
    </row>
    <row r="40" spans="1:17" x14ac:dyDescent="0.7">
      <c r="A40" s="30" t="s">
        <v>35</v>
      </c>
      <c r="B40" s="17">
        <v>100</v>
      </c>
      <c r="C40" s="8" t="str">
        <f>[1]!wwsInput()</f>
        <v/>
      </c>
      <c r="D40" s="2" t="str">
        <f t="shared" si="0"/>
        <v xml:space="preserve"> </v>
      </c>
      <c r="E40" s="9">
        <f t="shared" si="1"/>
        <v>0</v>
      </c>
      <c r="F40" s="42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2"/>
    </row>
    <row r="41" spans="1:17" x14ac:dyDescent="0.7">
      <c r="A41" s="30" t="s">
        <v>36</v>
      </c>
      <c r="B41" s="17">
        <v>106</v>
      </c>
      <c r="C41" s="8" t="str">
        <f>[1]!wwsInput()</f>
        <v/>
      </c>
      <c r="D41" s="2" t="str">
        <f t="shared" si="0"/>
        <v xml:space="preserve"> </v>
      </c>
      <c r="E41" s="9">
        <f t="shared" si="1"/>
        <v>0</v>
      </c>
      <c r="F41" s="42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2"/>
    </row>
    <row r="42" spans="1:17" x14ac:dyDescent="0.7">
      <c r="A42" s="30" t="s">
        <v>38</v>
      </c>
      <c r="B42" s="17">
        <v>212</v>
      </c>
      <c r="C42" s="8" t="str">
        <f>[1]!wwsInput()</f>
        <v/>
      </c>
      <c r="D42" s="2" t="str">
        <f t="shared" si="0"/>
        <v xml:space="preserve"> </v>
      </c>
      <c r="E42" s="9">
        <f t="shared" si="1"/>
        <v>0</v>
      </c>
      <c r="F42" s="42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2"/>
    </row>
    <row r="43" spans="1:17" s="18" customFormat="1" x14ac:dyDescent="0.7">
      <c r="A43" s="28"/>
      <c r="B43" s="17"/>
      <c r="C43" s="62" t="str">
        <f>[1]!wwsInput("SCORE:")</f>
        <v>SCORE:</v>
      </c>
      <c r="D43" s="50">
        <f>SUM(E6:E42)/37</f>
        <v>8.1081081081081086E-2</v>
      </c>
      <c r="E43" s="51" t="s">
        <v>43</v>
      </c>
      <c r="F43" s="20"/>
      <c r="G43" s="20"/>
      <c r="H43" s="42"/>
      <c r="I43" s="42"/>
      <c r="J43" s="42"/>
      <c r="K43" s="42"/>
      <c r="L43" s="42"/>
      <c r="N43" s="42"/>
      <c r="O43" s="42"/>
      <c r="P43" s="42"/>
      <c r="Q43" s="42"/>
    </row>
    <row r="44" spans="1:17" s="18" customFormat="1" x14ac:dyDescent="0.7">
      <c r="A44" s="28"/>
      <c r="B44" s="17"/>
      <c r="C44" s="49"/>
      <c r="D44" s="49"/>
      <c r="E44" s="49"/>
      <c r="F44" s="20"/>
      <c r="G44" s="20"/>
      <c r="H44" s="42"/>
      <c r="I44" s="18" t="s">
        <v>21</v>
      </c>
      <c r="J44" s="42"/>
      <c r="K44" s="42"/>
      <c r="L44" s="42"/>
      <c r="M44" s="42"/>
      <c r="N44" s="42"/>
      <c r="O44" s="42"/>
      <c r="P44" s="42"/>
      <c r="Q44" s="46"/>
    </row>
    <row r="45" spans="1:17" s="18" customFormat="1" x14ac:dyDescent="0.7">
      <c r="A45" s="28"/>
      <c r="B45" s="17"/>
      <c r="C45" s="49"/>
      <c r="D45" s="49"/>
      <c r="E45" s="49"/>
      <c r="F45" s="49"/>
      <c r="G45" s="49"/>
    </row>
    <row r="46" spans="1:17" s="18" customFormat="1" x14ac:dyDescent="0.7">
      <c r="A46" s="28"/>
      <c r="B46" s="17"/>
    </row>
    <row r="47" spans="1:17" s="18" customFormat="1" x14ac:dyDescent="0.7">
      <c r="A47" s="28"/>
      <c r="B47" s="17"/>
    </row>
    <row r="48" spans="1:17" s="18" customFormat="1" x14ac:dyDescent="0.7">
      <c r="A48" s="28"/>
      <c r="B48" s="17"/>
    </row>
    <row r="49" spans="1:2" s="18" customFormat="1" x14ac:dyDescent="0.7">
      <c r="A49" s="28"/>
      <c r="B49" s="17"/>
    </row>
    <row r="50" spans="1:2" s="18" customFormat="1" x14ac:dyDescent="0.7">
      <c r="A50" s="28"/>
      <c r="B50" s="17"/>
    </row>
    <row r="51" spans="1:2" s="18" customFormat="1" x14ac:dyDescent="0.7">
      <c r="A51" s="28"/>
      <c r="B51" s="17"/>
    </row>
    <row r="52" spans="1:2" s="18" customFormat="1" x14ac:dyDescent="0.7">
      <c r="A52" s="28"/>
      <c r="B52" s="17"/>
    </row>
    <row r="53" spans="1:2" s="18" customFormat="1" x14ac:dyDescent="0.7">
      <c r="A53" s="28"/>
      <c r="B53" s="17"/>
    </row>
    <row r="54" spans="1:2" s="18" customFormat="1" x14ac:dyDescent="0.7">
      <c r="A54" s="28"/>
      <c r="B54" s="17"/>
    </row>
    <row r="55" spans="1:2" s="18" customFormat="1" x14ac:dyDescent="0.7">
      <c r="A55" s="28"/>
      <c r="B55" s="17"/>
    </row>
    <row r="56" spans="1:2" s="18" customFormat="1" x14ac:dyDescent="0.7">
      <c r="A56" s="28"/>
      <c r="B56" s="17"/>
    </row>
    <row r="57" spans="1:2" s="18" customFormat="1" x14ac:dyDescent="0.7">
      <c r="A57" s="28"/>
      <c r="B57" s="17"/>
    </row>
    <row r="58" spans="1:2" s="18" customFormat="1" x14ac:dyDescent="0.7">
      <c r="A58" s="28"/>
      <c r="B58" s="17"/>
    </row>
    <row r="59" spans="1:2" s="18" customFormat="1" x14ac:dyDescent="0.7">
      <c r="A59" s="28"/>
      <c r="B59" s="17"/>
    </row>
    <row r="60" spans="1:2" s="18" customFormat="1" x14ac:dyDescent="0.7">
      <c r="A60" s="28"/>
      <c r="B60" s="17"/>
    </row>
    <row r="61" spans="1:2" s="18" customFormat="1" x14ac:dyDescent="0.7">
      <c r="A61" s="28"/>
      <c r="B61" s="17"/>
    </row>
    <row r="62" spans="1:2" s="18" customFormat="1" x14ac:dyDescent="0.7">
      <c r="A62" s="28"/>
      <c r="B62" s="17"/>
    </row>
    <row r="63" spans="1:2" s="18" customFormat="1" x14ac:dyDescent="0.7">
      <c r="A63" s="28"/>
      <c r="B63" s="17"/>
    </row>
    <row r="64" spans="1:2" s="18" customFormat="1" x14ac:dyDescent="0.7">
      <c r="A64" s="28"/>
      <c r="B64" s="17"/>
    </row>
    <row r="65" spans="1:2" s="18" customFormat="1" x14ac:dyDescent="0.7">
      <c r="A65" s="28"/>
      <c r="B65" s="17"/>
    </row>
    <row r="66" spans="1:2" s="18" customFormat="1" x14ac:dyDescent="0.7">
      <c r="A66" s="28"/>
      <c r="B66" s="17"/>
    </row>
    <row r="67" spans="1:2" s="18" customFormat="1" x14ac:dyDescent="0.7">
      <c r="A67" s="28"/>
      <c r="B67" s="17"/>
    </row>
    <row r="68" spans="1:2" s="18" customFormat="1" x14ac:dyDescent="0.7">
      <c r="A68" s="28"/>
      <c r="B68" s="17"/>
    </row>
    <row r="69" spans="1:2" s="18" customFormat="1" x14ac:dyDescent="0.7">
      <c r="A69" s="28"/>
      <c r="B69" s="17"/>
    </row>
    <row r="70" spans="1:2" s="18" customFormat="1" x14ac:dyDescent="0.7">
      <c r="A70" s="28"/>
      <c r="B70" s="17"/>
    </row>
    <row r="71" spans="1:2" s="18" customFormat="1" x14ac:dyDescent="0.7">
      <c r="A71" s="28"/>
      <c r="B71" s="17"/>
    </row>
    <row r="72" spans="1:2" s="18" customFormat="1" x14ac:dyDescent="0.7">
      <c r="A72" s="28"/>
      <c r="B72" s="17"/>
    </row>
    <row r="73" spans="1:2" s="18" customFormat="1" x14ac:dyDescent="0.7">
      <c r="A73" s="28"/>
      <c r="B73" s="17"/>
    </row>
    <row r="74" spans="1:2" s="18" customFormat="1" x14ac:dyDescent="0.7">
      <c r="A74" s="28"/>
      <c r="B74" s="17"/>
    </row>
    <row r="75" spans="1:2" s="18" customFormat="1" x14ac:dyDescent="0.7">
      <c r="A75" s="28"/>
      <c r="B75" s="17"/>
    </row>
    <row r="76" spans="1:2" s="18" customFormat="1" x14ac:dyDescent="0.7">
      <c r="A76" s="28"/>
      <c r="B76" s="17"/>
    </row>
    <row r="77" spans="1:2" s="18" customFormat="1" x14ac:dyDescent="0.7">
      <c r="A77" s="28"/>
      <c r="B77" s="17"/>
    </row>
    <row r="78" spans="1:2" s="18" customFormat="1" x14ac:dyDescent="0.7">
      <c r="A78" s="28"/>
      <c r="B78" s="17"/>
    </row>
    <row r="79" spans="1:2" s="18" customFormat="1" x14ac:dyDescent="0.7">
      <c r="A79" s="28"/>
      <c r="B79" s="17"/>
    </row>
    <row r="80" spans="1:2" s="18" customFormat="1" x14ac:dyDescent="0.7">
      <c r="A80" s="28"/>
      <c r="B80" s="17"/>
    </row>
    <row r="81" spans="1:2" s="18" customFormat="1" x14ac:dyDescent="0.7">
      <c r="A81" s="28"/>
      <c r="B81" s="17"/>
    </row>
    <row r="82" spans="1:2" s="18" customFormat="1" x14ac:dyDescent="0.7">
      <c r="A82" s="28"/>
      <c r="B82" s="17"/>
    </row>
    <row r="83" spans="1:2" s="18" customFormat="1" x14ac:dyDescent="0.7">
      <c r="A83" s="28"/>
      <c r="B83" s="17"/>
    </row>
    <row r="84" spans="1:2" s="18" customFormat="1" x14ac:dyDescent="0.7">
      <c r="A84" s="28"/>
      <c r="B84" s="17"/>
    </row>
    <row r="85" spans="1:2" s="18" customFormat="1" x14ac:dyDescent="0.7">
      <c r="A85" s="28"/>
      <c r="B85" s="17"/>
    </row>
    <row r="86" spans="1:2" s="18" customFormat="1" x14ac:dyDescent="0.7">
      <c r="A86" s="28"/>
      <c r="B86" s="17"/>
    </row>
    <row r="87" spans="1:2" s="18" customFormat="1" x14ac:dyDescent="0.7">
      <c r="A87" s="28"/>
      <c r="B87" s="17"/>
    </row>
    <row r="88" spans="1:2" s="18" customFormat="1" x14ac:dyDescent="0.7">
      <c r="A88" s="28"/>
      <c r="B88" s="17"/>
    </row>
    <row r="89" spans="1:2" s="18" customFormat="1" x14ac:dyDescent="0.7">
      <c r="A89" s="28"/>
      <c r="B89" s="17"/>
    </row>
    <row r="90" spans="1:2" s="18" customFormat="1" x14ac:dyDescent="0.7">
      <c r="A90" s="28"/>
      <c r="B90" s="17"/>
    </row>
    <row r="91" spans="1:2" s="18" customFormat="1" x14ac:dyDescent="0.7">
      <c r="A91" s="28"/>
      <c r="B91" s="17"/>
    </row>
    <row r="92" spans="1:2" s="18" customFormat="1" x14ac:dyDescent="0.7">
      <c r="A92" s="28"/>
      <c r="B92" s="17"/>
    </row>
    <row r="93" spans="1:2" s="18" customFormat="1" x14ac:dyDescent="0.7">
      <c r="A93" s="28"/>
      <c r="B93" s="17"/>
    </row>
    <row r="94" spans="1:2" s="18" customFormat="1" x14ac:dyDescent="0.7">
      <c r="A94" s="28"/>
      <c r="B94" s="17"/>
    </row>
    <row r="95" spans="1:2" s="18" customFormat="1" x14ac:dyDescent="0.7">
      <c r="A95" s="28"/>
      <c r="B95" s="17"/>
    </row>
    <row r="96" spans="1:2" s="18" customFormat="1" x14ac:dyDescent="0.7">
      <c r="A96" s="28"/>
      <c r="B96" s="17"/>
    </row>
    <row r="97" spans="1:2" s="18" customFormat="1" x14ac:dyDescent="0.7">
      <c r="A97" s="28"/>
      <c r="B97" s="17"/>
    </row>
    <row r="98" spans="1:2" s="18" customFormat="1" x14ac:dyDescent="0.7">
      <c r="A98" s="28"/>
      <c r="B98" s="17"/>
    </row>
    <row r="99" spans="1:2" s="18" customFormat="1" x14ac:dyDescent="0.7">
      <c r="A99" s="28"/>
      <c r="B99" s="17"/>
    </row>
    <row r="100" spans="1:2" s="18" customFormat="1" x14ac:dyDescent="0.7">
      <c r="A100" s="28"/>
      <c r="B100" s="17"/>
    </row>
    <row r="101" spans="1:2" s="18" customFormat="1" x14ac:dyDescent="0.7">
      <c r="A101" s="28"/>
      <c r="B101" s="17"/>
    </row>
    <row r="102" spans="1:2" s="18" customFormat="1" x14ac:dyDescent="0.7">
      <c r="A102" s="28"/>
      <c r="B102" s="17"/>
    </row>
    <row r="103" spans="1:2" s="18" customFormat="1" x14ac:dyDescent="0.7">
      <c r="A103" s="28"/>
      <c r="B103" s="17"/>
    </row>
    <row r="104" spans="1:2" s="18" customFormat="1" x14ac:dyDescent="0.7">
      <c r="A104" s="28"/>
      <c r="B104" s="17"/>
    </row>
    <row r="105" spans="1:2" s="18" customFormat="1" x14ac:dyDescent="0.7">
      <c r="A105" s="28"/>
      <c r="B105" s="17"/>
    </row>
    <row r="106" spans="1:2" s="18" customFormat="1" x14ac:dyDescent="0.7">
      <c r="A106" s="28"/>
      <c r="B106" s="17"/>
    </row>
    <row r="107" spans="1:2" s="18" customFormat="1" x14ac:dyDescent="0.7">
      <c r="A107" s="28"/>
      <c r="B107" s="17"/>
    </row>
    <row r="108" spans="1:2" s="18" customFormat="1" x14ac:dyDescent="0.7">
      <c r="A108" s="28"/>
      <c r="B108" s="17"/>
    </row>
    <row r="109" spans="1:2" s="18" customFormat="1" x14ac:dyDescent="0.7">
      <c r="A109" s="28"/>
      <c r="B109" s="17"/>
    </row>
    <row r="110" spans="1:2" s="18" customFormat="1" x14ac:dyDescent="0.7">
      <c r="A110" s="28"/>
      <c r="B110" s="17"/>
    </row>
    <row r="111" spans="1:2" s="18" customFormat="1" x14ac:dyDescent="0.7">
      <c r="A111" s="28"/>
      <c r="B111" s="17"/>
    </row>
    <row r="112" spans="1:2" s="18" customFormat="1" x14ac:dyDescent="0.7">
      <c r="A112" s="28"/>
      <c r="B112" s="17"/>
    </row>
    <row r="113" spans="1:2" s="18" customFormat="1" x14ac:dyDescent="0.7">
      <c r="A113" s="28"/>
      <c r="B113" s="17"/>
    </row>
    <row r="114" spans="1:2" s="18" customFormat="1" x14ac:dyDescent="0.7">
      <c r="A114" s="28"/>
      <c r="B114" s="17"/>
    </row>
    <row r="115" spans="1:2" s="18" customFormat="1" x14ac:dyDescent="0.7">
      <c r="A115" s="28"/>
      <c r="B115" s="17"/>
    </row>
    <row r="116" spans="1:2" s="18" customFormat="1" x14ac:dyDescent="0.7">
      <c r="A116" s="28"/>
      <c r="B116" s="17"/>
    </row>
    <row r="117" spans="1:2" s="18" customFormat="1" x14ac:dyDescent="0.7">
      <c r="A117" s="28"/>
      <c r="B117" s="17"/>
    </row>
    <row r="118" spans="1:2" s="18" customFormat="1" x14ac:dyDescent="0.7">
      <c r="A118" s="28"/>
      <c r="B118" s="17"/>
    </row>
    <row r="119" spans="1:2" s="18" customFormat="1" x14ac:dyDescent="0.7">
      <c r="A119" s="28"/>
      <c r="B119" s="17"/>
    </row>
    <row r="120" spans="1:2" s="18" customFormat="1" x14ac:dyDescent="0.7">
      <c r="A120" s="28"/>
      <c r="B120" s="17"/>
    </row>
    <row r="121" spans="1:2" s="18" customFormat="1" x14ac:dyDescent="0.7">
      <c r="A121" s="28"/>
      <c r="B121" s="17"/>
    </row>
    <row r="122" spans="1:2" s="18" customFormat="1" x14ac:dyDescent="0.7">
      <c r="A122" s="28"/>
      <c r="B122" s="17"/>
    </row>
    <row r="123" spans="1:2" s="18" customFormat="1" x14ac:dyDescent="0.7">
      <c r="A123" s="28"/>
      <c r="B123" s="17"/>
    </row>
    <row r="124" spans="1:2" s="18" customFormat="1" x14ac:dyDescent="0.7">
      <c r="A124" s="28"/>
      <c r="B124" s="17"/>
    </row>
    <row r="125" spans="1:2" s="18" customFormat="1" x14ac:dyDescent="0.7">
      <c r="A125" s="28"/>
      <c r="B125" s="17"/>
    </row>
    <row r="126" spans="1:2" s="18" customFormat="1" x14ac:dyDescent="0.7">
      <c r="A126" s="28"/>
      <c r="B126" s="17"/>
    </row>
    <row r="127" spans="1:2" s="18" customFormat="1" x14ac:dyDescent="0.7">
      <c r="A127" s="28"/>
      <c r="B127" s="17"/>
    </row>
    <row r="128" spans="1:2" s="18" customFormat="1" x14ac:dyDescent="0.7">
      <c r="A128" s="28"/>
      <c r="B128" s="17"/>
    </row>
    <row r="129" spans="1:2" s="18" customFormat="1" x14ac:dyDescent="0.7">
      <c r="A129" s="28"/>
      <c r="B129" s="17"/>
    </row>
    <row r="130" spans="1:2" s="18" customFormat="1" x14ac:dyDescent="0.7">
      <c r="A130" s="28"/>
      <c r="B130" s="17"/>
    </row>
    <row r="131" spans="1:2" s="18" customFormat="1" x14ac:dyDescent="0.7">
      <c r="A131" s="28"/>
      <c r="B131" s="17"/>
    </row>
    <row r="132" spans="1:2" s="18" customFormat="1" x14ac:dyDescent="0.7">
      <c r="A132" s="28"/>
      <c r="B132" s="17"/>
    </row>
    <row r="133" spans="1:2" s="18" customFormat="1" x14ac:dyDescent="0.7">
      <c r="A133" s="28"/>
      <c r="B133" s="17"/>
    </row>
    <row r="134" spans="1:2" s="18" customFormat="1" x14ac:dyDescent="0.7">
      <c r="A134" s="28"/>
      <c r="B134" s="17"/>
    </row>
    <row r="135" spans="1:2" s="18" customFormat="1" x14ac:dyDescent="0.7">
      <c r="A135" s="28"/>
      <c r="B135" s="17"/>
    </row>
    <row r="136" spans="1:2" s="18" customFormat="1" x14ac:dyDescent="0.7">
      <c r="A136" s="28"/>
      <c r="B136" s="17"/>
    </row>
    <row r="137" spans="1:2" s="18" customFormat="1" x14ac:dyDescent="0.7">
      <c r="A137" s="28"/>
      <c r="B137" s="17"/>
    </row>
    <row r="138" spans="1:2" s="18" customFormat="1" x14ac:dyDescent="0.7">
      <c r="A138" s="28"/>
      <c r="B138" s="17"/>
    </row>
    <row r="139" spans="1:2" s="18" customFormat="1" x14ac:dyDescent="0.7">
      <c r="A139" s="28"/>
      <c r="B139" s="17"/>
    </row>
    <row r="140" spans="1:2" s="18" customFormat="1" x14ac:dyDescent="0.7">
      <c r="A140" s="28"/>
      <c r="B140" s="17"/>
    </row>
    <row r="141" spans="1:2" s="18" customFormat="1" x14ac:dyDescent="0.7">
      <c r="A141" s="28"/>
      <c r="B141" s="17"/>
    </row>
    <row r="142" spans="1:2" s="18" customFormat="1" x14ac:dyDescent="0.7">
      <c r="A142" s="28"/>
      <c r="B142" s="17"/>
    </row>
    <row r="143" spans="1:2" s="18" customFormat="1" x14ac:dyDescent="0.7">
      <c r="A143" s="28"/>
      <c r="B143" s="17"/>
    </row>
    <row r="144" spans="1:2" s="18" customFormat="1" x14ac:dyDescent="0.7">
      <c r="A144" s="28"/>
      <c r="B144" s="17"/>
    </row>
    <row r="145" spans="1:2" s="18" customFormat="1" x14ac:dyDescent="0.7">
      <c r="A145" s="28"/>
      <c r="B145" s="17"/>
    </row>
    <row r="146" spans="1:2" s="18" customFormat="1" x14ac:dyDescent="0.7">
      <c r="A146" s="28"/>
      <c r="B146" s="17"/>
    </row>
    <row r="147" spans="1:2" s="18" customFormat="1" x14ac:dyDescent="0.7">
      <c r="A147" s="28"/>
      <c r="B147" s="17"/>
    </row>
    <row r="148" spans="1:2" s="18" customFormat="1" x14ac:dyDescent="0.7">
      <c r="A148" s="28"/>
      <c r="B148" s="17"/>
    </row>
    <row r="149" spans="1:2" s="18" customFormat="1" x14ac:dyDescent="0.7">
      <c r="A149" s="28"/>
      <c r="B149" s="17"/>
    </row>
    <row r="150" spans="1:2" s="18" customFormat="1" x14ac:dyDescent="0.7">
      <c r="A150" s="28"/>
      <c r="B150" s="17"/>
    </row>
    <row r="151" spans="1:2" s="18" customFormat="1" x14ac:dyDescent="0.7">
      <c r="A151" s="28"/>
      <c r="B151" s="17"/>
    </row>
    <row r="152" spans="1:2" s="18" customFormat="1" x14ac:dyDescent="0.7">
      <c r="A152" s="28"/>
      <c r="B152" s="17"/>
    </row>
    <row r="153" spans="1:2" s="18" customFormat="1" x14ac:dyDescent="0.7">
      <c r="A153" s="28"/>
      <c r="B153" s="17"/>
    </row>
    <row r="154" spans="1:2" s="18" customFormat="1" x14ac:dyDescent="0.7">
      <c r="A154" s="28"/>
      <c r="B154" s="17"/>
    </row>
    <row r="155" spans="1:2" s="18" customFormat="1" x14ac:dyDescent="0.7">
      <c r="A155" s="28"/>
      <c r="B155" s="17"/>
    </row>
    <row r="156" spans="1:2" s="18" customFormat="1" x14ac:dyDescent="0.7">
      <c r="A156" s="28"/>
      <c r="B156" s="17"/>
    </row>
    <row r="157" spans="1:2" s="18" customFormat="1" x14ac:dyDescent="0.7">
      <c r="A157" s="28"/>
      <c r="B157" s="17"/>
    </row>
    <row r="158" spans="1:2" s="18" customFormat="1" x14ac:dyDescent="0.7">
      <c r="A158" s="28"/>
      <c r="B158" s="17"/>
    </row>
    <row r="159" spans="1:2" s="18" customFormat="1" x14ac:dyDescent="0.7">
      <c r="A159" s="28"/>
      <c r="B159" s="17"/>
    </row>
    <row r="160" spans="1:2" s="18" customFormat="1" x14ac:dyDescent="0.7">
      <c r="A160" s="28"/>
      <c r="B160" s="17"/>
    </row>
    <row r="161" spans="1:2" s="18" customFormat="1" x14ac:dyDescent="0.7">
      <c r="A161" s="28"/>
      <c r="B161" s="17"/>
    </row>
    <row r="162" spans="1:2" s="18" customFormat="1" x14ac:dyDescent="0.7">
      <c r="A162" s="28"/>
      <c r="B162" s="17"/>
    </row>
    <row r="163" spans="1:2" s="18" customFormat="1" x14ac:dyDescent="0.7">
      <c r="A163" s="28"/>
      <c r="B163" s="17"/>
    </row>
    <row r="164" spans="1:2" s="18" customFormat="1" x14ac:dyDescent="0.7">
      <c r="A164" s="28"/>
      <c r="B164" s="17"/>
    </row>
    <row r="165" spans="1:2" s="18" customFormat="1" x14ac:dyDescent="0.7">
      <c r="A165" s="28"/>
      <c r="B165" s="17"/>
    </row>
    <row r="166" spans="1:2" s="18" customFormat="1" x14ac:dyDescent="0.7">
      <c r="A166" s="28"/>
      <c r="B166" s="17"/>
    </row>
    <row r="167" spans="1:2" s="18" customFormat="1" x14ac:dyDescent="0.7">
      <c r="A167" s="28"/>
      <c r="B167" s="17"/>
    </row>
    <row r="168" spans="1:2" s="18" customFormat="1" x14ac:dyDescent="0.7">
      <c r="A168" s="28"/>
      <c r="B168" s="17"/>
    </row>
    <row r="169" spans="1:2" s="18" customFormat="1" x14ac:dyDescent="0.7">
      <c r="A169" s="28"/>
      <c r="B169" s="17"/>
    </row>
    <row r="170" spans="1:2" s="18" customFormat="1" x14ac:dyDescent="0.7">
      <c r="A170" s="28"/>
      <c r="B170" s="17"/>
    </row>
    <row r="171" spans="1:2" s="18" customFormat="1" x14ac:dyDescent="0.7">
      <c r="A171" s="28"/>
      <c r="B171" s="17"/>
    </row>
    <row r="172" spans="1:2" s="18" customFormat="1" x14ac:dyDescent="0.7">
      <c r="A172" s="28"/>
      <c r="B172" s="17"/>
    </row>
    <row r="173" spans="1:2" s="18" customFormat="1" x14ac:dyDescent="0.7">
      <c r="A173" s="28"/>
      <c r="B173" s="17"/>
    </row>
    <row r="174" spans="1:2" s="18" customFormat="1" x14ac:dyDescent="0.7">
      <c r="A174" s="28"/>
      <c r="B174" s="17"/>
    </row>
    <row r="175" spans="1:2" s="18" customFormat="1" x14ac:dyDescent="0.7">
      <c r="A175" s="28"/>
      <c r="B175" s="17"/>
    </row>
    <row r="176" spans="1:2" s="18" customFormat="1" x14ac:dyDescent="0.7">
      <c r="A176" s="28"/>
      <c r="B176" s="17"/>
    </row>
    <row r="177" spans="1:2" s="18" customFormat="1" x14ac:dyDescent="0.7">
      <c r="A177" s="28"/>
      <c r="B177" s="17"/>
    </row>
    <row r="178" spans="1:2" s="18" customFormat="1" x14ac:dyDescent="0.7">
      <c r="A178" s="28"/>
      <c r="B178" s="17"/>
    </row>
    <row r="179" spans="1:2" s="18" customFormat="1" x14ac:dyDescent="0.7">
      <c r="A179" s="28"/>
      <c r="B179" s="17"/>
    </row>
    <row r="180" spans="1:2" s="18" customFormat="1" x14ac:dyDescent="0.7">
      <c r="A180" s="28"/>
      <c r="B180" s="17"/>
    </row>
    <row r="181" spans="1:2" s="18" customFormat="1" x14ac:dyDescent="0.7">
      <c r="A181" s="28"/>
      <c r="B181" s="17"/>
    </row>
    <row r="182" spans="1:2" s="18" customFormat="1" x14ac:dyDescent="0.7">
      <c r="A182" s="28"/>
      <c r="B182" s="17"/>
    </row>
    <row r="183" spans="1:2" s="18" customFormat="1" x14ac:dyDescent="0.7">
      <c r="A183" s="28"/>
      <c r="B183" s="17"/>
    </row>
    <row r="184" spans="1:2" s="18" customFormat="1" x14ac:dyDescent="0.7">
      <c r="A184" s="28"/>
      <c r="B184" s="17"/>
    </row>
    <row r="185" spans="1:2" s="18" customFormat="1" x14ac:dyDescent="0.7">
      <c r="A185" s="28"/>
      <c r="B185" s="17"/>
    </row>
    <row r="186" spans="1:2" s="18" customFormat="1" x14ac:dyDescent="0.7">
      <c r="A186" s="28"/>
      <c r="B186" s="17"/>
    </row>
    <row r="187" spans="1:2" s="18" customFormat="1" x14ac:dyDescent="0.7">
      <c r="A187" s="28"/>
      <c r="B187" s="17"/>
    </row>
    <row r="188" spans="1:2" s="18" customFormat="1" x14ac:dyDescent="0.7">
      <c r="A188" s="28"/>
      <c r="B188" s="17"/>
    </row>
    <row r="189" spans="1:2" s="18" customFormat="1" x14ac:dyDescent="0.7">
      <c r="A189" s="28"/>
      <c r="B189" s="17"/>
    </row>
    <row r="190" spans="1:2" s="18" customFormat="1" x14ac:dyDescent="0.7">
      <c r="A190" s="28"/>
      <c r="B190" s="17"/>
    </row>
    <row r="191" spans="1:2" s="18" customFormat="1" x14ac:dyDescent="0.7">
      <c r="A191" s="28"/>
      <c r="B191" s="17"/>
    </row>
    <row r="192" spans="1:2" s="18" customFormat="1" x14ac:dyDescent="0.7">
      <c r="A192" s="28"/>
      <c r="B192" s="17"/>
    </row>
    <row r="193" spans="1:2" s="18" customFormat="1" x14ac:dyDescent="0.7">
      <c r="A193" s="28"/>
      <c r="B193" s="17"/>
    </row>
    <row r="194" spans="1:2" s="18" customFormat="1" x14ac:dyDescent="0.7">
      <c r="A194" s="28"/>
      <c r="B194" s="17"/>
    </row>
    <row r="195" spans="1:2" s="18" customFormat="1" x14ac:dyDescent="0.7">
      <c r="A195" s="28"/>
      <c r="B195" s="17"/>
    </row>
    <row r="196" spans="1:2" s="18" customFormat="1" x14ac:dyDescent="0.7">
      <c r="A196" s="28"/>
      <c r="B196" s="17"/>
    </row>
    <row r="197" spans="1:2" s="18" customFormat="1" x14ac:dyDescent="0.7">
      <c r="A197" s="28"/>
      <c r="B197" s="17"/>
    </row>
    <row r="198" spans="1:2" s="18" customFormat="1" x14ac:dyDescent="0.7">
      <c r="A198" s="28"/>
      <c r="B198" s="17"/>
    </row>
    <row r="199" spans="1:2" s="18" customFormat="1" x14ac:dyDescent="0.7">
      <c r="A199" s="28"/>
      <c r="B199" s="17"/>
    </row>
    <row r="200" spans="1:2" s="18" customFormat="1" x14ac:dyDescent="0.7">
      <c r="A200" s="28"/>
      <c r="B200" s="17"/>
    </row>
    <row r="201" spans="1:2" s="18" customFormat="1" x14ac:dyDescent="0.7">
      <c r="A201" s="28"/>
      <c r="B201" s="17"/>
    </row>
    <row r="202" spans="1:2" s="18" customFormat="1" x14ac:dyDescent="0.7">
      <c r="A202" s="28"/>
      <c r="B202" s="17"/>
    </row>
    <row r="203" spans="1:2" s="18" customFormat="1" x14ac:dyDescent="0.7">
      <c r="A203" s="28"/>
      <c r="B203" s="17"/>
    </row>
    <row r="204" spans="1:2" s="18" customFormat="1" x14ac:dyDescent="0.7">
      <c r="A204" s="28"/>
      <c r="B204" s="17"/>
    </row>
    <row r="205" spans="1:2" s="18" customFormat="1" x14ac:dyDescent="0.7">
      <c r="A205" s="28"/>
      <c r="B205" s="17"/>
    </row>
    <row r="206" spans="1:2" s="18" customFormat="1" x14ac:dyDescent="0.7">
      <c r="A206" s="28"/>
      <c r="B206" s="17"/>
    </row>
    <row r="207" spans="1:2" s="18" customFormat="1" x14ac:dyDescent="0.7">
      <c r="A207" s="28"/>
      <c r="B207" s="17"/>
    </row>
    <row r="208" spans="1:2" s="18" customFormat="1" x14ac:dyDescent="0.7">
      <c r="A208" s="28"/>
      <c r="B208" s="17"/>
    </row>
    <row r="209" spans="1:2" s="18" customFormat="1" x14ac:dyDescent="0.7">
      <c r="A209" s="28"/>
      <c r="B209" s="17"/>
    </row>
    <row r="210" spans="1:2" s="18" customFormat="1" x14ac:dyDescent="0.7">
      <c r="A210" s="28"/>
      <c r="B210" s="17"/>
    </row>
    <row r="211" spans="1:2" s="18" customFormat="1" x14ac:dyDescent="0.7">
      <c r="A211" s="28"/>
      <c r="B211" s="17"/>
    </row>
    <row r="212" spans="1:2" s="18" customFormat="1" x14ac:dyDescent="0.7">
      <c r="A212" s="28"/>
      <c r="B212" s="17"/>
    </row>
    <row r="213" spans="1:2" s="18" customFormat="1" x14ac:dyDescent="0.7">
      <c r="A213" s="28"/>
      <c r="B213" s="17"/>
    </row>
    <row r="214" spans="1:2" s="18" customFormat="1" x14ac:dyDescent="0.7">
      <c r="A214" s="28"/>
      <c r="B214" s="17"/>
    </row>
    <row r="215" spans="1:2" s="18" customFormat="1" x14ac:dyDescent="0.7">
      <c r="A215" s="28"/>
      <c r="B215" s="17"/>
    </row>
    <row r="216" spans="1:2" s="18" customFormat="1" x14ac:dyDescent="0.7">
      <c r="A216" s="28"/>
      <c r="B216" s="17"/>
    </row>
    <row r="217" spans="1:2" s="18" customFormat="1" x14ac:dyDescent="0.7">
      <c r="A217" s="28"/>
      <c r="B217" s="17"/>
    </row>
    <row r="218" spans="1:2" s="18" customFormat="1" x14ac:dyDescent="0.7">
      <c r="A218" s="28"/>
      <c r="B218" s="17"/>
    </row>
    <row r="219" spans="1:2" s="18" customFormat="1" x14ac:dyDescent="0.7">
      <c r="A219" s="28"/>
      <c r="B219" s="17"/>
    </row>
    <row r="220" spans="1:2" s="18" customFormat="1" x14ac:dyDescent="0.7">
      <c r="A220" s="28"/>
      <c r="B220" s="17"/>
    </row>
    <row r="221" spans="1:2" s="18" customFormat="1" x14ac:dyDescent="0.7">
      <c r="A221" s="28"/>
      <c r="B221" s="17"/>
    </row>
    <row r="222" spans="1:2" s="18" customFormat="1" x14ac:dyDescent="0.7">
      <c r="A222" s="28"/>
      <c r="B222" s="17"/>
    </row>
    <row r="223" spans="1:2" s="18" customFormat="1" x14ac:dyDescent="0.7">
      <c r="A223" s="28"/>
      <c r="B223" s="17"/>
    </row>
    <row r="224" spans="1:2" s="18" customFormat="1" x14ac:dyDescent="0.7">
      <c r="A224" s="28"/>
      <c r="B224" s="17"/>
    </row>
    <row r="225" spans="1:2" s="18" customFormat="1" x14ac:dyDescent="0.7">
      <c r="A225" s="28"/>
      <c r="B225" s="17"/>
    </row>
    <row r="226" spans="1:2" s="18" customFormat="1" x14ac:dyDescent="0.7">
      <c r="A226" s="28"/>
      <c r="B226" s="17"/>
    </row>
    <row r="227" spans="1:2" s="18" customFormat="1" x14ac:dyDescent="0.7">
      <c r="A227" s="28"/>
      <c r="B227" s="17"/>
    </row>
    <row r="228" spans="1:2" s="18" customFormat="1" x14ac:dyDescent="0.7">
      <c r="A228" s="28"/>
      <c r="B228" s="17"/>
    </row>
    <row r="229" spans="1:2" s="18" customFormat="1" x14ac:dyDescent="0.7">
      <c r="A229" s="28"/>
      <c r="B229" s="17"/>
    </row>
    <row r="230" spans="1:2" s="18" customFormat="1" x14ac:dyDescent="0.7">
      <c r="A230" s="28"/>
      <c r="B230" s="17"/>
    </row>
    <row r="231" spans="1:2" s="18" customFormat="1" x14ac:dyDescent="0.7">
      <c r="A231" s="28"/>
      <c r="B231" s="17"/>
    </row>
    <row r="232" spans="1:2" s="18" customFormat="1" x14ac:dyDescent="0.7">
      <c r="A232" s="28"/>
      <c r="B232" s="17"/>
    </row>
    <row r="233" spans="1:2" s="18" customFormat="1" x14ac:dyDescent="0.7">
      <c r="A233" s="28"/>
      <c r="B233" s="17"/>
    </row>
    <row r="234" spans="1:2" s="18" customFormat="1" x14ac:dyDescent="0.7">
      <c r="A234" s="28"/>
      <c r="B234" s="17"/>
    </row>
    <row r="235" spans="1:2" s="18" customFormat="1" x14ac:dyDescent="0.7">
      <c r="A235" s="28"/>
      <c r="B235" s="17"/>
    </row>
    <row r="236" spans="1:2" s="18" customFormat="1" x14ac:dyDescent="0.7">
      <c r="A236" s="28"/>
      <c r="B236" s="17"/>
    </row>
    <row r="237" spans="1:2" s="18" customFormat="1" x14ac:dyDescent="0.7">
      <c r="A237" s="28"/>
      <c r="B237" s="17"/>
    </row>
    <row r="238" spans="1:2" s="18" customFormat="1" x14ac:dyDescent="0.7">
      <c r="A238" s="28"/>
      <c r="B238" s="17"/>
    </row>
    <row r="239" spans="1:2" s="18" customFormat="1" x14ac:dyDescent="0.7">
      <c r="A239" s="28"/>
      <c r="B239" s="17"/>
    </row>
    <row r="240" spans="1:2" s="18" customFormat="1" x14ac:dyDescent="0.7">
      <c r="A240" s="28"/>
      <c r="B240" s="17"/>
    </row>
    <row r="241" spans="1:2" s="18" customFormat="1" x14ac:dyDescent="0.7">
      <c r="A241" s="28"/>
      <c r="B241" s="17"/>
    </row>
    <row r="242" spans="1:2" s="18" customFormat="1" x14ac:dyDescent="0.7">
      <c r="A242" s="28"/>
      <c r="B242" s="17"/>
    </row>
    <row r="243" spans="1:2" s="18" customFormat="1" x14ac:dyDescent="0.7">
      <c r="A243" s="28"/>
      <c r="B243" s="17"/>
    </row>
    <row r="244" spans="1:2" s="18" customFormat="1" x14ac:dyDescent="0.7">
      <c r="A244" s="28"/>
      <c r="B244" s="17"/>
    </row>
    <row r="245" spans="1:2" s="18" customFormat="1" x14ac:dyDescent="0.7">
      <c r="A245" s="28"/>
      <c r="B245" s="17"/>
    </row>
    <row r="246" spans="1:2" s="18" customFormat="1" x14ac:dyDescent="0.7">
      <c r="A246" s="28"/>
      <c r="B246" s="17"/>
    </row>
    <row r="247" spans="1:2" s="18" customFormat="1" x14ac:dyDescent="0.7">
      <c r="A247" s="28"/>
      <c r="B247" s="17"/>
    </row>
    <row r="248" spans="1:2" s="18" customFormat="1" x14ac:dyDescent="0.7">
      <c r="A248" s="28"/>
      <c r="B248" s="17"/>
    </row>
    <row r="249" spans="1:2" s="18" customFormat="1" x14ac:dyDescent="0.7">
      <c r="A249" s="28"/>
      <c r="B249" s="17"/>
    </row>
    <row r="250" spans="1:2" s="18" customFormat="1" x14ac:dyDescent="0.7">
      <c r="A250" s="28"/>
      <c r="B250" s="17"/>
    </row>
    <row r="251" spans="1:2" s="18" customFormat="1" x14ac:dyDescent="0.7">
      <c r="A251" s="28"/>
      <c r="B251" s="17"/>
    </row>
    <row r="252" spans="1:2" s="18" customFormat="1" x14ac:dyDescent="0.7">
      <c r="A252" s="28"/>
      <c r="B252" s="17"/>
    </row>
    <row r="253" spans="1:2" s="18" customFormat="1" x14ac:dyDescent="0.7">
      <c r="A253" s="28"/>
      <c r="B253" s="17"/>
    </row>
    <row r="254" spans="1:2" s="18" customFormat="1" x14ac:dyDescent="0.7">
      <c r="A254" s="28"/>
      <c r="B254" s="17"/>
    </row>
    <row r="255" spans="1:2" s="18" customFormat="1" x14ac:dyDescent="0.7">
      <c r="A255" s="28"/>
      <c r="B255" s="17"/>
    </row>
    <row r="256" spans="1:2" s="18" customFormat="1" x14ac:dyDescent="0.7">
      <c r="A256" s="28"/>
      <c r="B256" s="17"/>
    </row>
    <row r="257" spans="1:2" s="18" customFormat="1" x14ac:dyDescent="0.7">
      <c r="A257" s="28"/>
      <c r="B257" s="17"/>
    </row>
    <row r="258" spans="1:2" s="18" customFormat="1" x14ac:dyDescent="0.7">
      <c r="A258" s="28"/>
      <c r="B258" s="17"/>
    </row>
    <row r="259" spans="1:2" s="18" customFormat="1" x14ac:dyDescent="0.7">
      <c r="A259" s="28"/>
      <c r="B259" s="17"/>
    </row>
    <row r="260" spans="1:2" s="18" customFormat="1" x14ac:dyDescent="0.7">
      <c r="A260" s="28"/>
      <c r="B260" s="17"/>
    </row>
    <row r="261" spans="1:2" s="18" customFormat="1" x14ac:dyDescent="0.7">
      <c r="A261" s="28"/>
      <c r="B261" s="17"/>
    </row>
    <row r="262" spans="1:2" s="18" customFormat="1" x14ac:dyDescent="0.7">
      <c r="A262" s="28"/>
      <c r="B262" s="17"/>
    </row>
    <row r="263" spans="1:2" s="18" customFormat="1" x14ac:dyDescent="0.7">
      <c r="A263" s="28"/>
      <c r="B263" s="17"/>
    </row>
    <row r="264" spans="1:2" s="18" customFormat="1" x14ac:dyDescent="0.7">
      <c r="A264" s="28"/>
      <c r="B264" s="17"/>
    </row>
    <row r="265" spans="1:2" s="18" customFormat="1" x14ac:dyDescent="0.7">
      <c r="A265" s="28"/>
      <c r="B265" s="17"/>
    </row>
    <row r="266" spans="1:2" s="18" customFormat="1" x14ac:dyDescent="0.7">
      <c r="A266" s="28"/>
      <c r="B266" s="17"/>
    </row>
    <row r="267" spans="1:2" s="18" customFormat="1" x14ac:dyDescent="0.7">
      <c r="A267" s="28"/>
      <c r="B267" s="17"/>
    </row>
    <row r="268" spans="1:2" s="18" customFormat="1" x14ac:dyDescent="0.7">
      <c r="A268" s="28"/>
      <c r="B268" s="17"/>
    </row>
    <row r="269" spans="1:2" s="18" customFormat="1" x14ac:dyDescent="0.7">
      <c r="A269" s="28"/>
      <c r="B269" s="17"/>
    </row>
    <row r="270" spans="1:2" s="18" customFormat="1" x14ac:dyDescent="0.7">
      <c r="A270" s="28"/>
      <c r="B270" s="17"/>
    </row>
    <row r="271" spans="1:2" s="18" customFormat="1" x14ac:dyDescent="0.7">
      <c r="A271" s="28"/>
      <c r="B271" s="17"/>
    </row>
    <row r="272" spans="1:2" s="18" customFormat="1" x14ac:dyDescent="0.7">
      <c r="A272" s="28"/>
      <c r="B272" s="17"/>
    </row>
    <row r="273" spans="1:2" s="18" customFormat="1" x14ac:dyDescent="0.7">
      <c r="A273" s="28"/>
      <c r="B273" s="17"/>
    </row>
    <row r="274" spans="1:2" s="18" customFormat="1" x14ac:dyDescent="0.7">
      <c r="A274" s="28"/>
      <c r="B274" s="17"/>
    </row>
    <row r="275" spans="1:2" s="18" customFormat="1" x14ac:dyDescent="0.7">
      <c r="A275" s="28"/>
      <c r="B275" s="17"/>
    </row>
    <row r="276" spans="1:2" s="18" customFormat="1" x14ac:dyDescent="0.7">
      <c r="A276" s="28"/>
      <c r="B276" s="17"/>
    </row>
    <row r="277" spans="1:2" s="18" customFormat="1" x14ac:dyDescent="0.7">
      <c r="A277" s="28"/>
      <c r="B277" s="17"/>
    </row>
    <row r="278" spans="1:2" s="18" customFormat="1" x14ac:dyDescent="0.7">
      <c r="A278" s="28"/>
      <c r="B278" s="17"/>
    </row>
    <row r="279" spans="1:2" s="18" customFormat="1" x14ac:dyDescent="0.7">
      <c r="A279" s="28"/>
      <c r="B279" s="17"/>
    </row>
    <row r="280" spans="1:2" s="18" customFormat="1" x14ac:dyDescent="0.7">
      <c r="A280" s="28"/>
      <c r="B280" s="17"/>
    </row>
    <row r="281" spans="1:2" s="18" customFormat="1" x14ac:dyDescent="0.7">
      <c r="A281" s="28"/>
      <c r="B281" s="17"/>
    </row>
    <row r="282" spans="1:2" s="18" customFormat="1" x14ac:dyDescent="0.7">
      <c r="A282" s="28"/>
      <c r="B282" s="17"/>
    </row>
    <row r="283" spans="1:2" s="18" customFormat="1" x14ac:dyDescent="0.7">
      <c r="A283" s="28"/>
      <c r="B283" s="17"/>
    </row>
    <row r="284" spans="1:2" s="18" customFormat="1" x14ac:dyDescent="0.7">
      <c r="A284" s="28"/>
      <c r="B284" s="17"/>
    </row>
    <row r="285" spans="1:2" s="18" customFormat="1" x14ac:dyDescent="0.7">
      <c r="A285" s="28"/>
      <c r="B285" s="17"/>
    </row>
    <row r="286" spans="1:2" s="18" customFormat="1" x14ac:dyDescent="0.7">
      <c r="A286" s="28"/>
      <c r="B286" s="17"/>
    </row>
    <row r="287" spans="1:2" s="18" customFormat="1" x14ac:dyDescent="0.7">
      <c r="A287" s="28"/>
      <c r="B287" s="17"/>
    </row>
    <row r="288" spans="1:2" s="18" customFormat="1" x14ac:dyDescent="0.7">
      <c r="A288" s="28"/>
      <c r="B288" s="17"/>
    </row>
    <row r="289" spans="1:2" s="18" customFormat="1" x14ac:dyDescent="0.7">
      <c r="A289" s="28"/>
      <c r="B289" s="17"/>
    </row>
    <row r="290" spans="1:2" s="18" customFormat="1" x14ac:dyDescent="0.7">
      <c r="A290" s="28"/>
      <c r="B290" s="17"/>
    </row>
    <row r="291" spans="1:2" s="18" customFormat="1" x14ac:dyDescent="0.7">
      <c r="A291" s="28"/>
      <c r="B291" s="17"/>
    </row>
    <row r="292" spans="1:2" s="18" customFormat="1" x14ac:dyDescent="0.7">
      <c r="A292" s="28"/>
      <c r="B292" s="17"/>
    </row>
    <row r="293" spans="1:2" s="18" customFormat="1" x14ac:dyDescent="0.7">
      <c r="A293" s="28"/>
      <c r="B293" s="17"/>
    </row>
    <row r="294" spans="1:2" s="18" customFormat="1" x14ac:dyDescent="0.7">
      <c r="A294" s="28"/>
      <c r="B294" s="17"/>
    </row>
    <row r="295" spans="1:2" s="18" customFormat="1" x14ac:dyDescent="0.7">
      <c r="A295" s="28"/>
      <c r="B295" s="17"/>
    </row>
    <row r="296" spans="1:2" s="18" customFormat="1" x14ac:dyDescent="0.7">
      <c r="A296" s="28"/>
      <c r="B296" s="17"/>
    </row>
    <row r="297" spans="1:2" s="18" customFormat="1" x14ac:dyDescent="0.7">
      <c r="A297" s="28"/>
      <c r="B297" s="17"/>
    </row>
    <row r="298" spans="1:2" s="18" customFormat="1" x14ac:dyDescent="0.7">
      <c r="A298" s="28"/>
      <c r="B298" s="17"/>
    </row>
    <row r="299" spans="1:2" s="18" customFormat="1" x14ac:dyDescent="0.7">
      <c r="A299" s="28"/>
      <c r="B299" s="17"/>
    </row>
    <row r="300" spans="1:2" s="18" customFormat="1" x14ac:dyDescent="0.7">
      <c r="A300" s="28"/>
      <c r="B300" s="17"/>
    </row>
    <row r="301" spans="1:2" s="18" customFormat="1" x14ac:dyDescent="0.7">
      <c r="A301" s="28"/>
      <c r="B301" s="17"/>
    </row>
    <row r="302" spans="1:2" s="18" customFormat="1" x14ac:dyDescent="0.7">
      <c r="A302" s="28"/>
      <c r="B302" s="17"/>
    </row>
    <row r="303" spans="1:2" s="18" customFormat="1" x14ac:dyDescent="0.7">
      <c r="A303" s="28"/>
      <c r="B303" s="17"/>
    </row>
    <row r="304" spans="1:2" s="18" customFormat="1" x14ac:dyDescent="0.7">
      <c r="A304" s="28"/>
      <c r="B304" s="17"/>
    </row>
    <row r="305" spans="1:2" s="18" customFormat="1" x14ac:dyDescent="0.7">
      <c r="A305" s="28"/>
      <c r="B305" s="17"/>
    </row>
    <row r="306" spans="1:2" s="18" customFormat="1" x14ac:dyDescent="0.7">
      <c r="A306" s="28"/>
      <c r="B306" s="17"/>
    </row>
    <row r="307" spans="1:2" s="18" customFormat="1" x14ac:dyDescent="0.7">
      <c r="A307" s="28"/>
      <c r="B307" s="17"/>
    </row>
    <row r="308" spans="1:2" s="18" customFormat="1" x14ac:dyDescent="0.7">
      <c r="A308" s="28"/>
      <c r="B308" s="17"/>
    </row>
    <row r="309" spans="1:2" s="18" customFormat="1" x14ac:dyDescent="0.7">
      <c r="A309" s="28"/>
      <c r="B309" s="17"/>
    </row>
    <row r="310" spans="1:2" s="18" customFormat="1" x14ac:dyDescent="0.7">
      <c r="A310" s="28"/>
      <c r="B310" s="17"/>
    </row>
    <row r="311" spans="1:2" s="18" customFormat="1" x14ac:dyDescent="0.7">
      <c r="A311" s="28"/>
      <c r="B311" s="17"/>
    </row>
    <row r="312" spans="1:2" s="18" customFormat="1" x14ac:dyDescent="0.7">
      <c r="A312" s="28"/>
      <c r="B312" s="17"/>
    </row>
    <row r="313" spans="1:2" s="18" customFormat="1" x14ac:dyDescent="0.7">
      <c r="A313" s="28"/>
      <c r="B313" s="17"/>
    </row>
    <row r="314" spans="1:2" s="18" customFormat="1" x14ac:dyDescent="0.7">
      <c r="A314" s="28"/>
      <c r="B314" s="17"/>
    </row>
    <row r="315" spans="1:2" s="18" customFormat="1" x14ac:dyDescent="0.7">
      <c r="A315" s="28"/>
      <c r="B315" s="17"/>
    </row>
    <row r="316" spans="1:2" s="18" customFormat="1" x14ac:dyDescent="0.7">
      <c r="A316" s="28"/>
      <c r="B316" s="17"/>
    </row>
    <row r="317" spans="1:2" s="18" customFormat="1" x14ac:dyDescent="0.7">
      <c r="A317" s="28"/>
      <c r="B317" s="17"/>
    </row>
    <row r="318" spans="1:2" s="18" customFormat="1" x14ac:dyDescent="0.7">
      <c r="A318" s="28"/>
      <c r="B318" s="17"/>
    </row>
    <row r="319" spans="1:2" s="18" customFormat="1" x14ac:dyDescent="0.7">
      <c r="A319" s="28"/>
      <c r="B319" s="17"/>
    </row>
  </sheetData>
  <mergeCells count="5">
    <mergeCell ref="C4:H4"/>
    <mergeCell ref="F2:H2"/>
    <mergeCell ref="F1:H1"/>
    <mergeCell ref="A2:C2"/>
    <mergeCell ref="A1:C1"/>
  </mergeCells>
  <conditionalFormatting sqref="H25">
    <cfRule type="expression" dxfId="39" priority="52">
      <formula>"if(c2=""yes"")"</formula>
    </cfRule>
  </conditionalFormatting>
  <conditionalFormatting sqref="K15">
    <cfRule type="expression" dxfId="38" priority="39">
      <formula>"if(c2=""yes"")"</formula>
    </cfRule>
  </conditionalFormatting>
  <conditionalFormatting sqref="G29">
    <cfRule type="expression" dxfId="37" priority="49">
      <formula>"if(c2=""yes"")"</formula>
    </cfRule>
  </conditionalFormatting>
  <conditionalFormatting sqref="H29">
    <cfRule type="expression" dxfId="36" priority="51">
      <formula>"if(c2=""yes"")"</formula>
    </cfRule>
  </conditionalFormatting>
  <conditionalFormatting sqref="G15">
    <cfRule type="expression" dxfId="35" priority="50">
      <formula>"if(c2=""yes"")"</formula>
    </cfRule>
  </conditionalFormatting>
  <conditionalFormatting sqref="L29">
    <cfRule type="expression" dxfId="34" priority="42">
      <formula>"if(c2=""yes"")"</formula>
    </cfRule>
  </conditionalFormatting>
  <conditionalFormatting sqref="K25">
    <cfRule type="expression" dxfId="33" priority="46">
      <formula>"if(c2=""yes"")"</formula>
    </cfRule>
  </conditionalFormatting>
  <conditionalFormatting sqref="M25">
    <cfRule type="expression" dxfId="32" priority="45">
      <formula>"if(c2=""yes"")"</formula>
    </cfRule>
  </conditionalFormatting>
  <conditionalFormatting sqref="K29">
    <cfRule type="expression" dxfId="31" priority="43">
      <formula>"if(c2=""yes"")"</formula>
    </cfRule>
  </conditionalFormatting>
  <conditionalFormatting sqref="P29">
    <cfRule type="expression" dxfId="30" priority="40">
      <formula>"if(c2=""yes"")"</formula>
    </cfRule>
  </conditionalFormatting>
  <conditionalFormatting sqref="M29">
    <cfRule type="expression" dxfId="29" priority="41">
      <formula>"if(c2=""yes"")"</formula>
    </cfRule>
  </conditionalFormatting>
  <conditionalFormatting sqref="I15">
    <cfRule type="expression" dxfId="28" priority="27">
      <formula>"if(c2=""yes"")"</formula>
    </cfRule>
  </conditionalFormatting>
  <conditionalFormatting sqref="H19">
    <cfRule type="expression" dxfId="27" priority="26">
      <formula>"if(c2=""yes"")"</formula>
    </cfRule>
  </conditionalFormatting>
  <conditionalFormatting sqref="K19">
    <cfRule type="expression" dxfId="26" priority="25">
      <formula>"if(c2=""yes"")"</formula>
    </cfRule>
  </conditionalFormatting>
  <conditionalFormatting sqref="L19">
    <cfRule type="expression" dxfId="25" priority="24">
      <formula>"if(c2=""yes"")"</formula>
    </cfRule>
  </conditionalFormatting>
  <conditionalFormatting sqref="L15">
    <cfRule type="expression" dxfId="24" priority="28">
      <formula>"if(c2=""yes"")"</formula>
    </cfRule>
  </conditionalFormatting>
  <conditionalFormatting sqref="I19">
    <cfRule type="expression" dxfId="23" priority="23">
      <formula>"if(c2=""yes"")"</formula>
    </cfRule>
  </conditionalFormatting>
  <conditionalFormatting sqref="P25">
    <cfRule type="expression" dxfId="22" priority="29">
      <formula>"if(c2=""yes"")"</formula>
    </cfRule>
  </conditionalFormatting>
  <conditionalFormatting sqref="H23">
    <cfRule type="expression" dxfId="21" priority="22">
      <formula>"if(c2=""yes"")"</formula>
    </cfRule>
  </conditionalFormatting>
  <conditionalFormatting sqref="K23">
    <cfRule type="expression" dxfId="20" priority="21">
      <formula>"if(c2=""yes"")"</formula>
    </cfRule>
  </conditionalFormatting>
  <conditionalFormatting sqref="L23">
    <cfRule type="expression" dxfId="19" priority="20">
      <formula>"if(c2=""yes"")"</formula>
    </cfRule>
  </conditionalFormatting>
  <conditionalFormatting sqref="I23">
    <cfRule type="expression" dxfId="18" priority="19">
      <formula>"if(c2=""yes"")"</formula>
    </cfRule>
  </conditionalFormatting>
  <conditionalFormatting sqref="Q23">
    <cfRule type="expression" dxfId="17" priority="18">
      <formula>"if(c2=""yes"")"</formula>
    </cfRule>
  </conditionalFormatting>
  <conditionalFormatting sqref="G19">
    <cfRule type="expression" dxfId="16" priority="17">
      <formula>"if(c2=""yes"")"</formula>
    </cfRule>
  </conditionalFormatting>
  <conditionalFormatting sqref="G23">
    <cfRule type="expression" dxfId="15" priority="16">
      <formula>"if(c2=""yes"")"</formula>
    </cfRule>
  </conditionalFormatting>
  <conditionalFormatting sqref="J15">
    <cfRule type="expression" dxfId="14" priority="15">
      <formula>"if(c2=""yes"")"</formula>
    </cfRule>
  </conditionalFormatting>
  <conditionalFormatting sqref="M15">
    <cfRule type="expression" dxfId="13" priority="14">
      <formula>"if(c2=""yes"")"</formula>
    </cfRule>
  </conditionalFormatting>
  <conditionalFormatting sqref="N15">
    <cfRule type="expression" dxfId="12" priority="13">
      <formula>"if(c2=""yes"")"</formula>
    </cfRule>
  </conditionalFormatting>
  <conditionalFormatting sqref="O15">
    <cfRule type="expression" dxfId="11" priority="12">
      <formula>"if(c2=""yes"")"</formula>
    </cfRule>
  </conditionalFormatting>
  <conditionalFormatting sqref="P15">
    <cfRule type="expression" dxfId="10" priority="11">
      <formula>"if(c2=""yes"")"</formula>
    </cfRule>
  </conditionalFormatting>
  <conditionalFormatting sqref="J19">
    <cfRule type="expression" dxfId="9" priority="10">
      <formula>"if(c2=""yes"")"</formula>
    </cfRule>
  </conditionalFormatting>
  <conditionalFormatting sqref="M19">
    <cfRule type="expression" dxfId="8" priority="9">
      <formula>"if(c2=""yes"")"</formula>
    </cfRule>
  </conditionalFormatting>
  <conditionalFormatting sqref="N19">
    <cfRule type="expression" dxfId="7" priority="8">
      <formula>"if(c2=""yes"")"</formula>
    </cfRule>
  </conditionalFormatting>
  <conditionalFormatting sqref="O19">
    <cfRule type="expression" dxfId="6" priority="7">
      <formula>"if(c2=""yes"")"</formula>
    </cfRule>
  </conditionalFormatting>
  <conditionalFormatting sqref="P19">
    <cfRule type="expression" dxfId="5" priority="6">
      <formula>"if(c2=""yes"")"</formula>
    </cfRule>
  </conditionalFormatting>
  <conditionalFormatting sqref="J23">
    <cfRule type="expression" dxfId="4" priority="5">
      <formula>"if(c2=""yes"")"</formula>
    </cfRule>
  </conditionalFormatting>
  <conditionalFormatting sqref="M23">
    <cfRule type="expression" dxfId="3" priority="4">
      <formula>"if(c2=""yes"")"</formula>
    </cfRule>
  </conditionalFormatting>
  <conditionalFormatting sqref="N23">
    <cfRule type="expression" dxfId="2" priority="3">
      <formula>"if(c2=""yes"")"</formula>
    </cfRule>
  </conditionalFormatting>
  <conditionalFormatting sqref="O23">
    <cfRule type="expression" dxfId="1" priority="2">
      <formula>"if(c2=""yes"")"</formula>
    </cfRule>
  </conditionalFormatting>
  <conditionalFormatting sqref="P23">
    <cfRule type="expression" dxfId="0" priority="1">
      <formula>"if(c2=""yes"")"</formula>
    </cfRule>
  </conditionalFormatting>
  <hyperlinks>
    <hyperlink ref="F2:H2" r:id="rId1" display="Convert word to numeral" xr:uid="{98BF2D79-8A67-4D1B-944A-0640283D025D}"/>
  </hyperlinks>
  <pageMargins left="0.7" right="0.7" top="0.75" bottom="0.75" header="0.3" footer="0.3"/>
  <pageSetup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Count by twos, tens, etc</vt:lpstr>
      <vt:lpstr>Convert word to numeral</vt:lpstr>
      <vt:lpstr>Convert numeral to word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crystal</dc:creator>
  <cp:keywords/>
  <dc:description/>
  <cp:lastModifiedBy>Ken</cp:lastModifiedBy>
  <cp:revision/>
  <dcterms:created xsi:type="dcterms:W3CDTF">2019-01-08T22:01:42Z</dcterms:created>
  <dcterms:modified xsi:type="dcterms:W3CDTF">2020-09-11T20:10:39Z</dcterms:modified>
  <cp:category/>
  <cp:contentStatus/>
</cp:coreProperties>
</file>