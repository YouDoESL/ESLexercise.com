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1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a35911ca98bdf6a/ESL4 (Stan's Folder)/"/>
    </mc:Choice>
  </mc:AlternateContent>
  <xr:revisionPtr revIDLastSave="0" documentId="8_{5BA0DF77-B35D-460D-8080-633802AE5308}" xr6:coauthVersionLast="43" xr6:coauthVersionMax="43" xr10:uidLastSave="{00000000-0000-0000-0000-000000000000}"/>
  <bookViews>
    <workbookView xWindow="-108" yWindow="-108" windowWidth="23256" windowHeight="12576" firstSheet="4" activeTab="3" xr2:uid="{00000000-000D-0000-FFFF-FFFF00000000}"/>
  </bookViews>
  <sheets>
    <sheet name="2X.1" sheetId="4" r:id="rId1"/>
    <sheet name="2X.2" sheetId="3" r:id="rId2"/>
    <sheet name="2X.3" sheetId="1" r:id="rId3"/>
    <sheet name="2X.C" sheetId="5" r:id="rId4"/>
    <sheet name="2C.C" sheetId="6" r:id="rId5"/>
    <sheet name="Report" sheetId="2" r:id="rId6"/>
  </sheets>
  <definedNames>
    <definedName name="_xlnm.Print_Area" localSheetId="5">Report!$A$1:$C$7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2" i="6" l="1"/>
  <c r="G57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19" i="6"/>
  <c r="H19" i="6"/>
  <c r="G20" i="6"/>
  <c r="H20" i="6"/>
  <c r="G21" i="6"/>
  <c r="H21" i="6"/>
  <c r="G22" i="6"/>
  <c r="H22" i="6"/>
  <c r="G23" i="6"/>
  <c r="H23" i="6"/>
  <c r="G24" i="6"/>
  <c r="H24" i="6"/>
  <c r="G25" i="6"/>
  <c r="H25" i="6"/>
  <c r="G26" i="6"/>
  <c r="H26" i="6"/>
  <c r="G27" i="6"/>
  <c r="H27" i="6"/>
  <c r="G28" i="6"/>
  <c r="H28" i="6"/>
  <c r="G29" i="6"/>
  <c r="H29" i="6"/>
  <c r="G30" i="6"/>
  <c r="H30" i="6"/>
  <c r="G31" i="6"/>
  <c r="H31" i="6"/>
  <c r="G32" i="6"/>
  <c r="H32" i="6"/>
  <c r="G33" i="6"/>
  <c r="H33" i="6"/>
  <c r="G34" i="6"/>
  <c r="H34" i="6"/>
  <c r="G35" i="6"/>
  <c r="H35" i="6"/>
  <c r="G36" i="6"/>
  <c r="H36" i="6"/>
  <c r="G37" i="6"/>
  <c r="H37" i="6"/>
  <c r="G38" i="6"/>
  <c r="H38" i="6"/>
  <c r="G39" i="6"/>
  <c r="H39" i="6"/>
  <c r="G40" i="6"/>
  <c r="H40" i="6"/>
  <c r="G41" i="6"/>
  <c r="H41" i="6"/>
  <c r="G42" i="6"/>
  <c r="H42" i="6"/>
  <c r="G43" i="6"/>
  <c r="H43" i="6"/>
  <c r="G46" i="6"/>
  <c r="H46" i="6"/>
  <c r="G47" i="6"/>
  <c r="H47" i="6"/>
  <c r="G48" i="6"/>
  <c r="H48" i="6"/>
  <c r="G49" i="6"/>
  <c r="H49" i="6"/>
  <c r="G50" i="6"/>
  <c r="H50" i="6"/>
  <c r="G51" i="6"/>
  <c r="H51" i="6"/>
  <c r="G52" i="6"/>
  <c r="H52" i="6"/>
  <c r="G53" i="6"/>
  <c r="H53" i="6"/>
  <c r="G54" i="6"/>
  <c r="H54" i="6"/>
  <c r="G55" i="6"/>
  <c r="H55" i="6"/>
  <c r="G56" i="6"/>
  <c r="H56" i="6"/>
  <c r="H57" i="6"/>
  <c r="G58" i="6"/>
  <c r="H58" i="6"/>
  <c r="G59" i="6"/>
  <c r="H59" i="6"/>
  <c r="G60" i="6"/>
  <c r="H60" i="6"/>
  <c r="G61" i="6"/>
  <c r="H61" i="6"/>
  <c r="H62" i="6"/>
  <c r="G63" i="6"/>
  <c r="H63" i="6"/>
  <c r="G64" i="6"/>
  <c r="H64" i="6"/>
  <c r="G65" i="6"/>
  <c r="H65" i="6"/>
  <c r="C7" i="2"/>
  <c r="A7" i="2"/>
  <c r="A2" i="6"/>
  <c r="E65" i="6"/>
  <c r="C65" i="6"/>
  <c r="E64" i="6"/>
  <c r="C64" i="6"/>
  <c r="E63" i="6"/>
  <c r="C63" i="6"/>
  <c r="E62" i="6"/>
  <c r="C62" i="6"/>
  <c r="E61" i="6"/>
  <c r="C61" i="6"/>
  <c r="E60" i="6"/>
  <c r="C60" i="6"/>
  <c r="E59" i="6"/>
  <c r="C59" i="6"/>
  <c r="E58" i="6"/>
  <c r="C58" i="6"/>
  <c r="E57" i="6"/>
  <c r="C57" i="6"/>
  <c r="E56" i="6"/>
  <c r="C56" i="6"/>
  <c r="E55" i="6"/>
  <c r="C55" i="6"/>
  <c r="E54" i="6"/>
  <c r="C54" i="6"/>
  <c r="E53" i="6"/>
  <c r="C53" i="6"/>
  <c r="E52" i="6"/>
  <c r="C52" i="6"/>
  <c r="E51" i="6"/>
  <c r="C51" i="6"/>
  <c r="E50" i="6"/>
  <c r="C50" i="6"/>
  <c r="E49" i="6"/>
  <c r="C49" i="6"/>
  <c r="E48" i="6"/>
  <c r="C48" i="6"/>
  <c r="E47" i="6"/>
  <c r="C47" i="6"/>
  <c r="E46" i="6"/>
  <c r="C46" i="6"/>
  <c r="E43" i="6"/>
  <c r="C43" i="6"/>
  <c r="E42" i="6"/>
  <c r="C42" i="6"/>
  <c r="E41" i="6"/>
  <c r="C41" i="6"/>
  <c r="E40" i="6"/>
  <c r="C40" i="6"/>
  <c r="E39" i="6"/>
  <c r="C39" i="6"/>
  <c r="E38" i="6"/>
  <c r="C38" i="6"/>
  <c r="E37" i="6"/>
  <c r="C37" i="6"/>
  <c r="E36" i="6"/>
  <c r="C36" i="6"/>
  <c r="E35" i="6"/>
  <c r="C35" i="6"/>
  <c r="E34" i="6"/>
  <c r="C34" i="6"/>
  <c r="E33" i="6"/>
  <c r="C33" i="6"/>
  <c r="E32" i="6"/>
  <c r="C32" i="6"/>
  <c r="E31" i="6"/>
  <c r="C31" i="6"/>
  <c r="E30" i="6"/>
  <c r="C30" i="6"/>
  <c r="E29" i="6"/>
  <c r="C29" i="6"/>
  <c r="E28" i="6"/>
  <c r="C28" i="6"/>
  <c r="E27" i="6"/>
  <c r="C27" i="6"/>
  <c r="E26" i="6"/>
  <c r="C26" i="6"/>
  <c r="E25" i="6"/>
  <c r="C25" i="6"/>
  <c r="E24" i="6"/>
  <c r="C24" i="6"/>
  <c r="E23" i="6"/>
  <c r="C23" i="6"/>
  <c r="E22" i="6"/>
  <c r="C22" i="6"/>
  <c r="E21" i="6"/>
  <c r="C21" i="6"/>
  <c r="E20" i="6"/>
  <c r="C20" i="6"/>
  <c r="E19" i="6"/>
  <c r="C19" i="6"/>
  <c r="E18" i="6"/>
  <c r="C18" i="6"/>
  <c r="E17" i="6"/>
  <c r="C17" i="6"/>
  <c r="E16" i="6"/>
  <c r="C16" i="6"/>
  <c r="E15" i="6"/>
  <c r="C15" i="6"/>
  <c r="E14" i="6"/>
  <c r="C14" i="6"/>
  <c r="E13" i="6"/>
  <c r="C13" i="6"/>
  <c r="E12" i="6"/>
  <c r="C12" i="6"/>
  <c r="E11" i="6"/>
  <c r="C11" i="6"/>
  <c r="E10" i="6"/>
  <c r="C10" i="6"/>
  <c r="E9" i="6"/>
  <c r="C9" i="6"/>
  <c r="E8" i="6"/>
  <c r="C8" i="6"/>
  <c r="E7" i="6"/>
  <c r="C7" i="6"/>
  <c r="E6" i="6"/>
  <c r="C6" i="6"/>
  <c r="E5" i="6"/>
  <c r="C5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G5" i="5"/>
  <c r="E5" i="5"/>
  <c r="G6" i="5"/>
  <c r="H6" i="5"/>
  <c r="G7" i="5"/>
  <c r="H7" i="5"/>
  <c r="G8" i="5"/>
  <c r="E8" i="5"/>
  <c r="G9" i="5"/>
  <c r="H9" i="5"/>
  <c r="G10" i="5"/>
  <c r="H10" i="5"/>
  <c r="G11" i="5"/>
  <c r="H11" i="5"/>
  <c r="G12" i="5"/>
  <c r="H12" i="5"/>
  <c r="G13" i="5"/>
  <c r="H13" i="5"/>
  <c r="G14" i="5"/>
  <c r="H14" i="5"/>
  <c r="G15" i="5"/>
  <c r="E15" i="5"/>
  <c r="G16" i="5"/>
  <c r="E16" i="5"/>
  <c r="H16" i="5"/>
  <c r="G17" i="5"/>
  <c r="H17" i="5"/>
  <c r="G18" i="5"/>
  <c r="C18" i="5"/>
  <c r="G19" i="5"/>
  <c r="H19" i="5"/>
  <c r="G20" i="5"/>
  <c r="H20" i="5"/>
  <c r="G21" i="5"/>
  <c r="H21" i="5"/>
  <c r="G22" i="5"/>
  <c r="H22" i="5"/>
  <c r="G23" i="5"/>
  <c r="H23" i="5"/>
  <c r="G24" i="5"/>
  <c r="H24" i="5"/>
  <c r="G25" i="5"/>
  <c r="C25" i="5"/>
  <c r="H25" i="5"/>
  <c r="G26" i="5"/>
  <c r="H26" i="5"/>
  <c r="G27" i="5"/>
  <c r="H27" i="5"/>
  <c r="C27" i="5"/>
  <c r="G28" i="5"/>
  <c r="H28" i="5"/>
  <c r="G29" i="5"/>
  <c r="H29" i="5"/>
  <c r="G30" i="5"/>
  <c r="C30" i="5"/>
  <c r="G31" i="5"/>
  <c r="H31" i="5"/>
  <c r="G32" i="5"/>
  <c r="H32" i="5"/>
  <c r="G33" i="5"/>
  <c r="H33" i="5"/>
  <c r="G34" i="5"/>
  <c r="H34" i="5"/>
  <c r="G35" i="5"/>
  <c r="H35" i="5"/>
  <c r="G36" i="5"/>
  <c r="E36" i="5"/>
  <c r="G37" i="5"/>
  <c r="H37" i="5"/>
  <c r="G38" i="5"/>
  <c r="E38" i="5"/>
  <c r="G39" i="5"/>
  <c r="H39" i="5"/>
  <c r="C39" i="5"/>
  <c r="G40" i="5"/>
  <c r="C40" i="5"/>
  <c r="G41" i="5"/>
  <c r="H41" i="5"/>
  <c r="G42" i="5"/>
  <c r="H42" i="5"/>
  <c r="G43" i="5"/>
  <c r="H43" i="5"/>
  <c r="G46" i="5"/>
  <c r="H46" i="5"/>
  <c r="G47" i="5"/>
  <c r="H47" i="5"/>
  <c r="G48" i="5"/>
  <c r="C48" i="5"/>
  <c r="G49" i="5"/>
  <c r="H49" i="5"/>
  <c r="G50" i="5"/>
  <c r="C50" i="5"/>
  <c r="G51" i="5"/>
  <c r="H51" i="5"/>
  <c r="G52" i="5"/>
  <c r="H52" i="5"/>
  <c r="G53" i="5"/>
  <c r="C53" i="5"/>
  <c r="G54" i="5"/>
  <c r="E54" i="5"/>
  <c r="H54" i="5"/>
  <c r="G55" i="5"/>
  <c r="H55" i="5"/>
  <c r="G56" i="5"/>
  <c r="H56" i="5"/>
  <c r="G57" i="5"/>
  <c r="H57" i="5"/>
  <c r="G58" i="5"/>
  <c r="H58" i="5"/>
  <c r="G59" i="5"/>
  <c r="C59" i="5"/>
  <c r="G60" i="5"/>
  <c r="E60" i="5"/>
  <c r="G61" i="5"/>
  <c r="E61" i="5"/>
  <c r="G62" i="5"/>
  <c r="E62" i="5"/>
  <c r="G63" i="5"/>
  <c r="H63" i="5"/>
  <c r="G64" i="5"/>
  <c r="H64" i="5"/>
  <c r="G65" i="5"/>
  <c r="H65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A2" i="1"/>
  <c r="B2" i="2"/>
  <c r="H22" i="1"/>
  <c r="F22" i="1"/>
  <c r="H16" i="1"/>
  <c r="I16" i="1"/>
  <c r="H24" i="1"/>
  <c r="F24" i="1"/>
  <c r="H20" i="1"/>
  <c r="I20" i="1"/>
  <c r="H18" i="1"/>
  <c r="I18" i="1"/>
  <c r="C51" i="5"/>
  <c r="E65" i="5"/>
  <c r="C28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G5" i="3"/>
  <c r="E5" i="3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G18" i="3"/>
  <c r="E18" i="3"/>
  <c r="G15" i="3"/>
  <c r="C15" i="3"/>
  <c r="G14" i="3"/>
  <c r="E14" i="3"/>
  <c r="G7" i="3"/>
  <c r="E7" i="3"/>
  <c r="G17" i="3"/>
  <c r="C17" i="3"/>
  <c r="G13" i="3"/>
  <c r="E13" i="3"/>
  <c r="G8" i="3"/>
  <c r="C8" i="3"/>
  <c r="G26" i="4"/>
  <c r="H26" i="4"/>
  <c r="G24" i="4"/>
  <c r="H24" i="4"/>
  <c r="G23" i="4"/>
  <c r="C23" i="4"/>
  <c r="G22" i="4"/>
  <c r="H22" i="4"/>
  <c r="G21" i="4"/>
  <c r="H21" i="4"/>
  <c r="G27" i="4"/>
  <c r="E27" i="4"/>
  <c r="G25" i="4"/>
  <c r="H25" i="4"/>
  <c r="G5" i="4"/>
  <c r="E5" i="4"/>
  <c r="G20" i="3"/>
  <c r="H20" i="3"/>
  <c r="G19" i="3"/>
  <c r="C19" i="3"/>
  <c r="G16" i="3"/>
  <c r="E16" i="3"/>
  <c r="G12" i="3"/>
  <c r="H12" i="3"/>
  <c r="G11" i="3"/>
  <c r="H11" i="3"/>
  <c r="G10" i="3"/>
  <c r="H10" i="3"/>
  <c r="G9" i="3"/>
  <c r="E9" i="3"/>
  <c r="G6" i="3"/>
  <c r="H6" i="3"/>
  <c r="A2" i="3"/>
  <c r="G19" i="4"/>
  <c r="H19" i="4"/>
  <c r="G18" i="4"/>
  <c r="H18" i="4"/>
  <c r="G16" i="4"/>
  <c r="E16" i="4"/>
  <c r="G15" i="4"/>
  <c r="H15" i="4"/>
  <c r="G12" i="4"/>
  <c r="H12" i="4"/>
  <c r="G10" i="4"/>
  <c r="E10" i="4"/>
  <c r="G9" i="4"/>
  <c r="C9" i="4"/>
  <c r="G7" i="4"/>
  <c r="C7" i="4"/>
  <c r="G20" i="4"/>
  <c r="C20" i="4"/>
  <c r="G17" i="4"/>
  <c r="C17" i="4"/>
  <c r="G14" i="4"/>
  <c r="H14" i="4"/>
  <c r="G13" i="4"/>
  <c r="E13" i="4"/>
  <c r="G11" i="4"/>
  <c r="C11" i="4"/>
  <c r="G8" i="4"/>
  <c r="H8" i="4"/>
  <c r="G6" i="4"/>
  <c r="E6" i="4"/>
  <c r="A4" i="2"/>
  <c r="A3" i="2"/>
  <c r="A6" i="2"/>
  <c r="A5" i="2"/>
  <c r="C6" i="2"/>
  <c r="C5" i="2"/>
  <c r="C4" i="2"/>
  <c r="C3" i="2"/>
  <c r="A2" i="5"/>
  <c r="A2" i="4"/>
  <c r="H8" i="1"/>
  <c r="I8" i="1"/>
  <c r="H13" i="1"/>
  <c r="F13" i="1"/>
  <c r="H14" i="1"/>
  <c r="F14" i="1"/>
  <c r="H12" i="1"/>
  <c r="I12" i="1"/>
  <c r="H6" i="1"/>
  <c r="F6" i="1"/>
  <c r="H11" i="1"/>
  <c r="F11" i="1"/>
  <c r="H15" i="1"/>
  <c r="D15" i="1"/>
  <c r="H21" i="1"/>
  <c r="D21" i="1"/>
  <c r="H23" i="1"/>
  <c r="F23" i="1"/>
  <c r="H7" i="1"/>
  <c r="F7" i="1"/>
  <c r="H10" i="1"/>
  <c r="D10" i="1"/>
  <c r="H9" i="1"/>
  <c r="I9" i="1"/>
  <c r="H17" i="1"/>
  <c r="D17" i="1"/>
  <c r="H19" i="1"/>
  <c r="F19" i="1"/>
  <c r="H25" i="1"/>
  <c r="F25" i="1"/>
  <c r="C15" i="5"/>
  <c r="E39" i="5"/>
  <c r="C21" i="5"/>
  <c r="E13" i="5"/>
  <c r="C14" i="5"/>
  <c r="E18" i="5"/>
  <c r="E27" i="5"/>
  <c r="E7" i="5"/>
  <c r="C7" i="5"/>
  <c r="C32" i="5"/>
  <c r="C19" i="5"/>
  <c r="E24" i="5"/>
  <c r="E28" i="5"/>
  <c r="C11" i="5"/>
  <c r="C5" i="5"/>
  <c r="E41" i="5"/>
  <c r="C46" i="5"/>
  <c r="E51" i="5"/>
  <c r="C64" i="5"/>
  <c r="E46" i="5"/>
  <c r="C55" i="5"/>
  <c r="E32" i="5"/>
  <c r="E17" i="5"/>
  <c r="C65" i="5"/>
  <c r="C54" i="5"/>
  <c r="E56" i="5"/>
  <c r="E49" i="5"/>
  <c r="C49" i="5"/>
  <c r="E53" i="5"/>
  <c r="H48" i="5"/>
  <c r="E52" i="5"/>
  <c r="C56" i="5"/>
  <c r="H53" i="5"/>
  <c r="C35" i="5"/>
  <c r="C16" i="5"/>
  <c r="E11" i="5"/>
  <c r="C36" i="5"/>
  <c r="E14" i="5"/>
  <c r="H40" i="5"/>
  <c r="H18" i="5"/>
  <c r="E21" i="5"/>
  <c r="E26" i="5"/>
  <c r="C41" i="5"/>
  <c r="E19" i="5"/>
  <c r="E35" i="5"/>
  <c r="C6" i="5"/>
  <c r="E6" i="5"/>
  <c r="E23" i="5"/>
  <c r="H36" i="5"/>
  <c r="H5" i="5"/>
  <c r="E43" i="5"/>
  <c r="E17" i="3"/>
  <c r="E59" i="5"/>
  <c r="C63" i="5"/>
  <c r="E63" i="5"/>
  <c r="H61" i="5"/>
  <c r="C57" i="5"/>
  <c r="E47" i="5"/>
  <c r="C61" i="5"/>
  <c r="H59" i="5"/>
  <c r="C60" i="5"/>
  <c r="C58" i="5"/>
  <c r="E48" i="5"/>
  <c r="H50" i="5"/>
  <c r="E58" i="5"/>
  <c r="E64" i="5"/>
  <c r="E55" i="5"/>
  <c r="H60" i="5"/>
  <c r="E50" i="5"/>
  <c r="C47" i="5"/>
  <c r="C52" i="5"/>
  <c r="C10" i="5"/>
  <c r="E25" i="5"/>
  <c r="E20" i="5"/>
  <c r="E22" i="5"/>
  <c r="E12" i="5"/>
  <c r="C24" i="5"/>
  <c r="C43" i="5"/>
  <c r="C33" i="5"/>
  <c r="H8" i="5"/>
  <c r="C20" i="5"/>
  <c r="C22" i="5"/>
  <c r="C31" i="5"/>
  <c r="E40" i="5"/>
  <c r="E33" i="5"/>
  <c r="E10" i="5"/>
  <c r="C8" i="5"/>
  <c r="C38" i="5"/>
  <c r="E34" i="5"/>
  <c r="C12" i="5"/>
  <c r="E42" i="5"/>
  <c r="E29" i="5"/>
  <c r="H30" i="5"/>
  <c r="C23" i="5"/>
  <c r="C13" i="5"/>
  <c r="E37" i="5"/>
  <c r="C37" i="5"/>
  <c r="C42" i="5"/>
  <c r="E9" i="5"/>
  <c r="C34" i="5"/>
  <c r="H38" i="5"/>
  <c r="E30" i="5"/>
  <c r="C26" i="5"/>
  <c r="E31" i="5"/>
  <c r="H15" i="5"/>
  <c r="C29" i="5"/>
  <c r="C9" i="5"/>
  <c r="C17" i="5"/>
  <c r="C26" i="4"/>
  <c r="I24" i="1"/>
  <c r="H15" i="3"/>
  <c r="E26" i="4"/>
  <c r="C16" i="4"/>
  <c r="C6" i="4"/>
  <c r="D14" i="1"/>
  <c r="I14" i="1"/>
  <c r="E15" i="3"/>
  <c r="E8" i="3"/>
  <c r="E11" i="3"/>
  <c r="E10" i="3"/>
  <c r="E12" i="3"/>
  <c r="C10" i="3"/>
  <c r="C18" i="4"/>
  <c r="E18" i="4"/>
  <c r="C8" i="4"/>
  <c r="E23" i="4"/>
  <c r="E20" i="4"/>
  <c r="E7" i="4"/>
  <c r="I25" i="1"/>
  <c r="F21" i="1"/>
  <c r="I11" i="1"/>
  <c r="I21" i="1"/>
  <c r="I15" i="1"/>
  <c r="C11" i="3"/>
  <c r="C16" i="3"/>
  <c r="H13" i="3"/>
  <c r="C13" i="3"/>
  <c r="H19" i="3"/>
  <c r="E19" i="3"/>
  <c r="C18" i="3"/>
  <c r="C14" i="3"/>
  <c r="C5" i="4"/>
  <c r="H7" i="4"/>
  <c r="C10" i="4"/>
  <c r="E8" i="4"/>
  <c r="H20" i="4"/>
  <c r="C13" i="4"/>
  <c r="H5" i="4"/>
  <c r="H16" i="4"/>
  <c r="E12" i="4"/>
  <c r="C24" i="4"/>
  <c r="C14" i="4"/>
  <c r="H23" i="4"/>
  <c r="C12" i="4"/>
  <c r="E25" i="4"/>
  <c r="H13" i="4"/>
  <c r="E14" i="4"/>
  <c r="H10" i="4"/>
  <c r="E21" i="4"/>
  <c r="E24" i="4"/>
  <c r="D9" i="1"/>
  <c r="D8" i="1"/>
  <c r="D22" i="1"/>
  <c r="I22" i="1"/>
  <c r="D11" i="1"/>
  <c r="F9" i="1"/>
  <c r="F8" i="1"/>
  <c r="D18" i="1"/>
  <c r="F20" i="1"/>
  <c r="I7" i="1"/>
  <c r="D23" i="1"/>
  <c r="F15" i="1"/>
  <c r="D7" i="1"/>
  <c r="D20" i="1"/>
  <c r="F18" i="1"/>
  <c r="D13" i="1"/>
  <c r="H14" i="3"/>
  <c r="E6" i="3"/>
  <c r="C6" i="3"/>
  <c r="H16" i="3"/>
  <c r="C7" i="3"/>
  <c r="H8" i="3"/>
  <c r="H7" i="3"/>
  <c r="C12" i="3"/>
  <c r="H9" i="3"/>
  <c r="C9" i="3"/>
  <c r="C20" i="3"/>
  <c r="H17" i="3"/>
  <c r="C5" i="3"/>
  <c r="E20" i="3"/>
  <c r="H18" i="3"/>
  <c r="H5" i="3"/>
  <c r="H6" i="4"/>
  <c r="C19" i="4"/>
  <c r="E17" i="4"/>
  <c r="H17" i="4"/>
  <c r="C15" i="4"/>
  <c r="E19" i="4"/>
  <c r="C21" i="4"/>
  <c r="E11" i="4"/>
  <c r="H11" i="4"/>
  <c r="H9" i="4"/>
  <c r="E15" i="4"/>
  <c r="E9" i="4"/>
  <c r="C25" i="4"/>
  <c r="C22" i="4"/>
  <c r="E22" i="4"/>
  <c r="C27" i="4"/>
  <c r="H27" i="4"/>
  <c r="H62" i="5"/>
  <c r="C62" i="5"/>
  <c r="E57" i="5"/>
  <c r="B2" i="6"/>
  <c r="B7" i="2"/>
  <c r="D25" i="1"/>
  <c r="D24" i="1"/>
  <c r="I23" i="1"/>
  <c r="D19" i="1"/>
  <c r="I19" i="1"/>
  <c r="I17" i="1"/>
  <c r="F17" i="1"/>
  <c r="F16" i="1"/>
  <c r="D16" i="1"/>
  <c r="I13" i="1"/>
  <c r="D12" i="1"/>
  <c r="F12" i="1"/>
  <c r="I10" i="1"/>
  <c r="F10" i="1"/>
  <c r="I6" i="1"/>
  <c r="D6" i="1"/>
  <c r="B2" i="5"/>
  <c r="B6" i="2"/>
  <c r="B2" i="3"/>
  <c r="B4" i="2"/>
  <c r="B2" i="4"/>
  <c r="B3" i="2"/>
  <c r="B2" i="1"/>
  <c r="B5" i="2"/>
</calcChain>
</file>

<file path=xl/sharedStrings.xml><?xml version="1.0" encoding="utf-8"?>
<sst xmlns="http://schemas.openxmlformats.org/spreadsheetml/2006/main" count="521" uniqueCount="171">
  <si>
    <t>NAME:</t>
  </si>
  <si>
    <t>Unit 1X.1 Short sentences and questions</t>
  </si>
  <si>
    <t>Enter "X" next to the answer that was WRONG.</t>
  </si>
  <si>
    <t>Was I next?</t>
  </si>
  <si>
    <t>Were I next?</t>
  </si>
  <si>
    <t>Was she smart?</t>
  </si>
  <si>
    <t>Were she smart?</t>
  </si>
  <si>
    <t>We be not hot.</t>
  </si>
  <si>
    <t>We were not hot.</t>
  </si>
  <si>
    <t>I was not next.</t>
  </si>
  <si>
    <t>I were not next.</t>
  </si>
  <si>
    <t>Was they here?</t>
  </si>
  <si>
    <t>Were they here?</t>
  </si>
  <si>
    <t>Were you tired?</t>
  </si>
  <si>
    <t>Was you tired?</t>
  </si>
  <si>
    <t>Were he strong?</t>
  </si>
  <si>
    <t>Was he strong?</t>
  </si>
  <si>
    <t>He was not ready.</t>
  </si>
  <si>
    <t>He were not ready.</t>
  </si>
  <si>
    <t>You was not funny.</t>
  </si>
  <si>
    <t>You were not funny.</t>
  </si>
  <si>
    <t>They was at home.</t>
  </si>
  <si>
    <t>They were at home.</t>
  </si>
  <si>
    <t>It was near here.</t>
  </si>
  <si>
    <t>It be near here.</t>
  </si>
  <si>
    <t>I were OK.</t>
  </si>
  <si>
    <t>I was OK.</t>
  </si>
  <si>
    <t>Were I late?</t>
  </si>
  <si>
    <t>Was I late?</t>
  </si>
  <si>
    <t>We was not hot.</t>
  </si>
  <si>
    <t>Be it cold?</t>
  </si>
  <si>
    <t>Was it cold?</t>
  </si>
  <si>
    <t>Was we late?</t>
  </si>
  <si>
    <t>Were we late?</t>
  </si>
  <si>
    <t>Were it cold?</t>
  </si>
  <si>
    <t>She was funny.</t>
  </si>
  <si>
    <t>She were funny.</t>
  </si>
  <si>
    <t>I be not tired.</t>
  </si>
  <si>
    <t>I was not tired.</t>
  </si>
  <si>
    <t>You were happy.</t>
  </si>
  <si>
    <t>You was happy.</t>
  </si>
  <si>
    <t>Unit 2X.1 Some longer sentences and questions</t>
  </si>
  <si>
    <r>
      <t>1</t>
    </r>
    <r>
      <rPr>
        <sz val="12"/>
        <rFont val="Arial"/>
        <family val="2"/>
      </rPr>
      <t> </t>
    </r>
  </si>
  <si>
    <t>It was nice.</t>
  </si>
  <si>
    <t>It were nice.</t>
  </si>
  <si>
    <r>
      <t>2</t>
    </r>
    <r>
      <rPr>
        <sz val="12"/>
        <rFont val="Arial"/>
        <family val="2"/>
      </rPr>
      <t> </t>
    </r>
  </si>
  <si>
    <t>I was next?</t>
  </si>
  <si>
    <r>
      <t>3</t>
    </r>
    <r>
      <rPr>
        <sz val="12"/>
        <rFont val="Arial"/>
        <family val="2"/>
      </rPr>
      <t> </t>
    </r>
  </si>
  <si>
    <t>Was she in the hospital?</t>
  </si>
  <si>
    <t>Was in the hospital she?</t>
  </si>
  <si>
    <r>
      <t>4</t>
    </r>
    <r>
      <rPr>
        <sz val="12"/>
        <rFont val="Arial"/>
        <family val="2"/>
      </rPr>
      <t> </t>
    </r>
  </si>
  <si>
    <t>They were pencils?</t>
  </si>
  <si>
    <t>Were they pencils?</t>
  </si>
  <si>
    <r>
      <t>5</t>
    </r>
    <r>
      <rPr>
        <sz val="12"/>
        <rFont val="Arial"/>
        <family val="2"/>
      </rPr>
      <t> </t>
    </r>
  </si>
  <si>
    <t>They tired.</t>
  </si>
  <si>
    <t>They were tired.</t>
  </si>
  <si>
    <r>
      <t>6</t>
    </r>
    <r>
      <rPr>
        <sz val="12"/>
        <rFont val="Arial"/>
        <family val="2"/>
      </rPr>
      <t> </t>
    </r>
  </si>
  <si>
    <t>Was late?</t>
  </si>
  <si>
    <t>Was it late?</t>
  </si>
  <si>
    <r>
      <t>7</t>
    </r>
    <r>
      <rPr>
        <sz val="12"/>
        <rFont val="Arial"/>
        <family val="2"/>
      </rPr>
      <t> </t>
    </r>
  </si>
  <si>
    <t>You were a good person.</t>
  </si>
  <si>
    <t>You was a good person.</t>
  </si>
  <si>
    <r>
      <t>8</t>
    </r>
    <r>
      <rPr>
        <sz val="12"/>
        <rFont val="Arial"/>
        <family val="2"/>
      </rPr>
      <t> </t>
    </r>
  </si>
  <si>
    <t>Was it a book.</t>
  </si>
  <si>
    <t>It was a book.</t>
  </si>
  <si>
    <r>
      <t>9</t>
    </r>
    <r>
      <rPr>
        <sz val="12"/>
        <rFont val="Arial"/>
        <family val="2"/>
      </rPr>
      <t> </t>
    </r>
  </si>
  <si>
    <t>Was cold outside?</t>
  </si>
  <si>
    <t>Was it cold outside?</t>
  </si>
  <si>
    <r>
      <t>10</t>
    </r>
    <r>
      <rPr>
        <sz val="12"/>
        <rFont val="Arial"/>
        <family val="2"/>
      </rPr>
      <t> </t>
    </r>
  </si>
  <si>
    <t>Was she hungry?</t>
  </si>
  <si>
    <t>She was hungry?</t>
  </si>
  <si>
    <r>
      <t>11</t>
    </r>
    <r>
      <rPr>
        <sz val="12"/>
        <rFont val="Arial"/>
        <family val="2"/>
      </rPr>
      <t> </t>
    </r>
  </si>
  <si>
    <t>They were here.</t>
  </si>
  <si>
    <t>Were they here.</t>
  </si>
  <si>
    <r>
      <t>12</t>
    </r>
    <r>
      <rPr>
        <sz val="12"/>
        <rFont val="Arial"/>
        <family val="2"/>
      </rPr>
      <t> </t>
    </r>
  </si>
  <si>
    <t>He was angry?</t>
  </si>
  <si>
    <t>Was he angry?</t>
  </si>
  <si>
    <r>
      <t>13</t>
    </r>
    <r>
      <rPr>
        <sz val="12"/>
        <rFont val="Arial"/>
        <family val="2"/>
      </rPr>
      <t> </t>
    </r>
  </si>
  <si>
    <t>It near the lake?</t>
  </si>
  <si>
    <t>Was it near the lake?</t>
  </si>
  <si>
    <r>
      <t>14</t>
    </r>
    <r>
      <rPr>
        <sz val="12"/>
        <rFont val="Arial"/>
        <family val="2"/>
      </rPr>
      <t> </t>
    </r>
  </si>
  <si>
    <t>He was not tired.</t>
  </si>
  <si>
    <t>He not was tired.</t>
  </si>
  <si>
    <r>
      <t>15</t>
    </r>
    <r>
      <rPr>
        <sz val="12"/>
        <rFont val="Arial"/>
        <family val="2"/>
      </rPr>
      <t> </t>
    </r>
  </si>
  <si>
    <t>They no were students.</t>
  </si>
  <si>
    <t>They were not students.</t>
  </si>
  <si>
    <r>
      <t>16</t>
    </r>
    <r>
      <rPr>
        <sz val="12"/>
        <rFont val="Arial"/>
        <family val="2"/>
      </rPr>
      <t> </t>
    </r>
  </si>
  <si>
    <t>They were not in the box.</t>
  </si>
  <si>
    <t>They were no in the box.</t>
  </si>
  <si>
    <t>Unit 1X.3 "Be" Conversations</t>
  </si>
  <si>
    <t>Question</t>
  </si>
  <si>
    <t>Answer A</t>
  </si>
  <si>
    <t>Answer B</t>
  </si>
  <si>
    <t>Were you a student?</t>
  </si>
  <si>
    <t>Yes, you were a student.</t>
  </si>
  <si>
    <t>Yes, I was a student.</t>
  </si>
  <si>
    <t>Yes, you was next.</t>
  </si>
  <si>
    <t>Yes, you were next.</t>
  </si>
  <si>
    <t>Was she from Africa?</t>
  </si>
  <si>
    <t>Yes, she was from Africa.</t>
  </si>
  <si>
    <t>Yes, was from Africa.</t>
  </si>
  <si>
    <t>Yes, I was next.</t>
  </si>
  <si>
    <t>No, they were not here.</t>
  </si>
  <si>
    <t>No, they not here.</t>
  </si>
  <si>
    <t>Were they in the box?</t>
  </si>
  <si>
    <t>No, it was not in the box.</t>
  </si>
  <si>
    <t>No, they were not in the box.</t>
  </si>
  <si>
    <t>Were we next?</t>
  </si>
  <si>
    <t>Yes, we next.</t>
  </si>
  <si>
    <t>Yes, we were next.</t>
  </si>
  <si>
    <t>Was he here?</t>
  </si>
  <si>
    <t>No, he was not here.</t>
  </si>
  <si>
    <t>No, she was not here.</t>
  </si>
  <si>
    <t xml:space="preserve">Were they sad? </t>
  </si>
  <si>
    <t>No, were not sad.</t>
  </si>
  <si>
    <t>No, they were not sad.</t>
  </si>
  <si>
    <t>Was I near the hospital?</t>
  </si>
  <si>
    <t>Yes, I am near the hospital.</t>
  </si>
  <si>
    <t>Yes, you were near the hospital.</t>
  </si>
  <si>
    <t>Yes, I am a student.</t>
  </si>
  <si>
    <t>Were you angry?</t>
  </si>
  <si>
    <t>No, I was not angry.</t>
  </si>
  <si>
    <t>No, you were not angry.</t>
  </si>
  <si>
    <t>Is she from Africa?</t>
  </si>
  <si>
    <t>Yes, she is from Africa.</t>
  </si>
  <si>
    <t>Is it cold outside?</t>
  </si>
  <si>
    <t>No, it is not cold outside.</t>
  </si>
  <si>
    <t xml:space="preserve">No, it was not cold outside. </t>
  </si>
  <si>
    <t>No, they are not here.</t>
  </si>
  <si>
    <t>Was it a book?</t>
  </si>
  <si>
    <t>Yes, it is a book.</t>
  </si>
  <si>
    <t>Yes, it was a book.</t>
  </si>
  <si>
    <t>Are we next?</t>
  </si>
  <si>
    <t>Yes, we are next.</t>
  </si>
  <si>
    <t>No, you were not tired.</t>
  </si>
  <si>
    <t>No, I was not tired.</t>
  </si>
  <si>
    <t>No, they are not sad.</t>
  </si>
  <si>
    <t>Were they students?</t>
  </si>
  <si>
    <t>Yes, they were students.</t>
  </si>
  <si>
    <t xml:space="preserve">Yes, they are students. </t>
  </si>
  <si>
    <t>Cumulative test ("X" for Wrong)</t>
  </si>
  <si>
    <t>Enter "X" next to the answer that is WRONG.</t>
  </si>
  <si>
    <t>Was I awake?</t>
  </si>
  <si>
    <t>Were I awake?</t>
  </si>
  <si>
    <t>I was not awake.</t>
  </si>
  <si>
    <t>I were not awake.</t>
  </si>
  <si>
    <t>Was they boys?</t>
  </si>
  <si>
    <t>Were they boys?</t>
  </si>
  <si>
    <t>They was in school.</t>
  </si>
  <si>
    <t>They were in school.</t>
  </si>
  <si>
    <t>I were right.</t>
  </si>
  <si>
    <t>I was right.</t>
  </si>
  <si>
    <t>Be it cooked?</t>
  </si>
  <si>
    <t>Was it cooked?</t>
  </si>
  <si>
    <t>Was we early?</t>
  </si>
  <si>
    <t>Were we early?</t>
  </si>
  <si>
    <t>Was they cold?</t>
  </si>
  <si>
    <t>I was awake?</t>
  </si>
  <si>
    <t>Was they in the hospital?</t>
  </si>
  <si>
    <t>Was they pencils?</t>
  </si>
  <si>
    <t>Was it a truck.</t>
  </si>
  <si>
    <t>It was a truck.</t>
  </si>
  <si>
    <t>They were there.</t>
  </si>
  <si>
    <t>Were they there.</t>
  </si>
  <si>
    <t>Cumulative test ("C" for Correct)</t>
  </si>
  <si>
    <t>Enter "C" next to the CORRECT sentence.</t>
  </si>
  <si>
    <t>Date</t>
  </si>
  <si>
    <t>Student</t>
  </si>
  <si>
    <t>FIRST print to OneNote</t>
  </si>
  <si>
    <t>THEN use Ctrl-Shift-B to clear the sheets</t>
  </si>
  <si>
    <t>DO NOT SAVE. JUST CLOSE THE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</si>
</sst>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Times New Roman"/>
      <family val="1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2"/>
      <color rgb="FF000000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2"/>
      <color theme="0"/>
      <name val="Arial"/>
      <family val="2"/>
    </font>
    <font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rgb="FF000000"/>
      <name val="Arial"/>
      <family val="2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vertical="center" wrapText="1"/>
    </xf>
    <xf numFmtId="0" fontId="4" fillId="0" borderId="0" xfId="0" applyFont="1" applyAlignment="1" applyProtection="1">
      <alignment vertical="center" wrapText="1"/>
    </xf>
    <xf numFmtId="14" fontId="0" fillId="0" borderId="0" xfId="0" applyNumberFormat="1"/>
    <xf numFmtId="9" fontId="0" fillId="0" borderId="0" xfId="1" applyFont="1" applyProtection="1"/>
    <xf numFmtId="9" fontId="0" fillId="0" borderId="0" xfId="1" applyFont="1" applyAlignment="1" applyProtection="1">
      <alignment horizontal="center"/>
    </xf>
    <xf numFmtId="0" fontId="7" fillId="0" borderId="0" xfId="0" applyFont="1" applyBorder="1" applyAlignment="1" applyProtection="1">
      <alignment horizontal="center" vertical="center" wrapText="1"/>
    </xf>
    <xf numFmtId="0" fontId="8" fillId="0" borderId="0" xfId="0" applyFont="1"/>
    <xf numFmtId="0" fontId="8" fillId="0" borderId="0" xfId="0" applyFont="1" applyProtection="1"/>
    <xf numFmtId="0" fontId="9" fillId="0" borderId="0" xfId="0" applyFont="1" applyAlignment="1" applyProtection="1">
      <alignment vertical="center" wrapText="1"/>
    </xf>
    <xf numFmtId="0" fontId="12" fillId="0" borderId="1" xfId="0" applyFont="1" applyBorder="1" applyAlignment="1" applyProtection="1">
      <alignment horizontal="center" vertical="center" wrapText="1"/>
    </xf>
    <xf numFmtId="0" fontId="13" fillId="2" borderId="2" xfId="0" applyFont="1" applyFill="1" applyBorder="1" applyAlignment="1" applyProtection="1">
      <alignment horizontal="center" vertical="center" wrapText="1"/>
      <protection locked="0"/>
    </xf>
    <xf numFmtId="0" fontId="13" fillId="2" borderId="4" xfId="0" applyFont="1" applyFill="1" applyBorder="1" applyAlignment="1" applyProtection="1">
      <alignment horizontal="center" vertical="center" wrapText="1"/>
      <protection locked="0"/>
    </xf>
    <xf numFmtId="0" fontId="12" fillId="0" borderId="3" xfId="0" applyFont="1" applyBorder="1" applyAlignment="1" applyProtection="1">
      <alignment horizontal="center" vertical="center" wrapText="1"/>
    </xf>
    <xf numFmtId="14" fontId="0" fillId="0" borderId="0" xfId="0" applyNumberFormat="1" applyProtection="1"/>
    <xf numFmtId="0" fontId="10" fillId="3" borderId="0" xfId="0" applyFont="1" applyFill="1" applyBorder="1" applyAlignment="1" applyProtection="1">
      <alignment horizontal="right" vertical="center" wrapText="1"/>
    </xf>
    <xf numFmtId="0" fontId="0" fillId="0" borderId="0" xfId="0" applyBorder="1" applyProtection="1"/>
    <xf numFmtId="0" fontId="14" fillId="3" borderId="0" xfId="0" applyFont="1" applyFill="1" applyBorder="1" applyAlignment="1" applyProtection="1">
      <alignment horizontal="left" vertical="center"/>
    </xf>
    <xf numFmtId="0" fontId="0" fillId="2" borderId="0" xfId="0" applyFill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</xf>
    <xf numFmtId="0" fontId="9" fillId="3" borderId="0" xfId="0" applyFont="1" applyFill="1" applyBorder="1" applyAlignment="1" applyProtection="1">
      <alignment vertical="center" wrapText="1"/>
    </xf>
    <xf numFmtId="0" fontId="8" fillId="3" borderId="0" xfId="0" applyFont="1" applyFill="1" applyBorder="1" applyProtection="1"/>
    <xf numFmtId="0" fontId="0" fillId="3" borderId="0" xfId="0" applyFill="1" applyBorder="1" applyProtection="1"/>
    <xf numFmtId="0" fontId="8" fillId="3" borderId="0" xfId="0" applyFont="1" applyFill="1" applyProtection="1"/>
    <xf numFmtId="0" fontId="9" fillId="3" borderId="0" xfId="0" applyFont="1" applyFill="1" applyAlignment="1" applyProtection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/>
    <xf numFmtId="0" fontId="12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vertical="center" wrapText="1"/>
    </xf>
    <xf numFmtId="0" fontId="0" fillId="3" borderId="0" xfId="0" applyFill="1" applyBorder="1"/>
    <xf numFmtId="0" fontId="0" fillId="0" borderId="0" xfId="0" applyAlignment="1"/>
    <xf numFmtId="0" fontId="0" fillId="0" borderId="0" xfId="0" applyAlignment="1" applyProtection="1"/>
    <xf numFmtId="0" fontId="8" fillId="0" borderId="0" xfId="0" applyFont="1" applyAlignment="1" applyProtection="1"/>
    <xf numFmtId="0" fontId="8" fillId="3" borderId="0" xfId="0" applyFont="1" applyFill="1" applyBorder="1"/>
    <xf numFmtId="0" fontId="0" fillId="0" borderId="0" xfId="0" applyAlignment="1" applyProtection="1">
      <alignment horizontal="left"/>
    </xf>
    <xf numFmtId="0" fontId="16" fillId="0" borderId="0" xfId="0" applyFont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12" fillId="0" borderId="9" xfId="0" applyFont="1" applyBorder="1" applyAlignment="1" applyProtection="1">
      <alignment horizontal="center" vertical="center" wrapText="1"/>
    </xf>
    <xf numFmtId="0" fontId="13" fillId="2" borderId="11" xfId="0" applyFont="1" applyFill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2" borderId="5" xfId="0" applyFont="1" applyFill="1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 vertical="center" wrapText="1"/>
    </xf>
    <xf numFmtId="0" fontId="17" fillId="0" borderId="10" xfId="0" applyFont="1" applyBorder="1" applyAlignment="1" applyProtection="1">
      <alignment horizontal="center" vertical="center" wrapText="1"/>
    </xf>
    <xf numFmtId="0" fontId="13" fillId="3" borderId="0" xfId="0" applyFont="1" applyFill="1" applyBorder="1" applyAlignment="1" applyProtection="1">
      <alignment horizontal="center" vertical="center" wrapText="1"/>
    </xf>
    <xf numFmtId="0" fontId="3" fillId="3" borderId="0" xfId="0" applyFont="1" applyFill="1" applyBorder="1" applyAlignment="1" applyProtection="1">
      <alignment horizontal="center" vertical="center" wrapText="1"/>
    </xf>
    <xf numFmtId="0" fontId="7" fillId="3" borderId="0" xfId="0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0" fillId="3" borderId="0" xfId="0" applyFill="1" applyBorder="1" applyAlignment="1" applyProtection="1"/>
    <xf numFmtId="0" fontId="8" fillId="3" borderId="0" xfId="0" applyFont="1" applyFill="1" applyAlignment="1"/>
    <xf numFmtId="0" fontId="17" fillId="3" borderId="0" xfId="0" applyFont="1" applyFill="1" applyBorder="1" applyAlignment="1" applyProtection="1">
      <alignment horizontal="center" vertical="center" wrapText="1"/>
    </xf>
    <xf numFmtId="0" fontId="13" fillId="3" borderId="0" xfId="0" applyFont="1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 applyProtection="1">
      <alignment horizontal="center" vertical="center" wrapText="1"/>
      <protection locked="0"/>
    </xf>
    <xf numFmtId="0" fontId="7" fillId="3" borderId="0" xfId="0" applyFont="1" applyFill="1" applyBorder="1" applyAlignment="1">
      <alignment vertical="center"/>
    </xf>
    <xf numFmtId="0" fontId="8" fillId="3" borderId="0" xfId="0" applyFont="1" applyFill="1" applyBorder="1" applyAlignment="1"/>
    <xf numFmtId="0" fontId="0" fillId="3" borderId="0" xfId="0" applyFill="1" applyBorder="1" applyAlignment="1" applyProtection="1">
      <alignment horizontal="center"/>
    </xf>
    <xf numFmtId="0" fontId="16" fillId="3" borderId="0" xfId="0" applyFont="1" applyFill="1" applyBorder="1" applyAlignment="1" applyProtection="1">
      <alignment horizontal="center"/>
    </xf>
    <xf numFmtId="0" fontId="12" fillId="0" borderId="13" xfId="0" applyFont="1" applyBorder="1" applyAlignment="1" applyProtection="1">
      <alignment horizontal="center" vertical="center" wrapText="1"/>
    </xf>
    <xf numFmtId="0" fontId="17" fillId="0" borderId="14" xfId="0" applyFont="1" applyBorder="1" applyAlignment="1" applyProtection="1">
      <alignment horizontal="center" vertical="center" wrapText="1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/>
    </xf>
    <xf numFmtId="14" fontId="0" fillId="3" borderId="0" xfId="0" applyNumberFormat="1" applyFill="1" applyBorder="1"/>
    <xf numFmtId="9" fontId="0" fillId="3" borderId="0" xfId="1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</xf>
    <xf numFmtId="0" fontId="15" fillId="3" borderId="0" xfId="0" applyFont="1" applyFill="1" applyBorder="1" applyAlignment="1" applyProtection="1">
      <alignment horizontal="center"/>
    </xf>
    <xf numFmtId="0" fontId="18" fillId="0" borderId="0" xfId="0" applyFont="1"/>
    <xf numFmtId="0" fontId="18" fillId="0" borderId="0" xfId="0" applyFont="1" applyProtection="1"/>
    <xf numFmtId="0" fontId="18" fillId="0" borderId="0" xfId="0" applyFont="1" applyAlignment="1" applyProtection="1">
      <alignment horizontal="center"/>
    </xf>
    <xf numFmtId="0" fontId="20" fillId="3" borderId="0" xfId="0" applyFont="1" applyFill="1" applyProtection="1"/>
    <xf numFmtId="0" fontId="20" fillId="3" borderId="0" xfId="0" applyFont="1" applyFill="1" applyAlignment="1"/>
    <xf numFmtId="0" fontId="18" fillId="0" borderId="0" xfId="0" applyFont="1" applyAlignment="1">
      <alignment horizontal="center"/>
    </xf>
    <xf numFmtId="0" fontId="20" fillId="0" borderId="0" xfId="0" applyFont="1" applyProtection="1"/>
    <xf numFmtId="0" fontId="19" fillId="3" borderId="0" xfId="0" applyFont="1" applyFill="1" applyBorder="1" applyAlignment="1" applyProtection="1">
      <alignment horizontal="right"/>
    </xf>
    <xf numFmtId="0" fontId="6" fillId="0" borderId="0" xfId="0" applyFont="1" applyAlignment="1" applyProtection="1">
      <alignment horizontal="center"/>
    </xf>
    <xf numFmtId="0" fontId="6" fillId="2" borderId="0" xfId="0" applyFont="1" applyFill="1" applyAlignment="1" applyProtection="1">
      <alignment horizontal="center"/>
      <protection locked="0"/>
    </xf>
    <xf numFmtId="0" fontId="6" fillId="0" borderId="0" xfId="0" applyFont="1" applyProtection="1"/>
    <xf numFmtId="0" fontId="21" fillId="3" borderId="0" xfId="0" applyFont="1" applyFill="1" applyProtection="1"/>
    <xf numFmtId="0" fontId="21" fillId="3" borderId="0" xfId="0" applyFont="1" applyFill="1" applyAlignment="1"/>
    <xf numFmtId="0" fontId="6" fillId="0" borderId="0" xfId="0" applyFont="1" applyAlignment="1">
      <alignment horizontal="center"/>
    </xf>
    <xf numFmtId="0" fontId="6" fillId="0" borderId="0" xfId="0" applyFont="1"/>
    <xf numFmtId="0" fontId="21" fillId="0" borderId="0" xfId="0" applyFont="1"/>
    <xf numFmtId="14" fontId="6" fillId="0" borderId="0" xfId="0" applyNumberFormat="1" applyFont="1"/>
    <xf numFmtId="9" fontId="6" fillId="0" borderId="0" xfId="1" applyFont="1" applyAlignment="1" applyProtection="1">
      <alignment horizontal="center"/>
    </xf>
    <xf numFmtId="0" fontId="6" fillId="0" borderId="0" xfId="0" applyFont="1" applyAlignment="1" applyProtection="1">
      <alignment horizontal="left"/>
    </xf>
    <xf numFmtId="0" fontId="21" fillId="0" borderId="0" xfId="0" applyFont="1" applyProtection="1"/>
    <xf numFmtId="0" fontId="0" fillId="0" borderId="7" xfId="0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0" fillId="0" borderId="8" xfId="0" applyBorder="1" applyProtection="1"/>
    <xf numFmtId="0" fontId="6" fillId="0" borderId="1" xfId="0" applyFont="1" applyBorder="1" applyAlignment="1" applyProtection="1">
      <alignment horizontal="center"/>
    </xf>
    <xf numFmtId="14" fontId="6" fillId="0" borderId="6" xfId="0" applyNumberFormat="1" applyFont="1" applyBorder="1" applyAlignment="1" applyProtection="1">
      <alignment horizontal="center"/>
    </xf>
    <xf numFmtId="0" fontId="6" fillId="0" borderId="2" xfId="0" applyFont="1" applyBorder="1" applyAlignment="1" applyProtection="1">
      <alignment horizontal="center"/>
    </xf>
    <xf numFmtId="9" fontId="6" fillId="0" borderId="0" xfId="0" applyNumberFormat="1" applyFont="1" applyBorder="1" applyAlignment="1" applyProtection="1">
      <alignment horizontal="center"/>
    </xf>
    <xf numFmtId="0" fontId="6" fillId="0" borderId="0" xfId="0" applyFont="1" applyBorder="1" applyProtection="1"/>
    <xf numFmtId="0" fontId="6" fillId="3" borderId="0" xfId="0" applyFont="1" applyFill="1" applyAlignment="1" applyProtection="1">
      <alignment horizontal="center"/>
    </xf>
    <xf numFmtId="0" fontId="7" fillId="3" borderId="0" xfId="0" applyFont="1" applyFill="1" applyAlignment="1" applyProtection="1">
      <alignment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3" fillId="3" borderId="4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59"/>
  <sheetViews>
    <sheetView showGridLines="0" zoomScale="150" zoomScaleNormal="150" workbookViewId="0" xr3:uid="{AEA406A1-0E4B-5B11-9CD5-51D6E497D94C}">
      <selection activeCell="F5" sqref="F5:F27"/>
    </sheetView>
  </sheetViews>
  <sheetFormatPr defaultRowHeight="14.45"/>
  <cols>
    <col min="1" max="1" width="12.7109375" customWidth="1"/>
    <col min="2" max="2" width="18.7109375" customWidth="1"/>
    <col min="3" max="3" width="19" customWidth="1"/>
    <col min="4" max="4" width="2.85546875" customWidth="1"/>
    <col min="5" max="5" width="17.28515625" customWidth="1"/>
    <col min="6" max="6" width="2.7109375" customWidth="1"/>
    <col min="8" max="8" width="8.85546875" style="31"/>
    <col min="9" max="9" width="6.28515625" style="31" customWidth="1"/>
    <col min="10" max="10" width="8.85546875" style="31"/>
    <col min="11" max="11" width="8.85546875" style="12"/>
  </cols>
  <sheetData>
    <row r="1" spans="1:15">
      <c r="A1" s="5" t="s">
        <v>0</v>
      </c>
      <c r="B1" s="23"/>
      <c r="C1" s="5"/>
      <c r="D1" s="4"/>
      <c r="E1" s="4"/>
      <c r="F1" s="4"/>
      <c r="G1" s="4"/>
      <c r="H1" s="28"/>
      <c r="I1" s="28"/>
      <c r="J1" s="28"/>
      <c r="K1" s="13"/>
      <c r="L1" s="4"/>
      <c r="M1" s="4"/>
    </row>
    <row r="2" spans="1:15">
      <c r="A2" s="19">
        <f ca="1">TODAY()</f>
        <v>43582</v>
      </c>
      <c r="B2" s="10">
        <f>SUM(H5:H27)/23</f>
        <v>0</v>
      </c>
      <c r="C2" s="39" t="s">
        <v>1</v>
      </c>
      <c r="D2" s="4"/>
      <c r="E2" s="4"/>
      <c r="F2" s="4"/>
      <c r="G2" s="4"/>
      <c r="H2" s="28"/>
      <c r="I2" s="28"/>
      <c r="J2" s="28"/>
      <c r="K2" s="13"/>
      <c r="L2" s="4"/>
      <c r="M2" s="4"/>
      <c r="N2" s="4"/>
      <c r="O2" s="4"/>
    </row>
    <row r="3" spans="1:15">
      <c r="A3" s="4"/>
      <c r="B3" s="4"/>
      <c r="C3" s="4"/>
      <c r="D3" s="4"/>
      <c r="E3" s="4"/>
      <c r="F3" s="4"/>
      <c r="G3" s="4"/>
      <c r="H3" s="28"/>
      <c r="I3" s="28"/>
      <c r="J3" s="28"/>
      <c r="K3" s="13"/>
      <c r="L3" s="4"/>
      <c r="M3" s="4"/>
      <c r="N3" s="4"/>
      <c r="O3" s="4"/>
    </row>
    <row r="4" spans="1:15" ht="15.6">
      <c r="A4" s="4"/>
      <c r="B4" s="4"/>
      <c r="C4" s="5"/>
      <c r="D4" s="24" t="s">
        <v>2</v>
      </c>
      <c r="E4" s="5"/>
      <c r="F4" s="5"/>
      <c r="G4" s="4"/>
      <c r="H4" s="28"/>
      <c r="I4" s="28"/>
      <c r="J4" s="28"/>
      <c r="K4" s="13"/>
      <c r="L4" s="4"/>
      <c r="M4" s="4"/>
      <c r="N4" s="4"/>
      <c r="O4" s="4"/>
    </row>
    <row r="5" spans="1:15" ht="15.6">
      <c r="A5" s="4"/>
      <c r="B5" s="20">
        <v>1</v>
      </c>
      <c r="C5" s="18" t="str">
        <f>IF(AND($D5="x",$G5="correct")," ",$I5)</f>
        <v>Was I next?</v>
      </c>
      <c r="D5" s="17"/>
      <c r="E5" s="18" t="str">
        <f>IF(AND($F5="x",$G5="correct")," ",$J5)</f>
        <v>Were I next?</v>
      </c>
      <c r="F5" s="3"/>
      <c r="G5" s="6" t="str">
        <f t="shared" ref="G5:G27" si="0">IF(AND($D5="",$F5="x"),"correct","")</f>
        <v/>
      </c>
      <c r="H5" s="29">
        <f>IF(G5="correct",1,0)</f>
        <v>0</v>
      </c>
      <c r="I5" s="30" t="s">
        <v>3</v>
      </c>
      <c r="J5" s="30" t="s">
        <v>4</v>
      </c>
      <c r="K5" s="13"/>
      <c r="L5" s="4"/>
      <c r="M5" s="4"/>
      <c r="N5" s="4"/>
      <c r="O5" s="4"/>
    </row>
    <row r="6" spans="1:15" ht="15.6">
      <c r="A6" s="4"/>
      <c r="B6" s="20">
        <f>1+B5</f>
        <v>2</v>
      </c>
      <c r="C6" s="15" t="str">
        <f>IF(AND($D6="x",$G6="correct")," ",$I6)</f>
        <v>Was she smart?</v>
      </c>
      <c r="D6" s="16"/>
      <c r="E6" s="15" t="str">
        <f>IF(AND($F6="x",$G6="correct")," ",$J6)</f>
        <v>Were she smart?</v>
      </c>
      <c r="F6" s="2"/>
      <c r="G6" s="6" t="str">
        <f>IF(AND($D6="",$F6="x"),"correct","")</f>
        <v/>
      </c>
      <c r="H6" s="29">
        <f>IF(G6="correct",1,0)</f>
        <v>0</v>
      </c>
      <c r="I6" s="30" t="s">
        <v>5</v>
      </c>
      <c r="J6" s="30" t="s">
        <v>6</v>
      </c>
      <c r="K6" s="13"/>
      <c r="L6" s="4"/>
      <c r="M6" s="4"/>
      <c r="N6" s="4"/>
      <c r="O6" s="4"/>
    </row>
    <row r="7" spans="1:15" ht="15.6">
      <c r="A7" s="4"/>
      <c r="B7" s="20">
        <f t="shared" ref="B7:B27" si="1">1+B6</f>
        <v>3</v>
      </c>
      <c r="C7" s="15" t="str">
        <f t="shared" ref="C7:C27" si="2">IF(AND($D7="x",$G7="correct")," ",$I7)</f>
        <v>We be not hot.</v>
      </c>
      <c r="D7" s="17"/>
      <c r="E7" s="15" t="str">
        <f t="shared" ref="E7:E27" si="3">IF(AND($F7="x",$G7="correct")," ",$J7)</f>
        <v>We were not hot.</v>
      </c>
      <c r="F7" s="3"/>
      <c r="G7" s="6" t="str">
        <f>IF(AND($F7="",$D7="x"),"correct","")</f>
        <v/>
      </c>
      <c r="H7" s="29">
        <f t="shared" ref="H7:H27" si="4">IF(G7="correct",1,0)</f>
        <v>0</v>
      </c>
      <c r="I7" s="30" t="s">
        <v>7</v>
      </c>
      <c r="J7" s="30" t="s">
        <v>8</v>
      </c>
      <c r="K7" s="13"/>
      <c r="L7" s="4"/>
      <c r="M7" s="4"/>
      <c r="N7" s="4"/>
      <c r="O7" s="4"/>
    </row>
    <row r="8" spans="1:15" ht="15.6">
      <c r="A8" s="4"/>
      <c r="B8" s="20">
        <f t="shared" si="1"/>
        <v>4</v>
      </c>
      <c r="C8" s="15" t="str">
        <f t="shared" si="2"/>
        <v>I was not next.</v>
      </c>
      <c r="D8" s="17"/>
      <c r="E8" s="15" t="str">
        <f t="shared" si="3"/>
        <v>I were not next.</v>
      </c>
      <c r="F8" s="3"/>
      <c r="G8" s="6" t="str">
        <f t="shared" si="0"/>
        <v/>
      </c>
      <c r="H8" s="29">
        <f t="shared" si="4"/>
        <v>0</v>
      </c>
      <c r="I8" s="30" t="s">
        <v>9</v>
      </c>
      <c r="J8" s="30" t="s">
        <v>10</v>
      </c>
      <c r="K8" s="13"/>
      <c r="L8" s="4"/>
      <c r="M8" s="4"/>
      <c r="N8" s="4"/>
      <c r="O8" s="4"/>
    </row>
    <row r="9" spans="1:15" ht="15.6">
      <c r="A9" s="4"/>
      <c r="B9" s="20">
        <f t="shared" si="1"/>
        <v>5</v>
      </c>
      <c r="C9" s="15" t="str">
        <f t="shared" si="2"/>
        <v>Was they here?</v>
      </c>
      <c r="D9" s="17"/>
      <c r="E9" s="15" t="str">
        <f t="shared" si="3"/>
        <v>Were they here?</v>
      </c>
      <c r="F9" s="3"/>
      <c r="G9" s="6" t="str">
        <f>IF(AND($F9="",$D9="x"),"correct","")</f>
        <v/>
      </c>
      <c r="H9" s="29">
        <f t="shared" si="4"/>
        <v>0</v>
      </c>
      <c r="I9" s="30" t="s">
        <v>11</v>
      </c>
      <c r="J9" s="30" t="s">
        <v>12</v>
      </c>
      <c r="K9" s="13"/>
      <c r="L9" s="4"/>
      <c r="M9" s="4"/>
      <c r="N9" s="4"/>
      <c r="O9" s="4"/>
    </row>
    <row r="10" spans="1:15" ht="15.6">
      <c r="A10" s="4"/>
      <c r="B10" s="20">
        <f t="shared" si="1"/>
        <v>6</v>
      </c>
      <c r="C10" s="15" t="str">
        <f t="shared" si="2"/>
        <v>Was they here?</v>
      </c>
      <c r="D10" s="17"/>
      <c r="E10" s="15" t="str">
        <f t="shared" si="3"/>
        <v>Were they here?</v>
      </c>
      <c r="F10" s="3"/>
      <c r="G10" s="6" t="str">
        <f>IF(AND($F10="",$D10="x"),"correct","")</f>
        <v/>
      </c>
      <c r="H10" s="29">
        <f t="shared" si="4"/>
        <v>0</v>
      </c>
      <c r="I10" s="30" t="s">
        <v>11</v>
      </c>
      <c r="J10" s="30" t="s">
        <v>12</v>
      </c>
      <c r="K10" s="13"/>
      <c r="L10" s="4"/>
      <c r="M10" s="4"/>
      <c r="N10" s="4"/>
      <c r="O10" s="4"/>
    </row>
    <row r="11" spans="1:15" ht="15.6">
      <c r="A11" s="4"/>
      <c r="B11" s="20">
        <f t="shared" si="1"/>
        <v>7</v>
      </c>
      <c r="C11" s="15" t="str">
        <f t="shared" si="2"/>
        <v>Were you tired?</v>
      </c>
      <c r="D11" s="17"/>
      <c r="E11" s="15" t="str">
        <f t="shared" si="3"/>
        <v>Was you tired?</v>
      </c>
      <c r="F11" s="3"/>
      <c r="G11" s="6" t="str">
        <f t="shared" si="0"/>
        <v/>
      </c>
      <c r="H11" s="29">
        <f t="shared" si="4"/>
        <v>0</v>
      </c>
      <c r="I11" s="30" t="s">
        <v>13</v>
      </c>
      <c r="J11" s="30" t="s">
        <v>14</v>
      </c>
      <c r="K11" s="13"/>
      <c r="L11" s="4"/>
      <c r="M11" s="4"/>
      <c r="N11" s="4"/>
      <c r="O11" s="4"/>
    </row>
    <row r="12" spans="1:15" ht="15.6">
      <c r="A12" s="4"/>
      <c r="B12" s="20">
        <f t="shared" si="1"/>
        <v>8</v>
      </c>
      <c r="C12" s="15" t="str">
        <f t="shared" si="2"/>
        <v>Were he strong?</v>
      </c>
      <c r="D12" s="17"/>
      <c r="E12" s="15" t="str">
        <f t="shared" si="3"/>
        <v>Was he strong?</v>
      </c>
      <c r="F12" s="3"/>
      <c r="G12" s="6" t="str">
        <f>IF(AND($F12="",$D12="x"),"correct","")</f>
        <v/>
      </c>
      <c r="H12" s="29">
        <f t="shared" si="4"/>
        <v>0</v>
      </c>
      <c r="I12" s="30" t="s">
        <v>15</v>
      </c>
      <c r="J12" s="30" t="s">
        <v>16</v>
      </c>
      <c r="K12" s="13"/>
      <c r="L12" s="4"/>
      <c r="M12" s="4"/>
      <c r="N12" s="4"/>
      <c r="O12" s="4"/>
    </row>
    <row r="13" spans="1:15" ht="15.6">
      <c r="A13" s="4"/>
      <c r="B13" s="20">
        <f t="shared" si="1"/>
        <v>9</v>
      </c>
      <c r="C13" s="15" t="str">
        <f t="shared" si="2"/>
        <v>He was not ready.</v>
      </c>
      <c r="D13" s="17"/>
      <c r="E13" s="15" t="str">
        <f t="shared" si="3"/>
        <v>He were not ready.</v>
      </c>
      <c r="F13" s="3"/>
      <c r="G13" s="6" t="str">
        <f t="shared" si="0"/>
        <v/>
      </c>
      <c r="H13" s="29">
        <f t="shared" si="4"/>
        <v>0</v>
      </c>
      <c r="I13" s="30" t="s">
        <v>17</v>
      </c>
      <c r="J13" s="30" t="s">
        <v>18</v>
      </c>
      <c r="K13" s="13"/>
      <c r="L13" s="4"/>
      <c r="M13" s="4"/>
      <c r="N13" s="4"/>
      <c r="O13" s="4"/>
    </row>
    <row r="14" spans="1:15" ht="15.6">
      <c r="A14" s="4"/>
      <c r="B14" s="20">
        <f t="shared" si="1"/>
        <v>10</v>
      </c>
      <c r="C14" s="15" t="str">
        <f t="shared" si="2"/>
        <v>Were they here?</v>
      </c>
      <c r="D14" s="17"/>
      <c r="E14" s="15" t="str">
        <f t="shared" si="3"/>
        <v>Was they here?</v>
      </c>
      <c r="F14" s="3"/>
      <c r="G14" s="6" t="str">
        <f t="shared" si="0"/>
        <v/>
      </c>
      <c r="H14" s="29">
        <f t="shared" si="4"/>
        <v>0</v>
      </c>
      <c r="I14" s="30" t="s">
        <v>12</v>
      </c>
      <c r="J14" s="30" t="s">
        <v>11</v>
      </c>
      <c r="K14" s="13"/>
      <c r="L14" s="4"/>
      <c r="M14" s="4"/>
      <c r="N14" s="4"/>
      <c r="O14" s="4"/>
    </row>
    <row r="15" spans="1:15" ht="15.6">
      <c r="A15" s="4"/>
      <c r="B15" s="20">
        <f t="shared" si="1"/>
        <v>11</v>
      </c>
      <c r="C15" s="15" t="str">
        <f t="shared" si="2"/>
        <v>You was not funny.</v>
      </c>
      <c r="D15" s="17"/>
      <c r="E15" s="15" t="str">
        <f t="shared" si="3"/>
        <v>You were not funny.</v>
      </c>
      <c r="F15" s="3"/>
      <c r="G15" s="6" t="str">
        <f>IF(AND($F15="",$D15="x"),"correct","")</f>
        <v/>
      </c>
      <c r="H15" s="29">
        <f t="shared" si="4"/>
        <v>0</v>
      </c>
      <c r="I15" s="30" t="s">
        <v>19</v>
      </c>
      <c r="J15" s="30" t="s">
        <v>20</v>
      </c>
      <c r="K15" s="13"/>
      <c r="L15" s="4"/>
      <c r="M15" s="4"/>
      <c r="N15" s="4"/>
      <c r="O15" s="4"/>
    </row>
    <row r="16" spans="1:15" ht="15.6">
      <c r="A16" s="4"/>
      <c r="B16" s="20">
        <f t="shared" si="1"/>
        <v>12</v>
      </c>
      <c r="C16" s="15" t="str">
        <f t="shared" si="2"/>
        <v>They was at home.</v>
      </c>
      <c r="D16" s="17"/>
      <c r="E16" s="15" t="str">
        <f t="shared" si="3"/>
        <v>They were at home.</v>
      </c>
      <c r="F16" s="3"/>
      <c r="G16" s="6" t="str">
        <f>IF(AND($F16="",$D16="x"),"correct","")</f>
        <v/>
      </c>
      <c r="H16" s="29">
        <f t="shared" si="4"/>
        <v>0</v>
      </c>
      <c r="I16" s="30" t="s">
        <v>21</v>
      </c>
      <c r="J16" s="30" t="s">
        <v>22</v>
      </c>
      <c r="K16" s="13"/>
      <c r="L16" s="4"/>
      <c r="M16" s="4"/>
      <c r="N16" s="4"/>
      <c r="O16" s="4"/>
    </row>
    <row r="17" spans="1:15" ht="15.6">
      <c r="A17" s="4"/>
      <c r="B17" s="20">
        <f t="shared" si="1"/>
        <v>13</v>
      </c>
      <c r="C17" s="15" t="str">
        <f t="shared" si="2"/>
        <v>It was near here.</v>
      </c>
      <c r="D17" s="17"/>
      <c r="E17" s="15" t="str">
        <f t="shared" si="3"/>
        <v>It be near here.</v>
      </c>
      <c r="F17" s="3"/>
      <c r="G17" s="6" t="str">
        <f t="shared" si="0"/>
        <v/>
      </c>
      <c r="H17" s="29">
        <f t="shared" si="4"/>
        <v>0</v>
      </c>
      <c r="I17" s="30" t="s">
        <v>23</v>
      </c>
      <c r="J17" s="30" t="s">
        <v>24</v>
      </c>
      <c r="K17" s="13"/>
      <c r="L17" s="4"/>
      <c r="M17" s="4"/>
      <c r="N17" s="4"/>
      <c r="O17" s="4"/>
    </row>
    <row r="18" spans="1:15" ht="15.6">
      <c r="A18" s="4"/>
      <c r="B18" s="20">
        <f t="shared" si="1"/>
        <v>14</v>
      </c>
      <c r="C18" s="15" t="str">
        <f t="shared" si="2"/>
        <v>I were OK.</v>
      </c>
      <c r="D18" s="17"/>
      <c r="E18" s="15" t="str">
        <f t="shared" si="3"/>
        <v>I was OK.</v>
      </c>
      <c r="F18" s="3"/>
      <c r="G18" s="6" t="str">
        <f>IF(AND($F18="",$D18="x"),"correct","")</f>
        <v/>
      </c>
      <c r="H18" s="29">
        <f t="shared" si="4"/>
        <v>0</v>
      </c>
      <c r="I18" s="30" t="s">
        <v>25</v>
      </c>
      <c r="J18" s="30" t="s">
        <v>26</v>
      </c>
      <c r="K18" s="13"/>
      <c r="L18" s="4"/>
      <c r="M18" s="4"/>
      <c r="N18" s="4"/>
      <c r="O18" s="4"/>
    </row>
    <row r="19" spans="1:15" ht="15.6">
      <c r="A19" s="4"/>
      <c r="B19" s="20">
        <f t="shared" si="1"/>
        <v>15</v>
      </c>
      <c r="C19" s="15" t="str">
        <f t="shared" si="2"/>
        <v>Were I late?</v>
      </c>
      <c r="D19" s="17"/>
      <c r="E19" s="15" t="str">
        <f t="shared" si="3"/>
        <v>Was I late?</v>
      </c>
      <c r="F19" s="3"/>
      <c r="G19" s="6" t="str">
        <f>IF(AND($F19="",$D19="x"),"correct","")</f>
        <v/>
      </c>
      <c r="H19" s="29">
        <f t="shared" si="4"/>
        <v>0</v>
      </c>
      <c r="I19" s="30" t="s">
        <v>27</v>
      </c>
      <c r="J19" s="30" t="s">
        <v>28</v>
      </c>
      <c r="K19" s="13"/>
      <c r="L19" s="4"/>
      <c r="M19" s="4"/>
      <c r="N19" s="4"/>
      <c r="O19" s="4"/>
    </row>
    <row r="20" spans="1:15" ht="15.6">
      <c r="A20" s="4"/>
      <c r="B20" s="20">
        <f t="shared" si="1"/>
        <v>16</v>
      </c>
      <c r="C20" s="18" t="str">
        <f t="shared" si="2"/>
        <v>We were not hot.</v>
      </c>
      <c r="D20" s="17"/>
      <c r="E20" s="18" t="str">
        <f t="shared" si="3"/>
        <v>We was not hot.</v>
      </c>
      <c r="F20" s="3"/>
      <c r="G20" s="6" t="str">
        <f t="shared" si="0"/>
        <v/>
      </c>
      <c r="H20" s="29">
        <f t="shared" si="4"/>
        <v>0</v>
      </c>
      <c r="I20" s="30" t="s">
        <v>8</v>
      </c>
      <c r="J20" s="30" t="s">
        <v>29</v>
      </c>
      <c r="K20" s="13"/>
      <c r="L20" s="4"/>
      <c r="M20" s="4"/>
      <c r="N20" s="4"/>
      <c r="O20" s="4"/>
    </row>
    <row r="21" spans="1:15" ht="15.6">
      <c r="A21" s="4"/>
      <c r="B21" s="20">
        <f t="shared" si="1"/>
        <v>17</v>
      </c>
      <c r="C21" s="18" t="str">
        <f t="shared" si="2"/>
        <v>Be it cold?</v>
      </c>
      <c r="D21" s="17"/>
      <c r="E21" s="18" t="str">
        <f t="shared" si="3"/>
        <v>Was it cold?</v>
      </c>
      <c r="F21" s="3"/>
      <c r="G21" s="6" t="str">
        <f t="shared" ref="G21:G26" si="5">IF(AND($F21="",$D21="x"),"correct","")</f>
        <v/>
      </c>
      <c r="H21" s="29">
        <f t="shared" si="4"/>
        <v>0</v>
      </c>
      <c r="I21" s="30" t="s">
        <v>30</v>
      </c>
      <c r="J21" s="30" t="s">
        <v>31</v>
      </c>
      <c r="K21" s="26"/>
      <c r="L21" s="4"/>
      <c r="M21" s="4"/>
      <c r="N21" s="4"/>
      <c r="O21" s="4"/>
    </row>
    <row r="22" spans="1:15" ht="15.6">
      <c r="A22" s="4"/>
      <c r="B22" s="20">
        <f t="shared" si="1"/>
        <v>18</v>
      </c>
      <c r="C22" s="18" t="str">
        <f t="shared" si="2"/>
        <v>Was we late?</v>
      </c>
      <c r="D22" s="17"/>
      <c r="E22" s="18" t="str">
        <f t="shared" si="3"/>
        <v>Were we late?</v>
      </c>
      <c r="F22" s="3"/>
      <c r="G22" s="6" t="str">
        <f t="shared" si="5"/>
        <v/>
      </c>
      <c r="H22" s="29">
        <f t="shared" si="4"/>
        <v>0</v>
      </c>
      <c r="I22" s="30" t="s">
        <v>32</v>
      </c>
      <c r="J22" s="30" t="s">
        <v>33</v>
      </c>
      <c r="K22" s="26"/>
      <c r="L22" s="4"/>
      <c r="M22" s="4"/>
      <c r="N22" s="4"/>
      <c r="O22" s="4"/>
    </row>
    <row r="23" spans="1:15" ht="15.6">
      <c r="A23" s="4"/>
      <c r="B23" s="20">
        <f t="shared" si="1"/>
        <v>19</v>
      </c>
      <c r="C23" s="18" t="str">
        <f t="shared" si="2"/>
        <v>Were it cold?</v>
      </c>
      <c r="D23" s="17"/>
      <c r="E23" s="18" t="str">
        <f t="shared" si="3"/>
        <v>Was it cold?</v>
      </c>
      <c r="F23" s="3"/>
      <c r="G23" s="6" t="str">
        <f t="shared" si="5"/>
        <v/>
      </c>
      <c r="H23" s="29">
        <f t="shared" si="4"/>
        <v>0</v>
      </c>
      <c r="I23" s="30" t="s">
        <v>34</v>
      </c>
      <c r="J23" s="30" t="s">
        <v>31</v>
      </c>
      <c r="K23" s="26"/>
      <c r="L23" s="4"/>
      <c r="M23" s="4"/>
      <c r="N23" s="4"/>
      <c r="O23" s="4"/>
    </row>
    <row r="24" spans="1:15" ht="15.6">
      <c r="A24" s="4"/>
      <c r="B24" s="20">
        <f t="shared" si="1"/>
        <v>20</v>
      </c>
      <c r="C24" s="18" t="str">
        <f t="shared" si="2"/>
        <v>He were not ready.</v>
      </c>
      <c r="D24" s="17"/>
      <c r="E24" s="18" t="str">
        <f t="shared" si="3"/>
        <v>He was not ready.</v>
      </c>
      <c r="F24" s="3"/>
      <c r="G24" s="6" t="str">
        <f t="shared" si="5"/>
        <v/>
      </c>
      <c r="H24" s="29">
        <f t="shared" si="4"/>
        <v>0</v>
      </c>
      <c r="I24" s="30" t="s">
        <v>18</v>
      </c>
      <c r="J24" s="30" t="s">
        <v>17</v>
      </c>
      <c r="K24" s="26"/>
      <c r="L24" s="4"/>
      <c r="M24" s="4"/>
      <c r="N24" s="4"/>
      <c r="O24" s="4"/>
    </row>
    <row r="25" spans="1:15" ht="15.6">
      <c r="A25" s="4"/>
      <c r="B25" s="20">
        <f t="shared" si="1"/>
        <v>21</v>
      </c>
      <c r="C25" s="18" t="str">
        <f t="shared" si="2"/>
        <v>She was funny.</v>
      </c>
      <c r="D25" s="17"/>
      <c r="E25" s="18" t="str">
        <f t="shared" si="3"/>
        <v>She were funny.</v>
      </c>
      <c r="F25" s="3"/>
      <c r="G25" s="6" t="str">
        <f t="shared" si="0"/>
        <v/>
      </c>
      <c r="H25" s="29">
        <f t="shared" si="4"/>
        <v>0</v>
      </c>
      <c r="I25" s="30" t="s">
        <v>35</v>
      </c>
      <c r="J25" s="30" t="s">
        <v>36</v>
      </c>
      <c r="K25" s="26"/>
      <c r="L25" s="4"/>
      <c r="M25" s="4"/>
      <c r="N25" s="4"/>
      <c r="O25" s="4"/>
    </row>
    <row r="26" spans="1:15" ht="15.6">
      <c r="A26" s="4"/>
      <c r="B26" s="20">
        <f t="shared" si="1"/>
        <v>22</v>
      </c>
      <c r="C26" s="18" t="str">
        <f t="shared" si="2"/>
        <v>I be not tired.</v>
      </c>
      <c r="D26" s="17"/>
      <c r="E26" s="18" t="str">
        <f t="shared" si="3"/>
        <v>I was not tired.</v>
      </c>
      <c r="F26" s="3"/>
      <c r="G26" s="6" t="str">
        <f t="shared" si="5"/>
        <v/>
      </c>
      <c r="H26" s="29">
        <f t="shared" si="4"/>
        <v>0</v>
      </c>
      <c r="I26" s="30" t="s">
        <v>37</v>
      </c>
      <c r="J26" s="30" t="s">
        <v>38</v>
      </c>
      <c r="K26" s="26"/>
      <c r="L26" s="4"/>
      <c r="M26" s="4"/>
      <c r="N26" s="4"/>
      <c r="O26" s="4"/>
    </row>
    <row r="27" spans="1:15" ht="15.6">
      <c r="A27" s="4"/>
      <c r="B27" s="20">
        <f t="shared" si="1"/>
        <v>23</v>
      </c>
      <c r="C27" s="18" t="str">
        <f t="shared" si="2"/>
        <v>You were happy.</v>
      </c>
      <c r="D27" s="17"/>
      <c r="E27" s="18" t="str">
        <f t="shared" si="3"/>
        <v>You was happy.</v>
      </c>
      <c r="F27" s="3"/>
      <c r="G27" s="6" t="str">
        <f t="shared" si="0"/>
        <v/>
      </c>
      <c r="H27" s="29">
        <f t="shared" si="4"/>
        <v>0</v>
      </c>
      <c r="I27" s="30" t="s">
        <v>39</v>
      </c>
      <c r="J27" s="30" t="s">
        <v>40</v>
      </c>
      <c r="K27" s="26"/>
      <c r="L27" s="4"/>
      <c r="M27" s="4"/>
      <c r="N27" s="4"/>
      <c r="O27" s="4"/>
    </row>
    <row r="28" spans="1:15">
      <c r="A28" s="4"/>
      <c r="B28" s="4"/>
      <c r="C28" s="4"/>
      <c r="D28" s="4"/>
      <c r="E28" s="4"/>
      <c r="F28" s="4"/>
      <c r="G28" s="21"/>
      <c r="H28" s="26"/>
      <c r="I28" s="26"/>
      <c r="J28" s="26"/>
      <c r="K28" s="13"/>
      <c r="L28" s="4"/>
      <c r="M28" s="4"/>
      <c r="N28" s="4"/>
      <c r="O28" s="4"/>
    </row>
    <row r="29" spans="1:15">
      <c r="A29" s="4"/>
      <c r="B29" s="4"/>
      <c r="C29" s="4"/>
      <c r="D29" s="4"/>
      <c r="E29" s="4"/>
      <c r="F29" s="4"/>
      <c r="G29" s="4"/>
      <c r="H29" s="28"/>
      <c r="I29" s="28"/>
      <c r="J29" s="28"/>
      <c r="K29" s="13"/>
      <c r="L29" s="4"/>
      <c r="M29" s="4"/>
      <c r="N29" s="4"/>
      <c r="O29" s="4"/>
    </row>
    <row r="30" spans="1:15">
      <c r="A30" s="4"/>
      <c r="B30" s="4"/>
      <c r="C30" s="4"/>
      <c r="D30" s="4"/>
      <c r="E30" s="4"/>
      <c r="F30" s="4"/>
      <c r="G30" s="4"/>
      <c r="H30" s="28"/>
      <c r="I30" s="28"/>
      <c r="J30" s="28"/>
      <c r="K30" s="13"/>
      <c r="L30" s="4"/>
      <c r="M30" s="4"/>
      <c r="N30" s="4"/>
      <c r="O30" s="4"/>
    </row>
    <row r="31" spans="1:15">
      <c r="A31" s="4"/>
      <c r="B31" s="4"/>
      <c r="C31" s="4"/>
      <c r="D31" s="4"/>
      <c r="E31" s="4"/>
      <c r="F31" s="4"/>
      <c r="G31" s="4"/>
      <c r="H31" s="28"/>
      <c r="I31" s="28"/>
      <c r="J31" s="28"/>
      <c r="K31" s="13"/>
      <c r="L31" s="4"/>
      <c r="M31" s="4"/>
      <c r="N31" s="4"/>
      <c r="O31" s="4"/>
    </row>
    <row r="32" spans="1:15">
      <c r="A32" s="4"/>
      <c r="B32" s="4"/>
      <c r="C32" s="4"/>
      <c r="D32" s="4"/>
      <c r="E32" s="4"/>
      <c r="F32" s="4"/>
      <c r="G32" s="4"/>
      <c r="H32" s="28"/>
      <c r="I32" s="28"/>
      <c r="J32" s="28"/>
      <c r="K32" s="13"/>
      <c r="L32" s="4"/>
      <c r="M32" s="4"/>
      <c r="N32" s="4"/>
      <c r="O32" s="4"/>
    </row>
    <row r="33" spans="1:15">
      <c r="A33" s="4"/>
      <c r="B33" s="4"/>
      <c r="C33" s="4"/>
      <c r="D33" s="4"/>
      <c r="E33" s="4"/>
      <c r="F33" s="4"/>
      <c r="G33" s="4"/>
      <c r="H33" s="28"/>
      <c r="I33" s="28"/>
      <c r="J33" s="28"/>
      <c r="K33" s="13"/>
      <c r="L33" s="4"/>
      <c r="M33" s="4"/>
      <c r="N33" s="4"/>
      <c r="O33" s="4"/>
    </row>
    <row r="34" spans="1:15">
      <c r="A34" s="4"/>
      <c r="B34" s="4"/>
      <c r="C34" s="4"/>
      <c r="D34" s="4"/>
      <c r="E34" s="4"/>
      <c r="F34" s="4"/>
      <c r="G34" s="4"/>
      <c r="H34" s="28"/>
      <c r="I34" s="28"/>
      <c r="J34" s="28"/>
      <c r="K34" s="13"/>
      <c r="L34" s="4"/>
      <c r="M34" s="4"/>
      <c r="N34" s="4"/>
      <c r="O34" s="4"/>
    </row>
    <row r="35" spans="1:15">
      <c r="A35" s="4"/>
      <c r="B35" s="4"/>
      <c r="C35" s="4"/>
      <c r="D35" s="4"/>
      <c r="E35" s="4"/>
      <c r="F35" s="4"/>
      <c r="G35" s="4"/>
      <c r="H35" s="28"/>
      <c r="I35" s="28"/>
      <c r="J35" s="28"/>
      <c r="K35" s="13"/>
      <c r="L35" s="4"/>
      <c r="M35" s="4"/>
      <c r="N35" s="4"/>
      <c r="O35" s="4"/>
    </row>
    <row r="36" spans="1:15">
      <c r="A36" s="4"/>
      <c r="B36" s="4"/>
      <c r="C36" s="4"/>
      <c r="D36" s="4"/>
      <c r="E36" s="4"/>
      <c r="F36" s="4"/>
      <c r="G36" s="4"/>
      <c r="H36" s="28"/>
      <c r="I36" s="28"/>
      <c r="J36" s="28"/>
      <c r="K36" s="13"/>
      <c r="L36" s="4"/>
      <c r="M36" s="4"/>
      <c r="N36" s="4"/>
      <c r="O36" s="4"/>
    </row>
    <row r="37" spans="1:15">
      <c r="A37" s="4"/>
      <c r="B37" s="4"/>
      <c r="C37" s="4"/>
      <c r="D37" s="4"/>
      <c r="E37" s="4"/>
      <c r="F37" s="4"/>
      <c r="G37" s="4"/>
      <c r="H37" s="28"/>
      <c r="I37" s="28"/>
      <c r="J37" s="28"/>
      <c r="K37" s="13"/>
      <c r="L37" s="4"/>
      <c r="M37" s="4"/>
      <c r="N37" s="4"/>
      <c r="O37" s="4"/>
    </row>
    <row r="38" spans="1:15">
      <c r="A38" s="4"/>
      <c r="B38" s="4"/>
      <c r="C38" s="4"/>
      <c r="D38" s="4"/>
      <c r="E38" s="4"/>
      <c r="F38" s="4"/>
      <c r="G38" s="4"/>
      <c r="H38" s="28"/>
      <c r="I38" s="28"/>
      <c r="J38" s="28"/>
      <c r="K38" s="13"/>
      <c r="L38" s="4"/>
      <c r="M38" s="4"/>
      <c r="N38" s="4"/>
      <c r="O38" s="4"/>
    </row>
    <row r="39" spans="1:15">
      <c r="A39" s="4"/>
      <c r="B39" s="4"/>
      <c r="C39" s="4"/>
      <c r="D39" s="4"/>
      <c r="E39" s="4"/>
      <c r="F39" s="4"/>
      <c r="G39" s="4"/>
      <c r="H39" s="28"/>
      <c r="I39" s="28"/>
      <c r="J39" s="28"/>
      <c r="K39" s="13"/>
      <c r="L39" s="4"/>
      <c r="M39" s="4"/>
      <c r="N39" s="4"/>
      <c r="O39" s="4"/>
    </row>
    <row r="40" spans="1:15">
      <c r="A40" s="4"/>
      <c r="B40" s="4"/>
      <c r="C40" s="4"/>
      <c r="D40" s="4"/>
      <c r="E40" s="4"/>
      <c r="F40" s="4"/>
      <c r="G40" s="4"/>
      <c r="H40" s="28"/>
      <c r="I40" s="28"/>
      <c r="J40" s="28"/>
      <c r="K40" s="13"/>
      <c r="L40" s="4"/>
      <c r="M40" s="4"/>
      <c r="N40" s="4"/>
      <c r="O40" s="4"/>
    </row>
    <row r="41" spans="1:15">
      <c r="A41" s="4"/>
      <c r="B41" s="4"/>
      <c r="C41" s="4"/>
      <c r="D41" s="4"/>
      <c r="E41" s="4"/>
      <c r="F41" s="4"/>
      <c r="G41" s="4"/>
      <c r="H41" s="28"/>
      <c r="I41" s="28"/>
      <c r="J41" s="28"/>
      <c r="K41" s="13"/>
      <c r="L41" s="4"/>
      <c r="M41" s="4"/>
      <c r="N41" s="4"/>
      <c r="O41" s="4"/>
    </row>
    <row r="42" spans="1:15">
      <c r="A42" s="4"/>
      <c r="B42" s="4"/>
      <c r="C42" s="4"/>
      <c r="D42" s="4"/>
      <c r="E42" s="4"/>
      <c r="F42" s="4"/>
      <c r="G42" s="4"/>
      <c r="H42" s="28"/>
      <c r="I42" s="28"/>
      <c r="J42" s="28"/>
      <c r="K42" s="13"/>
      <c r="L42" s="4"/>
      <c r="M42" s="4"/>
      <c r="N42" s="4"/>
      <c r="O42" s="4"/>
    </row>
    <row r="43" spans="1:15">
      <c r="A43" s="4"/>
      <c r="B43" s="4"/>
      <c r="C43" s="4"/>
      <c r="D43" s="4"/>
      <c r="E43" s="4"/>
      <c r="F43" s="4"/>
      <c r="G43" s="4"/>
      <c r="H43" s="28"/>
      <c r="I43" s="28"/>
      <c r="J43" s="28"/>
      <c r="K43" s="13"/>
      <c r="L43" s="4"/>
      <c r="M43" s="4"/>
      <c r="N43" s="4"/>
      <c r="O43" s="4"/>
    </row>
    <row r="44" spans="1:15">
      <c r="A44" s="4"/>
      <c r="B44" s="4"/>
      <c r="C44" s="4"/>
      <c r="D44" s="4"/>
      <c r="E44" s="4"/>
      <c r="F44" s="4"/>
      <c r="G44" s="4"/>
      <c r="H44" s="28"/>
      <c r="I44" s="28"/>
      <c r="J44" s="28"/>
      <c r="K44" s="13"/>
      <c r="L44" s="4"/>
      <c r="M44" s="4"/>
      <c r="N44" s="4"/>
      <c r="O44" s="4"/>
    </row>
    <row r="45" spans="1:15">
      <c r="A45" s="4"/>
      <c r="B45" s="4"/>
      <c r="C45" s="4"/>
      <c r="D45" s="4"/>
      <c r="E45" s="4"/>
      <c r="F45" s="4"/>
      <c r="G45" s="4"/>
      <c r="H45" s="28"/>
      <c r="I45" s="28"/>
      <c r="J45" s="28"/>
      <c r="K45" s="13"/>
      <c r="L45" s="4"/>
      <c r="M45" s="4"/>
      <c r="N45" s="4"/>
      <c r="O45" s="4"/>
    </row>
    <row r="46" spans="1:15">
      <c r="A46" s="4"/>
      <c r="B46" s="4"/>
      <c r="C46" s="4"/>
      <c r="D46" s="4"/>
      <c r="E46" s="4"/>
      <c r="F46" s="4"/>
      <c r="G46" s="4"/>
      <c r="H46" s="28"/>
      <c r="I46" s="28"/>
      <c r="J46" s="28"/>
      <c r="K46" s="13"/>
      <c r="L46" s="4"/>
      <c r="M46" s="4"/>
      <c r="N46" s="4"/>
      <c r="O46" s="4"/>
    </row>
    <row r="47" spans="1:15">
      <c r="A47" s="4"/>
      <c r="B47" s="4"/>
      <c r="C47" s="4"/>
      <c r="D47" s="4"/>
      <c r="E47" s="4"/>
      <c r="F47" s="4"/>
      <c r="G47" s="4"/>
      <c r="H47" s="28"/>
      <c r="I47" s="28"/>
      <c r="J47" s="28"/>
      <c r="K47" s="13"/>
      <c r="L47" s="4"/>
      <c r="M47" s="4"/>
      <c r="N47" s="4"/>
      <c r="O47" s="4"/>
    </row>
    <row r="48" spans="1:15">
      <c r="A48" s="4"/>
      <c r="B48" s="4"/>
      <c r="C48" s="4"/>
      <c r="D48" s="4"/>
      <c r="E48" s="4"/>
      <c r="F48" s="4"/>
      <c r="G48" s="4"/>
      <c r="H48" s="28"/>
      <c r="I48" s="28"/>
      <c r="J48" s="28"/>
      <c r="K48" s="13"/>
      <c r="L48" s="4"/>
      <c r="M48" s="4"/>
      <c r="N48" s="4"/>
      <c r="O48" s="4"/>
    </row>
    <row r="49" spans="1:15">
      <c r="A49" s="4"/>
      <c r="B49" s="4"/>
      <c r="C49" s="4"/>
      <c r="D49" s="4"/>
      <c r="E49" s="4"/>
      <c r="F49" s="4"/>
      <c r="G49" s="4"/>
      <c r="H49" s="28"/>
      <c r="I49" s="28"/>
      <c r="J49" s="28"/>
      <c r="K49" s="13"/>
      <c r="L49" s="4"/>
      <c r="M49" s="4"/>
      <c r="N49" s="4"/>
      <c r="O49" s="4"/>
    </row>
    <row r="50" spans="1:15">
      <c r="A50" s="4"/>
      <c r="B50" s="4"/>
      <c r="C50" s="4"/>
      <c r="D50" s="4"/>
      <c r="E50" s="4"/>
      <c r="F50" s="4"/>
      <c r="G50" s="4"/>
      <c r="H50" s="28"/>
      <c r="I50" s="28"/>
      <c r="J50" s="28"/>
      <c r="K50" s="13"/>
      <c r="L50" s="4"/>
      <c r="M50" s="4"/>
      <c r="N50" s="4"/>
      <c r="O50" s="4"/>
    </row>
    <row r="51" spans="1:15">
      <c r="A51" s="4"/>
      <c r="B51" s="4"/>
      <c r="C51" s="4"/>
      <c r="D51" s="4"/>
      <c r="E51" s="4"/>
      <c r="F51" s="4"/>
      <c r="G51" s="4"/>
      <c r="H51" s="28"/>
      <c r="I51" s="28"/>
      <c r="J51" s="28"/>
      <c r="K51" s="13"/>
      <c r="L51" s="4"/>
      <c r="M51" s="4"/>
      <c r="N51" s="4"/>
      <c r="O51" s="4"/>
    </row>
    <row r="52" spans="1:15">
      <c r="A52" s="4"/>
      <c r="B52" s="4"/>
      <c r="C52" s="4"/>
      <c r="D52" s="4"/>
      <c r="E52" s="4"/>
      <c r="F52" s="4"/>
      <c r="G52" s="4"/>
      <c r="H52" s="28"/>
      <c r="I52" s="28"/>
      <c r="J52" s="28"/>
      <c r="K52" s="13"/>
      <c r="L52" s="4"/>
      <c r="M52" s="4"/>
      <c r="N52" s="4"/>
      <c r="O52" s="4"/>
    </row>
    <row r="53" spans="1:15">
      <c r="A53" s="4"/>
      <c r="B53" s="4"/>
      <c r="C53" s="4"/>
      <c r="D53" s="4"/>
      <c r="E53" s="4"/>
      <c r="F53" s="4"/>
      <c r="G53" s="4"/>
      <c r="H53" s="28"/>
      <c r="I53" s="28"/>
      <c r="J53" s="28"/>
      <c r="K53" s="13"/>
      <c r="L53" s="4"/>
      <c r="M53" s="4"/>
      <c r="N53" s="4"/>
      <c r="O53" s="4"/>
    </row>
    <row r="54" spans="1:15">
      <c r="A54" s="4"/>
      <c r="B54" s="4"/>
      <c r="C54" s="4"/>
      <c r="D54" s="4"/>
      <c r="E54" s="4"/>
      <c r="F54" s="4"/>
      <c r="G54" s="4"/>
      <c r="H54" s="28"/>
      <c r="I54" s="28"/>
      <c r="J54" s="28"/>
      <c r="K54" s="13"/>
      <c r="L54" s="4"/>
      <c r="M54" s="4"/>
      <c r="N54" s="4"/>
      <c r="O54" s="4"/>
    </row>
    <row r="55" spans="1:15">
      <c r="A55" s="4"/>
      <c r="B55" s="4"/>
      <c r="C55" s="4"/>
      <c r="D55" s="4"/>
      <c r="E55" s="4"/>
      <c r="F55" s="4"/>
      <c r="G55" s="4"/>
      <c r="H55" s="28"/>
      <c r="I55" s="28"/>
      <c r="J55" s="28"/>
      <c r="K55" s="13"/>
      <c r="L55" s="4"/>
      <c r="M55" s="4"/>
      <c r="N55" s="4"/>
      <c r="O55" s="4"/>
    </row>
    <row r="56" spans="1:15">
      <c r="A56" s="4"/>
      <c r="B56" s="4"/>
      <c r="C56" s="4"/>
      <c r="D56" s="4"/>
      <c r="E56" s="4"/>
      <c r="F56" s="4"/>
      <c r="G56" s="4"/>
      <c r="H56" s="28"/>
      <c r="I56" s="28"/>
      <c r="J56" s="28"/>
      <c r="K56" s="13"/>
      <c r="L56" s="4"/>
      <c r="M56" s="4"/>
      <c r="N56" s="4"/>
      <c r="O56" s="4"/>
    </row>
    <row r="57" spans="1:15">
      <c r="A57" s="4"/>
      <c r="B57" s="4"/>
      <c r="C57" s="4"/>
      <c r="D57" s="4"/>
      <c r="E57" s="4"/>
      <c r="F57" s="4"/>
      <c r="G57" s="4"/>
      <c r="H57" s="28"/>
      <c r="I57" s="28"/>
      <c r="J57" s="28"/>
      <c r="K57" s="13"/>
      <c r="L57" s="4"/>
      <c r="M57" s="4"/>
      <c r="N57" s="4"/>
      <c r="O57" s="4"/>
    </row>
    <row r="58" spans="1:15">
      <c r="A58" s="4"/>
      <c r="B58" s="4"/>
      <c r="C58" s="4"/>
      <c r="D58" s="4"/>
      <c r="E58" s="4"/>
      <c r="F58" s="4"/>
      <c r="G58" s="4"/>
      <c r="H58" s="28"/>
      <c r="I58" s="28"/>
      <c r="J58" s="28"/>
      <c r="K58" s="13"/>
      <c r="L58" s="4"/>
      <c r="M58" s="4"/>
      <c r="N58" s="4"/>
      <c r="O58" s="4"/>
    </row>
    <row r="59" spans="1:15">
      <c r="A59" s="4"/>
      <c r="B59" s="4"/>
      <c r="C59" s="4"/>
      <c r="D59" s="4"/>
      <c r="E59" s="4"/>
      <c r="F59" s="4"/>
      <c r="G59" s="4"/>
      <c r="H59" s="28"/>
      <c r="I59" s="28"/>
      <c r="J59" s="28"/>
      <c r="K59" s="13"/>
      <c r="L59" s="4"/>
      <c r="M59" s="4"/>
      <c r="N59" s="4"/>
      <c r="O59" s="4"/>
    </row>
  </sheetData>
  <sheetProtection sheet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45"/>
  <sheetViews>
    <sheetView showGridLines="0" zoomScale="150" zoomScaleNormal="150" workbookViewId="0" xr3:uid="{958C4451-9541-5A59-BF78-D2F731DF1C81}">
      <selection activeCell="B1" sqref="B1"/>
    </sheetView>
  </sheetViews>
  <sheetFormatPr defaultRowHeight="14.45"/>
  <cols>
    <col min="1" max="1" width="10.42578125" customWidth="1"/>
    <col min="3" max="3" width="23.7109375" customWidth="1"/>
    <col min="4" max="4" width="2.7109375" customWidth="1"/>
    <col min="5" max="5" width="22.7109375" customWidth="1"/>
    <col min="6" max="6" width="3.5703125" customWidth="1"/>
    <col min="9" max="9" width="11.140625" style="35" customWidth="1"/>
    <col min="10" max="10" width="8.85546875" style="35"/>
  </cols>
  <sheetData>
    <row r="1" spans="1:12">
      <c r="A1" s="5" t="s">
        <v>0</v>
      </c>
      <c r="B1" s="23"/>
      <c r="C1" s="1"/>
    </row>
    <row r="2" spans="1:12">
      <c r="A2" s="19">
        <f ca="1">TODAY()</f>
        <v>43582</v>
      </c>
      <c r="B2" s="10">
        <f>SUM(H5:H27)/16</f>
        <v>0</v>
      </c>
      <c r="C2" s="5" t="s">
        <v>41</v>
      </c>
      <c r="D2" s="4"/>
      <c r="E2" s="4"/>
      <c r="F2" s="4"/>
      <c r="G2" s="4"/>
      <c r="H2" s="4"/>
      <c r="I2" s="36"/>
      <c r="J2" s="36"/>
      <c r="K2" s="4"/>
    </row>
    <row r="3" spans="1:12">
      <c r="A3" s="4"/>
      <c r="B3" s="4"/>
      <c r="C3" s="4"/>
      <c r="D3" s="4"/>
      <c r="E3" s="4"/>
      <c r="F3" s="4"/>
      <c r="G3" s="4"/>
      <c r="H3" s="4"/>
      <c r="I3" s="36"/>
      <c r="J3" s="36"/>
      <c r="K3" s="4"/>
    </row>
    <row r="4" spans="1:12" ht="15.6">
      <c r="A4" s="4"/>
      <c r="B4" s="4"/>
      <c r="C4" s="5"/>
      <c r="D4" s="24" t="s">
        <v>2</v>
      </c>
      <c r="E4" s="5"/>
      <c r="F4" s="5"/>
      <c r="G4" s="4"/>
      <c r="H4" s="13"/>
      <c r="I4" s="37"/>
      <c r="J4" s="37"/>
      <c r="K4" s="13"/>
      <c r="L4" s="12"/>
    </row>
    <row r="5" spans="1:12" ht="15.6">
      <c r="A5" s="4"/>
      <c r="B5" s="20" t="s">
        <v>42</v>
      </c>
      <c r="C5" s="18" t="str">
        <f>IF(AND($D5="x",$G5="correct")," ",$I5)</f>
        <v>It was nice.</v>
      </c>
      <c r="D5" s="17"/>
      <c r="E5" s="18" t="str">
        <f>IF(AND($F5="x",$G5="correct")," ",$J5)</f>
        <v>It were nice.</v>
      </c>
      <c r="F5" s="3"/>
      <c r="G5" s="6" t="str">
        <f>IF(AND($D5="",$F5="x"),"correct","")</f>
        <v/>
      </c>
      <c r="H5" s="29">
        <f>IF(G5="correct",1,0)</f>
        <v>0</v>
      </c>
      <c r="I5" s="30" t="s">
        <v>43</v>
      </c>
      <c r="J5" s="30" t="s">
        <v>44</v>
      </c>
      <c r="K5" s="28"/>
      <c r="L5" s="31"/>
    </row>
    <row r="6" spans="1:12" ht="15.6">
      <c r="A6" s="4"/>
      <c r="B6" s="20" t="s">
        <v>45</v>
      </c>
      <c r="C6" s="15" t="str">
        <f>IF(AND($D6="x",$G6="correct")," ",$I6)</f>
        <v>Was I next?</v>
      </c>
      <c r="D6" s="16"/>
      <c r="E6" s="15" t="str">
        <f>IF(AND($F6="x",$G6="correct")," ",$J6)</f>
        <v>I was next?</v>
      </c>
      <c r="F6" s="2"/>
      <c r="G6" s="6" t="str">
        <f>IF(AND($D6="",$F6="x"),"correct","")</f>
        <v/>
      </c>
      <c r="H6" s="29">
        <f>IF(G6="correct",1,0)</f>
        <v>0</v>
      </c>
      <c r="I6" s="30" t="s">
        <v>3</v>
      </c>
      <c r="J6" s="30" t="s">
        <v>46</v>
      </c>
      <c r="K6" s="28"/>
      <c r="L6" s="31"/>
    </row>
    <row r="7" spans="1:12" ht="15.6">
      <c r="A7" s="4"/>
      <c r="B7" s="20" t="s">
        <v>47</v>
      </c>
      <c r="C7" s="15" t="str">
        <f t="shared" ref="C7:C20" si="0">IF(AND($D7="x",$G7="correct")," ",$I7)</f>
        <v>Was she in the hospital?</v>
      </c>
      <c r="D7" s="17"/>
      <c r="E7" s="15" t="str">
        <f t="shared" ref="E7:E20" si="1">IF(AND($F7="x",$G7="correct")," ",$J7)</f>
        <v>Was in the hospital she?</v>
      </c>
      <c r="F7" s="3"/>
      <c r="G7" s="6" t="str">
        <f>IF(AND($D7="",$F7="x"),"correct","")</f>
        <v/>
      </c>
      <c r="H7" s="29">
        <f t="shared" ref="H7:H20" si="2">IF(G7="correct",1,0)</f>
        <v>0</v>
      </c>
      <c r="I7" s="30" t="s">
        <v>48</v>
      </c>
      <c r="J7" s="30" t="s">
        <v>49</v>
      </c>
      <c r="K7" s="28"/>
      <c r="L7" s="31"/>
    </row>
    <row r="8" spans="1:12" ht="15.6">
      <c r="A8" s="4"/>
      <c r="B8" s="20" t="s">
        <v>50</v>
      </c>
      <c r="C8" s="15" t="str">
        <f t="shared" si="0"/>
        <v>They were pencils?</v>
      </c>
      <c r="D8" s="17"/>
      <c r="E8" s="15" t="str">
        <f t="shared" si="1"/>
        <v>Were they pencils?</v>
      </c>
      <c r="F8" s="3"/>
      <c r="G8" s="6" t="str">
        <f>IF(AND($F8="",$D8="x"),"correct","")</f>
        <v/>
      </c>
      <c r="H8" s="29">
        <f t="shared" si="2"/>
        <v>0</v>
      </c>
      <c r="I8" s="30" t="s">
        <v>51</v>
      </c>
      <c r="J8" s="30" t="s">
        <v>52</v>
      </c>
      <c r="K8" s="28"/>
      <c r="L8" s="31"/>
    </row>
    <row r="9" spans="1:12" ht="15.6">
      <c r="A9" s="4"/>
      <c r="B9" s="20" t="s">
        <v>53</v>
      </c>
      <c r="C9" s="15" t="str">
        <f t="shared" si="0"/>
        <v>They tired.</v>
      </c>
      <c r="D9" s="17"/>
      <c r="E9" s="15" t="str">
        <f t="shared" si="1"/>
        <v>They were tired.</v>
      </c>
      <c r="F9" s="3"/>
      <c r="G9" s="6" t="str">
        <f>IF(AND($F9="",$D9="x"),"correct","")</f>
        <v/>
      </c>
      <c r="H9" s="29">
        <f t="shared" si="2"/>
        <v>0</v>
      </c>
      <c r="I9" s="30" t="s">
        <v>54</v>
      </c>
      <c r="J9" s="30" t="s">
        <v>55</v>
      </c>
      <c r="K9" s="28"/>
      <c r="L9" s="31"/>
    </row>
    <row r="10" spans="1:12" ht="15.6">
      <c r="A10" s="4"/>
      <c r="B10" s="20" t="s">
        <v>56</v>
      </c>
      <c r="C10" s="15" t="str">
        <f t="shared" si="0"/>
        <v>Was late?</v>
      </c>
      <c r="D10" s="17"/>
      <c r="E10" s="15" t="str">
        <f t="shared" si="1"/>
        <v>Was it late?</v>
      </c>
      <c r="F10" s="3"/>
      <c r="G10" s="6" t="str">
        <f>IF(AND($F10="",$D10="x"),"correct","")</f>
        <v/>
      </c>
      <c r="H10" s="29">
        <f t="shared" si="2"/>
        <v>0</v>
      </c>
      <c r="I10" s="30" t="s">
        <v>57</v>
      </c>
      <c r="J10" s="30" t="s">
        <v>58</v>
      </c>
      <c r="K10" s="28"/>
      <c r="L10" s="31"/>
    </row>
    <row r="11" spans="1:12" ht="15.6">
      <c r="A11" s="4"/>
      <c r="B11" s="20" t="s">
        <v>59</v>
      </c>
      <c r="C11" s="15" t="str">
        <f t="shared" si="0"/>
        <v>You were a good person.</v>
      </c>
      <c r="D11" s="17"/>
      <c r="E11" s="15" t="str">
        <f t="shared" si="1"/>
        <v>You was a good person.</v>
      </c>
      <c r="F11" s="3"/>
      <c r="G11" s="6" t="str">
        <f t="shared" ref="G11:G20" si="3">IF(AND($D11="",$F11="x"),"correct","")</f>
        <v/>
      </c>
      <c r="H11" s="29">
        <f t="shared" si="2"/>
        <v>0</v>
      </c>
      <c r="I11" s="30" t="s">
        <v>60</v>
      </c>
      <c r="J11" s="30" t="s">
        <v>61</v>
      </c>
      <c r="K11" s="28"/>
      <c r="L11" s="31"/>
    </row>
    <row r="12" spans="1:12" ht="15.6">
      <c r="A12" s="4"/>
      <c r="B12" s="20" t="s">
        <v>62</v>
      </c>
      <c r="C12" s="15" t="str">
        <f t="shared" si="0"/>
        <v>Was it a book.</v>
      </c>
      <c r="D12" s="17"/>
      <c r="E12" s="15" t="str">
        <f t="shared" si="1"/>
        <v>It was a book.</v>
      </c>
      <c r="F12" s="3"/>
      <c r="G12" s="6" t="str">
        <f>IF(AND($F12="",$D12="x"),"correct","")</f>
        <v/>
      </c>
      <c r="H12" s="29">
        <f t="shared" si="2"/>
        <v>0</v>
      </c>
      <c r="I12" s="30" t="s">
        <v>63</v>
      </c>
      <c r="J12" s="30" t="s">
        <v>64</v>
      </c>
      <c r="K12" s="28"/>
      <c r="L12" s="31"/>
    </row>
    <row r="13" spans="1:12" ht="15.6">
      <c r="A13" s="4"/>
      <c r="B13" s="20" t="s">
        <v>65</v>
      </c>
      <c r="C13" s="15" t="str">
        <f t="shared" si="0"/>
        <v>Was cold outside?</v>
      </c>
      <c r="D13" s="17"/>
      <c r="E13" s="15" t="str">
        <f t="shared" si="1"/>
        <v>Was it cold outside?</v>
      </c>
      <c r="F13" s="3"/>
      <c r="G13" s="6" t="str">
        <f>IF(AND($F13="",$D13="x"),"correct","")</f>
        <v/>
      </c>
      <c r="H13" s="29">
        <f t="shared" si="2"/>
        <v>0</v>
      </c>
      <c r="I13" s="30" t="s">
        <v>66</v>
      </c>
      <c r="J13" s="30" t="s">
        <v>67</v>
      </c>
      <c r="K13" s="28"/>
      <c r="L13" s="31"/>
    </row>
    <row r="14" spans="1:12" ht="15.6">
      <c r="A14" s="4"/>
      <c r="B14" s="20" t="s">
        <v>68</v>
      </c>
      <c r="C14" s="15" t="str">
        <f t="shared" si="0"/>
        <v>Was she hungry?</v>
      </c>
      <c r="D14" s="17"/>
      <c r="E14" s="15" t="str">
        <f t="shared" si="1"/>
        <v>She was hungry?</v>
      </c>
      <c r="F14" s="3"/>
      <c r="G14" s="6" t="str">
        <f t="shared" ref="G14:G15" si="4">IF(AND($D14="",$F14="x"),"correct","")</f>
        <v/>
      </c>
      <c r="H14" s="29">
        <f t="shared" si="2"/>
        <v>0</v>
      </c>
      <c r="I14" s="30" t="s">
        <v>69</v>
      </c>
      <c r="J14" s="30" t="s">
        <v>70</v>
      </c>
      <c r="K14" s="28"/>
      <c r="L14" s="31"/>
    </row>
    <row r="15" spans="1:12" ht="15.6">
      <c r="A15" s="4"/>
      <c r="B15" s="20" t="s">
        <v>71</v>
      </c>
      <c r="C15" s="15" t="str">
        <f t="shared" si="0"/>
        <v>They were here.</v>
      </c>
      <c r="D15" s="17"/>
      <c r="E15" s="15" t="str">
        <f t="shared" si="1"/>
        <v>Were they here.</v>
      </c>
      <c r="F15" s="3"/>
      <c r="G15" s="6" t="str">
        <f t="shared" si="4"/>
        <v/>
      </c>
      <c r="H15" s="29">
        <f t="shared" si="2"/>
        <v>0</v>
      </c>
      <c r="I15" s="30" t="s">
        <v>72</v>
      </c>
      <c r="J15" s="30" t="s">
        <v>73</v>
      </c>
      <c r="K15" s="28"/>
      <c r="L15" s="31"/>
    </row>
    <row r="16" spans="1:12" ht="15.6">
      <c r="A16" s="4"/>
      <c r="B16" s="20" t="s">
        <v>74</v>
      </c>
      <c r="C16" s="15" t="str">
        <f t="shared" si="0"/>
        <v>He was angry?</v>
      </c>
      <c r="D16" s="17"/>
      <c r="E16" s="15" t="str">
        <f t="shared" si="1"/>
        <v>Was he angry?</v>
      </c>
      <c r="F16" s="3"/>
      <c r="G16" s="6" t="str">
        <f>IF(AND($F16="",$D16="x"),"correct","")</f>
        <v/>
      </c>
      <c r="H16" s="29">
        <f t="shared" si="2"/>
        <v>0</v>
      </c>
      <c r="I16" s="30" t="s">
        <v>75</v>
      </c>
      <c r="J16" s="30" t="s">
        <v>76</v>
      </c>
      <c r="K16" s="28"/>
      <c r="L16" s="31"/>
    </row>
    <row r="17" spans="1:14" ht="15.6">
      <c r="A17" s="4"/>
      <c r="B17" s="20" t="s">
        <v>77</v>
      </c>
      <c r="C17" s="15" t="str">
        <f t="shared" si="0"/>
        <v>It near the lake?</v>
      </c>
      <c r="D17" s="17"/>
      <c r="E17" s="15" t="str">
        <f t="shared" si="1"/>
        <v>Was it near the lake?</v>
      </c>
      <c r="F17" s="3"/>
      <c r="G17" s="6" t="str">
        <f>IF(AND($F17="",$D17="x"),"correct","")</f>
        <v/>
      </c>
      <c r="H17" s="29">
        <f t="shared" si="2"/>
        <v>0</v>
      </c>
      <c r="I17" s="30" t="s">
        <v>78</v>
      </c>
      <c r="J17" s="30" t="s">
        <v>79</v>
      </c>
      <c r="K17" s="28"/>
      <c r="L17" s="31"/>
    </row>
    <row r="18" spans="1:14" ht="15.6">
      <c r="A18" s="4"/>
      <c r="B18" s="20" t="s">
        <v>80</v>
      </c>
      <c r="C18" s="15" t="str">
        <f t="shared" si="0"/>
        <v>He was not tired.</v>
      </c>
      <c r="D18" s="17"/>
      <c r="E18" s="15" t="str">
        <f t="shared" si="1"/>
        <v>He not was tired.</v>
      </c>
      <c r="F18" s="3"/>
      <c r="G18" s="6" t="str">
        <f t="shared" ref="G18" si="5">IF(AND($D18="",$F18="x"),"correct","")</f>
        <v/>
      </c>
      <c r="H18" s="29">
        <f t="shared" si="2"/>
        <v>0</v>
      </c>
      <c r="I18" s="30" t="s">
        <v>81</v>
      </c>
      <c r="J18" s="30" t="s">
        <v>82</v>
      </c>
      <c r="K18" s="28"/>
      <c r="L18" s="31"/>
    </row>
    <row r="19" spans="1:14" ht="15.6">
      <c r="A19" s="4"/>
      <c r="B19" s="20" t="s">
        <v>83</v>
      </c>
      <c r="C19" s="15" t="str">
        <f t="shared" si="0"/>
        <v>They no were students.</v>
      </c>
      <c r="D19" s="17"/>
      <c r="E19" s="15" t="str">
        <f t="shared" si="1"/>
        <v>They were not students.</v>
      </c>
      <c r="F19" s="3"/>
      <c r="G19" s="6" t="str">
        <f>IF(AND($F19="",$D19="x"),"correct","")</f>
        <v/>
      </c>
      <c r="H19" s="29">
        <f t="shared" si="2"/>
        <v>0</v>
      </c>
      <c r="I19" s="30" t="s">
        <v>84</v>
      </c>
      <c r="J19" s="30" t="s">
        <v>85</v>
      </c>
      <c r="K19" s="28"/>
      <c r="L19" s="31"/>
    </row>
    <row r="20" spans="1:14" ht="15.6">
      <c r="A20" s="4"/>
      <c r="B20" s="20" t="s">
        <v>86</v>
      </c>
      <c r="C20" s="18" t="str">
        <f t="shared" si="0"/>
        <v>They were not in the box.</v>
      </c>
      <c r="D20" s="17"/>
      <c r="E20" s="18" t="str">
        <f t="shared" si="1"/>
        <v>They were no in the box.</v>
      </c>
      <c r="F20" s="3"/>
      <c r="G20" s="6" t="str">
        <f t="shared" si="3"/>
        <v/>
      </c>
      <c r="H20" s="29">
        <f t="shared" si="2"/>
        <v>0</v>
      </c>
      <c r="I20" s="30" t="s">
        <v>87</v>
      </c>
      <c r="J20" s="30" t="s">
        <v>88</v>
      </c>
      <c r="K20" s="28"/>
      <c r="L20" s="31"/>
    </row>
    <row r="21" spans="1:14" ht="15.6">
      <c r="A21" s="4"/>
      <c r="B21" s="20"/>
      <c r="C21" s="32"/>
      <c r="D21" s="50"/>
      <c r="E21" s="32"/>
      <c r="F21" s="51"/>
      <c r="G21" s="33"/>
      <c r="H21" s="25"/>
      <c r="I21" s="52"/>
      <c r="J21" s="22"/>
      <c r="K21" s="26"/>
      <c r="L21" s="38"/>
      <c r="M21" s="34"/>
      <c r="N21" s="34"/>
    </row>
    <row r="22" spans="1:14" ht="15.6">
      <c r="A22" s="4"/>
      <c r="B22" s="20"/>
      <c r="C22" s="32"/>
      <c r="D22" s="50"/>
      <c r="E22" s="32"/>
      <c r="F22" s="51"/>
      <c r="G22" s="33"/>
      <c r="H22" s="25"/>
      <c r="I22" s="52"/>
      <c r="J22" s="22"/>
      <c r="K22" s="26"/>
      <c r="L22" s="38"/>
      <c r="M22" s="34"/>
      <c r="N22" s="34"/>
    </row>
    <row r="23" spans="1:14" ht="15.6">
      <c r="A23" s="4"/>
      <c r="B23" s="20"/>
      <c r="C23" s="32"/>
      <c r="D23" s="50"/>
      <c r="E23" s="32"/>
      <c r="F23" s="51"/>
      <c r="G23" s="33"/>
      <c r="H23" s="25"/>
      <c r="I23" s="52"/>
      <c r="J23" s="22"/>
      <c r="K23" s="26"/>
      <c r="L23" s="38"/>
      <c r="M23" s="34"/>
      <c r="N23" s="34"/>
    </row>
    <row r="24" spans="1:14" ht="15.6">
      <c r="A24" s="4"/>
      <c r="B24" s="20"/>
      <c r="C24" s="32"/>
      <c r="D24" s="50"/>
      <c r="E24" s="32"/>
      <c r="F24" s="51"/>
      <c r="G24" s="33"/>
      <c r="H24" s="25"/>
      <c r="I24" s="52"/>
      <c r="J24" s="22"/>
      <c r="K24" s="26"/>
      <c r="L24" s="38"/>
      <c r="M24" s="34"/>
      <c r="N24" s="34"/>
    </row>
    <row r="25" spans="1:14" ht="15.6">
      <c r="A25" s="4"/>
      <c r="B25" s="20"/>
      <c r="C25" s="32"/>
      <c r="D25" s="50"/>
      <c r="E25" s="32"/>
      <c r="F25" s="51"/>
      <c r="G25" s="33"/>
      <c r="H25" s="25"/>
      <c r="I25" s="53"/>
      <c r="J25" s="22"/>
      <c r="K25" s="27"/>
      <c r="L25" s="34"/>
      <c r="M25" s="34"/>
      <c r="N25" s="34"/>
    </row>
    <row r="26" spans="1:14" ht="15.6">
      <c r="A26" s="4"/>
      <c r="B26" s="20"/>
      <c r="C26" s="32"/>
      <c r="D26" s="50"/>
      <c r="E26" s="32"/>
      <c r="F26" s="51"/>
      <c r="G26" s="33"/>
      <c r="H26" s="25"/>
      <c r="I26" s="53"/>
      <c r="J26" s="22"/>
      <c r="K26" s="27"/>
      <c r="L26" s="34"/>
      <c r="M26" s="34"/>
      <c r="N26" s="34"/>
    </row>
    <row r="27" spans="1:14" ht="15.6">
      <c r="A27" s="4"/>
      <c r="B27" s="20"/>
      <c r="C27" s="32"/>
      <c r="D27" s="50"/>
      <c r="E27" s="32"/>
      <c r="F27" s="51"/>
      <c r="G27" s="33"/>
      <c r="H27" s="25"/>
      <c r="I27" s="53"/>
      <c r="J27" s="22"/>
      <c r="K27" s="27"/>
      <c r="L27" s="34"/>
      <c r="M27" s="34"/>
      <c r="N27" s="34"/>
    </row>
    <row r="28" spans="1:14">
      <c r="A28" s="4"/>
      <c r="B28" s="27"/>
      <c r="C28" s="27"/>
      <c r="D28" s="27"/>
      <c r="E28" s="27"/>
      <c r="F28" s="27"/>
      <c r="G28" s="27"/>
      <c r="H28" s="27"/>
      <c r="I28" s="54"/>
      <c r="J28" s="54"/>
      <c r="K28" s="27"/>
      <c r="L28" s="34"/>
      <c r="M28" s="34"/>
      <c r="N28" s="34"/>
    </row>
    <row r="29" spans="1:14">
      <c r="A29" s="4"/>
      <c r="B29" s="4"/>
      <c r="C29" s="4"/>
      <c r="D29" s="4"/>
      <c r="E29" s="4"/>
      <c r="F29" s="4"/>
      <c r="G29" s="4"/>
      <c r="H29" s="4"/>
      <c r="I29" s="36"/>
      <c r="J29" s="36"/>
      <c r="K29" s="4"/>
    </row>
    <row r="30" spans="1:14">
      <c r="A30" s="4"/>
      <c r="B30" s="4"/>
      <c r="C30" s="4"/>
      <c r="D30" s="4"/>
      <c r="E30" s="4"/>
      <c r="F30" s="4"/>
      <c r="G30" s="4"/>
      <c r="H30" s="4"/>
      <c r="I30" s="36"/>
      <c r="J30" s="36"/>
      <c r="K30" s="4"/>
    </row>
    <row r="31" spans="1:14">
      <c r="A31" s="4"/>
      <c r="B31" s="4"/>
      <c r="C31" s="4"/>
      <c r="D31" s="4"/>
      <c r="E31" s="4"/>
      <c r="F31" s="4"/>
      <c r="G31" s="4"/>
      <c r="H31" s="4"/>
      <c r="I31" s="36"/>
      <c r="J31" s="36"/>
      <c r="K31" s="4"/>
    </row>
    <row r="32" spans="1:14">
      <c r="A32" s="4"/>
      <c r="B32" s="4"/>
      <c r="C32" s="4"/>
      <c r="D32" s="4"/>
      <c r="E32" s="4"/>
      <c r="F32" s="4"/>
      <c r="G32" s="4"/>
      <c r="H32" s="4"/>
      <c r="I32" s="36"/>
      <c r="J32" s="36"/>
      <c r="K32" s="4"/>
    </row>
    <row r="33" spans="1:11">
      <c r="A33" s="4"/>
      <c r="B33" s="4"/>
      <c r="C33" s="4"/>
      <c r="D33" s="4"/>
      <c r="E33" s="4"/>
      <c r="F33" s="4"/>
      <c r="G33" s="4"/>
      <c r="H33" s="4"/>
      <c r="I33" s="36"/>
      <c r="J33" s="36"/>
      <c r="K33" s="4"/>
    </row>
    <row r="34" spans="1:11">
      <c r="A34" s="4"/>
      <c r="B34" s="4"/>
      <c r="C34" s="4"/>
      <c r="D34" s="4"/>
      <c r="E34" s="4"/>
      <c r="F34" s="4"/>
      <c r="G34" s="4"/>
      <c r="H34" s="4"/>
      <c r="I34" s="36"/>
      <c r="J34" s="36"/>
      <c r="K34" s="4"/>
    </row>
    <row r="35" spans="1:11">
      <c r="A35" s="4"/>
      <c r="B35" s="4"/>
      <c r="C35" s="4"/>
      <c r="D35" s="4"/>
      <c r="E35" s="4"/>
      <c r="F35" s="4"/>
      <c r="G35" s="4"/>
      <c r="H35" s="4"/>
      <c r="I35" s="36"/>
      <c r="J35" s="36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36"/>
      <c r="J36" s="36"/>
      <c r="K36" s="4"/>
    </row>
    <row r="37" spans="1:11">
      <c r="A37" s="4"/>
      <c r="B37" s="4"/>
      <c r="C37" s="4"/>
      <c r="D37" s="4"/>
      <c r="E37" s="4"/>
      <c r="F37" s="4"/>
      <c r="G37" s="4"/>
      <c r="H37" s="4"/>
      <c r="I37" s="36"/>
      <c r="J37" s="36"/>
      <c r="K37" s="4"/>
    </row>
    <row r="38" spans="1:11">
      <c r="A38" s="4"/>
      <c r="B38" s="4"/>
      <c r="C38" s="4"/>
      <c r="D38" s="4"/>
      <c r="E38" s="4"/>
      <c r="F38" s="4"/>
      <c r="G38" s="4"/>
      <c r="H38" s="4"/>
      <c r="I38" s="36"/>
      <c r="J38" s="36"/>
      <c r="K38" s="4"/>
    </row>
    <row r="39" spans="1:11">
      <c r="A39" s="4"/>
      <c r="B39" s="4"/>
      <c r="C39" s="4"/>
      <c r="D39" s="4"/>
      <c r="E39" s="4"/>
      <c r="F39" s="4"/>
      <c r="G39" s="4"/>
      <c r="H39" s="4"/>
      <c r="I39" s="36"/>
      <c r="J39" s="36"/>
      <c r="K39" s="4"/>
    </row>
    <row r="40" spans="1:11">
      <c r="A40" s="4"/>
      <c r="B40" s="4"/>
      <c r="C40" s="4"/>
      <c r="D40" s="4"/>
      <c r="E40" s="4"/>
      <c r="F40" s="4"/>
      <c r="G40" s="4"/>
      <c r="H40" s="4"/>
      <c r="I40" s="36"/>
      <c r="J40" s="36"/>
      <c r="K40" s="4"/>
    </row>
    <row r="41" spans="1:11">
      <c r="A41" s="4"/>
      <c r="B41" s="4"/>
      <c r="C41" s="4"/>
      <c r="D41" s="4"/>
      <c r="E41" s="4"/>
      <c r="F41" s="4"/>
      <c r="G41" s="4"/>
      <c r="H41" s="4"/>
      <c r="I41" s="36"/>
      <c r="J41" s="36"/>
      <c r="K41" s="4"/>
    </row>
    <row r="42" spans="1:11">
      <c r="A42" s="4"/>
      <c r="B42" s="4"/>
      <c r="C42" s="4"/>
      <c r="D42" s="4"/>
      <c r="E42" s="4"/>
      <c r="F42" s="4"/>
      <c r="G42" s="4"/>
      <c r="H42" s="4"/>
      <c r="I42" s="36"/>
      <c r="J42" s="36"/>
      <c r="K42" s="4"/>
    </row>
    <row r="43" spans="1:11">
      <c r="A43" s="4"/>
      <c r="B43" s="4"/>
      <c r="C43" s="4"/>
      <c r="D43" s="4"/>
      <c r="E43" s="4"/>
      <c r="F43" s="4"/>
      <c r="G43" s="4"/>
      <c r="H43" s="4"/>
      <c r="I43" s="36"/>
      <c r="J43" s="36"/>
      <c r="K43" s="4"/>
    </row>
    <row r="44" spans="1:11">
      <c r="A44" s="4"/>
      <c r="B44" s="4"/>
      <c r="C44" s="4"/>
      <c r="D44" s="4"/>
      <c r="E44" s="4"/>
      <c r="F44" s="4"/>
      <c r="G44" s="4"/>
      <c r="H44" s="4"/>
      <c r="I44" s="36"/>
      <c r="J44" s="36"/>
      <c r="K44" s="4"/>
    </row>
    <row r="45" spans="1:11">
      <c r="A45" s="4"/>
      <c r="B45" s="4"/>
      <c r="C45" s="4"/>
      <c r="D45" s="4"/>
      <c r="E45" s="4"/>
      <c r="F45" s="4"/>
      <c r="G45" s="4"/>
      <c r="H45" s="4"/>
      <c r="I45" s="36"/>
      <c r="J45" s="36"/>
      <c r="K45" s="4"/>
    </row>
  </sheetData>
  <sheetProtection sheet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9" tint="0.39997558519241921"/>
  </sheetPr>
  <dimension ref="A1:AA225"/>
  <sheetViews>
    <sheetView showGridLines="0" zoomScale="153" zoomScaleNormal="153" workbookViewId="0" xr3:uid="{842E5F09-E766-5B8D-85AF-A39847EA96FD}">
      <selection activeCell="G6" sqref="G6:G25"/>
    </sheetView>
  </sheetViews>
  <sheetFormatPr defaultRowHeight="14.45"/>
  <cols>
    <col min="1" max="1" width="9.5703125" bestFit="1" customWidth="1"/>
    <col min="2" max="2" width="17.28515625" style="1" customWidth="1"/>
    <col min="3" max="3" width="26" style="1" customWidth="1"/>
    <col min="4" max="4" width="24.7109375" style="1" customWidth="1"/>
    <col min="5" max="5" width="2.7109375" style="1" customWidth="1"/>
    <col min="6" max="6" width="28.7109375" style="1" customWidth="1"/>
    <col min="7" max="7" width="3.28515625" customWidth="1"/>
    <col min="8" max="8" width="7.42578125" style="12" customWidth="1"/>
  </cols>
  <sheetData>
    <row r="1" spans="1:27">
      <c r="A1" s="5" t="s">
        <v>0</v>
      </c>
      <c r="B1" s="23"/>
    </row>
    <row r="2" spans="1:27">
      <c r="A2" s="8">
        <f ca="1">TODAY()</f>
        <v>43582</v>
      </c>
      <c r="B2" s="10">
        <f>SUM(I6:I25)/20</f>
        <v>0</v>
      </c>
      <c r="C2" s="1" t="s">
        <v>89</v>
      </c>
      <c r="D2" s="5"/>
      <c r="E2" s="5"/>
      <c r="F2" s="5"/>
      <c r="G2" s="4"/>
      <c r="H2" s="1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7">
      <c r="A3" s="8"/>
      <c r="B3" s="10"/>
      <c r="D3" s="5"/>
      <c r="E3" s="5"/>
      <c r="F3" s="5"/>
      <c r="G3" s="4"/>
      <c r="H3" s="1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7" ht="15" thickBot="1">
      <c r="B4" s="9"/>
      <c r="C4" s="5"/>
      <c r="D4" s="5"/>
      <c r="E4" s="40" t="s">
        <v>2</v>
      </c>
      <c r="F4" s="5"/>
      <c r="G4" s="5"/>
      <c r="H4" s="4"/>
      <c r="I4" s="13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ht="15" thickBot="1">
      <c r="B5" s="4"/>
      <c r="C5" s="41" t="s">
        <v>90</v>
      </c>
      <c r="D5" s="46" t="s">
        <v>91</v>
      </c>
      <c r="E5" s="47"/>
      <c r="F5" s="46" t="s">
        <v>92</v>
      </c>
      <c r="G5" s="47"/>
      <c r="H5" s="4"/>
      <c r="I5" s="13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ht="19.899999999999999" customHeight="1" thickBot="1">
      <c r="B6" s="7">
        <v>1</v>
      </c>
      <c r="C6" s="44" t="s">
        <v>93</v>
      </c>
      <c r="D6" s="48" t="str">
        <f t="shared" ref="D6:D15" si="0">IF(AND($E6="x",$H6="correct")," ",$J6)</f>
        <v>Yes, you were a student.</v>
      </c>
      <c r="E6" s="45"/>
      <c r="F6" s="48" t="str">
        <f t="shared" ref="F6:F15" si="1">IF(AND($G6="x",$H6="correct")," ",$K6)</f>
        <v>Yes, I was a student.</v>
      </c>
      <c r="G6" s="2"/>
      <c r="H6" s="6" t="str">
        <f>IF(AND($G6="",$E6="x"),"correct","")</f>
        <v/>
      </c>
      <c r="I6" s="14">
        <f t="shared" ref="I6:I25" si="2">IF(H6="correct",1,0)</f>
        <v>0</v>
      </c>
      <c r="J6" s="11" t="s">
        <v>94</v>
      </c>
      <c r="K6" s="11" t="s">
        <v>95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1:27" ht="19.899999999999999" customHeight="1" thickBot="1">
      <c r="B7" s="7">
        <f>1+B6</f>
        <v>2</v>
      </c>
      <c r="C7" s="44" t="s">
        <v>3</v>
      </c>
      <c r="D7" s="49" t="str">
        <f t="shared" si="0"/>
        <v>Yes, you was next.</v>
      </c>
      <c r="E7" s="43"/>
      <c r="F7" s="48" t="str">
        <f t="shared" si="1"/>
        <v>Yes, you were next.</v>
      </c>
      <c r="G7" s="3"/>
      <c r="H7" s="6" t="str">
        <f>IF(AND($G7="",$E7="x"),"correct","")</f>
        <v/>
      </c>
      <c r="I7" s="14">
        <f t="shared" si="2"/>
        <v>0</v>
      </c>
      <c r="J7" s="11" t="s">
        <v>96</v>
      </c>
      <c r="K7" s="11" t="s">
        <v>97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ht="19.899999999999999" customHeight="1" thickBot="1">
      <c r="B8" s="7">
        <f t="shared" ref="B8:B25" si="3">1+B7</f>
        <v>3</v>
      </c>
      <c r="C8" s="42" t="s">
        <v>98</v>
      </c>
      <c r="D8" s="49" t="str">
        <f t="shared" si="0"/>
        <v>Yes, she was from Africa.</v>
      </c>
      <c r="E8" s="43"/>
      <c r="F8" s="48" t="str">
        <f t="shared" si="1"/>
        <v>Yes, was from Africa.</v>
      </c>
      <c r="G8" s="3"/>
      <c r="H8" s="6" t="str">
        <f>IF(AND($E8="",$G8="x"),"correct","")</f>
        <v/>
      </c>
      <c r="I8" s="14">
        <f t="shared" si="2"/>
        <v>0</v>
      </c>
      <c r="J8" s="11" t="s">
        <v>99</v>
      </c>
      <c r="K8" s="11" t="s">
        <v>100</v>
      </c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27" ht="19.899999999999999" customHeight="1" thickBot="1">
      <c r="B9" s="7">
        <f t="shared" si="3"/>
        <v>4</v>
      </c>
      <c r="C9" s="42" t="s">
        <v>3</v>
      </c>
      <c r="D9" s="49" t="str">
        <f t="shared" si="0"/>
        <v>Yes, you were next.</v>
      </c>
      <c r="E9" s="43"/>
      <c r="F9" s="48" t="str">
        <f t="shared" si="1"/>
        <v>Yes, I was next.</v>
      </c>
      <c r="G9" s="3"/>
      <c r="H9" s="6" t="str">
        <f>IF(AND($E9="",$G9="x"),"correct","")</f>
        <v/>
      </c>
      <c r="I9" s="14">
        <f t="shared" si="2"/>
        <v>0</v>
      </c>
      <c r="J9" s="11" t="s">
        <v>97</v>
      </c>
      <c r="K9" s="11" t="s">
        <v>101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</row>
    <row r="10" spans="1:27" ht="19.899999999999999" customHeight="1" thickBot="1">
      <c r="B10" s="7">
        <f t="shared" si="3"/>
        <v>5</v>
      </c>
      <c r="C10" s="42" t="s">
        <v>12</v>
      </c>
      <c r="D10" s="49" t="str">
        <f t="shared" si="0"/>
        <v>No, they were not here.</v>
      </c>
      <c r="E10" s="43"/>
      <c r="F10" s="48" t="str">
        <f t="shared" si="1"/>
        <v>No, they not here.</v>
      </c>
      <c r="G10" s="3"/>
      <c r="H10" s="6" t="str">
        <f>IF(AND($E10="",$G10="x"),"correct","")</f>
        <v/>
      </c>
      <c r="I10" s="14">
        <f t="shared" si="2"/>
        <v>0</v>
      </c>
      <c r="J10" s="11" t="s">
        <v>102</v>
      </c>
      <c r="K10" s="11" t="s">
        <v>103</v>
      </c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</row>
    <row r="11" spans="1:27" ht="19.899999999999999" customHeight="1" thickBot="1">
      <c r="B11" s="7">
        <f t="shared" si="3"/>
        <v>6</v>
      </c>
      <c r="C11" s="44" t="s">
        <v>104</v>
      </c>
      <c r="D11" s="49" t="str">
        <f t="shared" si="0"/>
        <v>No, it was not in the box.</v>
      </c>
      <c r="E11" s="43"/>
      <c r="F11" s="48" t="str">
        <f t="shared" si="1"/>
        <v>No, they were not in the box.</v>
      </c>
      <c r="G11" s="3"/>
      <c r="H11" s="6" t="str">
        <f>IF(AND($G11="",$E11="x"),"correct","")</f>
        <v/>
      </c>
      <c r="I11" s="14">
        <f t="shared" si="2"/>
        <v>0</v>
      </c>
      <c r="J11" s="11" t="s">
        <v>105</v>
      </c>
      <c r="K11" s="11" t="s">
        <v>106</v>
      </c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</row>
    <row r="12" spans="1:27" ht="19.899999999999999" customHeight="1" thickBot="1">
      <c r="B12" s="7">
        <f t="shared" si="3"/>
        <v>7</v>
      </c>
      <c r="C12" s="44" t="s">
        <v>107</v>
      </c>
      <c r="D12" s="49" t="str">
        <f t="shared" si="0"/>
        <v>Yes, we next.</v>
      </c>
      <c r="E12" s="43"/>
      <c r="F12" s="48" t="str">
        <f t="shared" si="1"/>
        <v>Yes, we were next.</v>
      </c>
      <c r="G12" s="3"/>
      <c r="H12" s="6" t="str">
        <f>IF(AND($G12="",$E12="x"),"correct","")</f>
        <v/>
      </c>
      <c r="I12" s="14">
        <f t="shared" si="2"/>
        <v>0</v>
      </c>
      <c r="J12" s="11" t="s">
        <v>108</v>
      </c>
      <c r="K12" s="11" t="s">
        <v>109</v>
      </c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</row>
    <row r="13" spans="1:27" ht="19.899999999999999" customHeight="1" thickBot="1">
      <c r="B13" s="7">
        <f t="shared" si="3"/>
        <v>8</v>
      </c>
      <c r="C13" s="42" t="s">
        <v>110</v>
      </c>
      <c r="D13" s="49" t="str">
        <f t="shared" si="0"/>
        <v>No, he was not here.</v>
      </c>
      <c r="E13" s="43"/>
      <c r="F13" s="48" t="str">
        <f t="shared" si="1"/>
        <v>No, she was not here.</v>
      </c>
      <c r="G13" s="3"/>
      <c r="H13" s="6" t="str">
        <f>IF(AND($E13="",$G13="x"),"correct","")</f>
        <v/>
      </c>
      <c r="I13" s="14">
        <f t="shared" si="2"/>
        <v>0</v>
      </c>
      <c r="J13" s="11" t="s">
        <v>111</v>
      </c>
      <c r="K13" s="11" t="s">
        <v>112</v>
      </c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ht="19.899999999999999" customHeight="1" thickBot="1">
      <c r="B14" s="7">
        <f t="shared" si="3"/>
        <v>9</v>
      </c>
      <c r="C14" s="44" t="s">
        <v>113</v>
      </c>
      <c r="D14" s="49" t="str">
        <f t="shared" si="0"/>
        <v>No, were not sad.</v>
      </c>
      <c r="E14" s="43"/>
      <c r="F14" s="48" t="str">
        <f t="shared" si="1"/>
        <v>No, they were not sad.</v>
      </c>
      <c r="G14" s="3"/>
      <c r="H14" s="6" t="str">
        <f>IF(AND($G14="",$E14="x"),"correct","")</f>
        <v/>
      </c>
      <c r="I14" s="14">
        <f t="shared" si="2"/>
        <v>0</v>
      </c>
      <c r="J14" s="11" t="s">
        <v>114</v>
      </c>
      <c r="K14" s="11" t="s">
        <v>115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ht="19.899999999999999" customHeight="1" thickBot="1">
      <c r="B15" s="7">
        <f t="shared" si="3"/>
        <v>10</v>
      </c>
      <c r="C15" s="44" t="s">
        <v>116</v>
      </c>
      <c r="D15" s="49" t="str">
        <f t="shared" si="0"/>
        <v>Yes, I am near the hospital.</v>
      </c>
      <c r="E15" s="43"/>
      <c r="F15" s="48" t="str">
        <f t="shared" si="1"/>
        <v>Yes, you were near the hospital.</v>
      </c>
      <c r="G15" s="3"/>
      <c r="H15" s="6" t="str">
        <f>IF(AND($G15="",$E15="x"),"correct","")</f>
        <v/>
      </c>
      <c r="I15" s="14">
        <f t="shared" si="2"/>
        <v>0</v>
      </c>
      <c r="J15" s="11" t="s">
        <v>117</v>
      </c>
      <c r="K15" s="11" t="s">
        <v>118</v>
      </c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</row>
    <row r="16" spans="1:27" ht="19.899999999999999" customHeight="1" thickBot="1">
      <c r="B16" s="7">
        <f t="shared" si="3"/>
        <v>11</v>
      </c>
      <c r="C16" s="44" t="s">
        <v>93</v>
      </c>
      <c r="D16" s="49" t="str">
        <f>IF(AND($E16="x",$H16="correct")," ",$K16)</f>
        <v>Yes, I was a student.</v>
      </c>
      <c r="E16" s="43"/>
      <c r="F16" s="48" t="str">
        <f>IF(AND($G16="x",$H16="correct")," ",$J16)</f>
        <v>Yes, I am a student.</v>
      </c>
      <c r="G16" s="3"/>
      <c r="H16" s="6" t="str">
        <f>IF(AND($E16="",$G16="x"),"correct","")</f>
        <v/>
      </c>
      <c r="I16" s="14">
        <f t="shared" si="2"/>
        <v>0</v>
      </c>
      <c r="J16" s="11" t="s">
        <v>119</v>
      </c>
      <c r="K16" s="11" t="s">
        <v>95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7" ht="19.899999999999999" customHeight="1" thickBot="1">
      <c r="B17" s="7">
        <f t="shared" si="3"/>
        <v>12</v>
      </c>
      <c r="C17" s="42" t="s">
        <v>120</v>
      </c>
      <c r="D17" s="49" t="str">
        <f>IF(AND($E17="x",$H17="correct")," ",$J17)</f>
        <v>No, I was not angry.</v>
      </c>
      <c r="E17" s="43"/>
      <c r="F17" s="48" t="str">
        <f>IF(AND($G17="x",$H17="correct")," ",$K17)</f>
        <v>No, you were not angry.</v>
      </c>
      <c r="G17" s="3"/>
      <c r="H17" s="6" t="str">
        <f>IF(AND($E17="",$G17="x"),"correct","")</f>
        <v/>
      </c>
      <c r="I17" s="14">
        <f t="shared" si="2"/>
        <v>0</v>
      </c>
      <c r="J17" s="11" t="s">
        <v>121</v>
      </c>
      <c r="K17" s="11" t="s">
        <v>122</v>
      </c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</row>
    <row r="18" spans="1:27" ht="19.899999999999999" customHeight="1" thickBot="1">
      <c r="B18" s="7">
        <f t="shared" si="3"/>
        <v>13</v>
      </c>
      <c r="C18" s="44" t="s">
        <v>123</v>
      </c>
      <c r="D18" s="49" t="str">
        <f>IF(AND($E18="x",$H18="correct")," ",$J18)</f>
        <v>Yes, she is from Africa.</v>
      </c>
      <c r="E18" s="43"/>
      <c r="F18" s="48" t="str">
        <f>IF(AND($G18="x",$H18="correct")," ",$K18)</f>
        <v>Yes, she was from Africa.</v>
      </c>
      <c r="G18" s="3"/>
      <c r="H18" s="6" t="str">
        <f>IF(AND($E18="",$G18="x"),"correct","")</f>
        <v/>
      </c>
      <c r="I18" s="14">
        <f t="shared" si="2"/>
        <v>0</v>
      </c>
      <c r="J18" s="11" t="s">
        <v>124</v>
      </c>
      <c r="K18" s="11" t="s">
        <v>99</v>
      </c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</row>
    <row r="19" spans="1:27" ht="19.899999999999999" customHeight="1" thickBot="1">
      <c r="B19" s="7">
        <f t="shared" si="3"/>
        <v>14</v>
      </c>
      <c r="C19" s="42" t="s">
        <v>125</v>
      </c>
      <c r="D19" s="49" t="str">
        <f>IF(AND($E19="x",$H19="correct")," ",$J19)</f>
        <v>No, it is not cold outside.</v>
      </c>
      <c r="E19" s="43"/>
      <c r="F19" s="48" t="str">
        <f>IF(AND($G19="x",$H19="correct")," ",$K19)</f>
        <v xml:space="preserve">No, it was not cold outside. </v>
      </c>
      <c r="G19" s="3"/>
      <c r="H19" s="6" t="str">
        <f>IF(AND($E19="",$G19="x"),"correct","")</f>
        <v/>
      </c>
      <c r="I19" s="14">
        <f t="shared" si="2"/>
        <v>0</v>
      </c>
      <c r="J19" s="11" t="s">
        <v>126</v>
      </c>
      <c r="K19" s="11" t="s">
        <v>127</v>
      </c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</row>
    <row r="20" spans="1:27" ht="19.899999999999999" customHeight="1" thickBot="1">
      <c r="B20" s="7">
        <f t="shared" si="3"/>
        <v>15</v>
      </c>
      <c r="C20" s="44" t="s">
        <v>12</v>
      </c>
      <c r="D20" s="49" t="str">
        <f>IF(AND($E20="x",$H20="correct")," ",$J20)</f>
        <v>No, they were not here.</v>
      </c>
      <c r="E20" s="43"/>
      <c r="F20" s="48" t="str">
        <f>IF(AND($G20="x",$H20="correct")," ",$K20)</f>
        <v>No, they are not here.</v>
      </c>
      <c r="G20" s="3"/>
      <c r="H20" s="6" t="str">
        <f>IF(AND($E20="",$G20="x"),"correct","")</f>
        <v/>
      </c>
      <c r="I20" s="14">
        <f t="shared" si="2"/>
        <v>0</v>
      </c>
      <c r="J20" s="11" t="s">
        <v>102</v>
      </c>
      <c r="K20" s="11" t="s">
        <v>128</v>
      </c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</row>
    <row r="21" spans="1:27" ht="19.899999999999999" customHeight="1" thickBot="1">
      <c r="B21" s="7">
        <f t="shared" si="3"/>
        <v>16</v>
      </c>
      <c r="C21" s="44" t="s">
        <v>129</v>
      </c>
      <c r="D21" s="49" t="str">
        <f>IF(AND($E21="x",$H21="correct")," ",$J21)</f>
        <v>Yes, it is a book.</v>
      </c>
      <c r="E21" s="43"/>
      <c r="F21" s="48" t="str">
        <f>IF(AND($G21="x",$H21="correct")," ",$K21)</f>
        <v>Yes, it was a book.</v>
      </c>
      <c r="G21" s="3"/>
      <c r="H21" s="6" t="str">
        <f>IF(AND($G21="",$E21="x"),"correct","")</f>
        <v/>
      </c>
      <c r="I21" s="29">
        <f t="shared" si="2"/>
        <v>0</v>
      </c>
      <c r="J21" s="11" t="s">
        <v>130</v>
      </c>
      <c r="K21" s="11" t="s">
        <v>131</v>
      </c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9.899999999999999" customHeight="1" thickBot="1">
      <c r="B22" s="7">
        <f t="shared" si="3"/>
        <v>17</v>
      </c>
      <c r="C22" s="44" t="s">
        <v>132</v>
      </c>
      <c r="D22" s="49" t="str">
        <f>IF(AND($E22="x",$H22="correct")," ",$K22)</f>
        <v>Yes, we are next.</v>
      </c>
      <c r="E22" s="43"/>
      <c r="F22" s="48" t="str">
        <f>IF(AND($G22="x",$H22="correct"),"",$J22)</f>
        <v>Yes, we were next.</v>
      </c>
      <c r="G22" s="3"/>
      <c r="H22" s="6" t="str">
        <f>IF(AND($E22="",$G22="x"),"correct","")</f>
        <v/>
      </c>
      <c r="I22" s="14">
        <f t="shared" si="2"/>
        <v>0</v>
      </c>
      <c r="J22" s="11" t="s">
        <v>109</v>
      </c>
      <c r="K22" s="11" t="s">
        <v>133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27" ht="19.899999999999999" customHeight="1" thickBot="1">
      <c r="B23" s="7">
        <f t="shared" si="3"/>
        <v>18</v>
      </c>
      <c r="C23" s="44" t="s">
        <v>13</v>
      </c>
      <c r="D23" s="49" t="str">
        <f>IF(AND($E23="x",$H23="correct")," ",$J23)</f>
        <v>No, you were not tired.</v>
      </c>
      <c r="E23" s="43"/>
      <c r="F23" s="48" t="str">
        <f>IF(AND($G23="x",$H23="correct"),"",K23)</f>
        <v>No, I was not tired.</v>
      </c>
      <c r="G23" s="3"/>
      <c r="H23" s="6" t="str">
        <f>IF(AND($G23="",$E23="x"),"correct","")</f>
        <v/>
      </c>
      <c r="I23" s="14">
        <f t="shared" si="2"/>
        <v>0</v>
      </c>
      <c r="J23" s="11" t="s">
        <v>134</v>
      </c>
      <c r="K23" s="11" t="s">
        <v>135</v>
      </c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ht="19.899999999999999" customHeight="1" thickBot="1">
      <c r="B24" s="7">
        <f t="shared" si="3"/>
        <v>19</v>
      </c>
      <c r="C24" s="44" t="s">
        <v>113</v>
      </c>
      <c r="D24" s="49" t="str">
        <f>IF(AND($E24="x",$H24="correct")," ",$J24)</f>
        <v>No, they are not sad.</v>
      </c>
      <c r="E24" s="43"/>
      <c r="F24" s="48" t="str">
        <f>IF(AND($G24="x",$H24="correct")," ",$K24)</f>
        <v>No, they were not sad.</v>
      </c>
      <c r="G24" s="3"/>
      <c r="H24" s="6" t="str">
        <f>IF(AND($G24="",$E24="x"),"correct","")</f>
        <v/>
      </c>
      <c r="I24" s="14">
        <f t="shared" si="2"/>
        <v>0</v>
      </c>
      <c r="J24" s="11" t="s">
        <v>136</v>
      </c>
      <c r="K24" s="11" t="s">
        <v>115</v>
      </c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1:27" ht="19.899999999999999" customHeight="1" thickBot="1">
      <c r="B25" s="7">
        <f t="shared" si="3"/>
        <v>20</v>
      </c>
      <c r="C25" s="42" t="s">
        <v>137</v>
      </c>
      <c r="D25" s="49" t="str">
        <f>IF(AND($E25="x",$H25="correct")," ",$J25)</f>
        <v>Yes, they were students.</v>
      </c>
      <c r="E25" s="43"/>
      <c r="F25" s="48" t="str">
        <f>IF(AND($G25="x",$H25="correct")," ",$K25)</f>
        <v xml:space="preserve">Yes, they are students. </v>
      </c>
      <c r="G25" s="3"/>
      <c r="H25" s="6" t="str">
        <f>IF(AND($E25="",$G25="x"),"correct","")</f>
        <v/>
      </c>
      <c r="I25" s="14">
        <f t="shared" si="2"/>
        <v>0</v>
      </c>
      <c r="J25" s="11" t="s">
        <v>138</v>
      </c>
      <c r="K25" s="11" t="s">
        <v>139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</row>
    <row r="26" spans="1:27">
      <c r="B26" s="4"/>
      <c r="C26" s="5"/>
      <c r="D26" s="5"/>
      <c r="E26" s="5"/>
      <c r="F26" s="5"/>
      <c r="G26" s="5"/>
      <c r="H26" s="4"/>
      <c r="I26" s="13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</row>
    <row r="27" spans="1:27">
      <c r="A27" s="4"/>
      <c r="B27" s="5"/>
      <c r="C27" s="5"/>
      <c r="D27" s="5"/>
      <c r="E27" s="5"/>
      <c r="F27" s="5"/>
      <c r="G27" s="4"/>
      <c r="H27" s="13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7">
      <c r="A28" s="4"/>
      <c r="B28" s="5"/>
      <c r="C28" s="5"/>
      <c r="D28" s="5"/>
      <c r="E28" s="5"/>
      <c r="F28" s="5"/>
      <c r="G28" s="4"/>
      <c r="H28" s="13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7">
      <c r="A29" s="4"/>
      <c r="B29" s="5"/>
      <c r="C29" s="5"/>
      <c r="D29" s="5"/>
      <c r="E29" s="5"/>
      <c r="F29" s="5"/>
      <c r="G29" s="4"/>
      <c r="H29" s="13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7">
      <c r="A30" s="4"/>
      <c r="B30" s="5"/>
      <c r="C30" s="5"/>
      <c r="D30" s="5"/>
      <c r="E30" s="5"/>
      <c r="F30" s="5"/>
      <c r="G30" s="4"/>
      <c r="H30" s="13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7">
      <c r="A31" s="4"/>
      <c r="B31" s="5"/>
      <c r="C31" s="5"/>
      <c r="D31" s="5"/>
      <c r="E31" s="5"/>
      <c r="F31" s="5"/>
      <c r="G31" s="4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7">
      <c r="A32" s="4"/>
      <c r="B32" s="5"/>
      <c r="C32" s="5"/>
      <c r="D32" s="5"/>
      <c r="E32" s="5"/>
      <c r="F32" s="5"/>
      <c r="G32" s="4"/>
      <c r="H32" s="13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5"/>
      <c r="C33" s="5"/>
      <c r="D33" s="5"/>
      <c r="E33" s="5"/>
      <c r="F33" s="5"/>
      <c r="G33" s="4"/>
      <c r="H33" s="13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5"/>
      <c r="C34" s="5"/>
      <c r="D34" s="5"/>
      <c r="E34" s="5"/>
      <c r="F34" s="5"/>
      <c r="G34" s="4"/>
      <c r="H34" s="13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5"/>
      <c r="C35" s="5"/>
      <c r="D35" s="5"/>
      <c r="E35" s="5"/>
      <c r="F35" s="5"/>
      <c r="G35" s="4"/>
      <c r="H35" s="13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5"/>
      <c r="C36" s="5"/>
      <c r="D36" s="5"/>
      <c r="E36" s="5"/>
      <c r="F36" s="5"/>
      <c r="G36" s="4"/>
      <c r="H36" s="13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5"/>
      <c r="C37" s="5"/>
      <c r="D37" s="5"/>
      <c r="E37" s="5"/>
      <c r="F37" s="5"/>
      <c r="G37" s="4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5"/>
      <c r="C38" s="5"/>
      <c r="D38" s="5"/>
      <c r="E38" s="5"/>
      <c r="F38" s="5"/>
      <c r="G38" s="4"/>
      <c r="H38" s="13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5"/>
      <c r="C39" s="5"/>
      <c r="D39" s="5"/>
      <c r="E39" s="5"/>
      <c r="F39" s="5"/>
      <c r="G39" s="4"/>
      <c r="H39" s="13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5"/>
      <c r="C40" s="5"/>
      <c r="D40" s="5"/>
      <c r="E40" s="5"/>
      <c r="F40" s="5"/>
      <c r="G40" s="4"/>
      <c r="H40" s="13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5"/>
      <c r="C41" s="5"/>
      <c r="D41" s="5"/>
      <c r="E41" s="5"/>
      <c r="F41" s="5"/>
      <c r="G41" s="4"/>
      <c r="H41" s="13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5"/>
      <c r="C42" s="5"/>
      <c r="D42" s="5"/>
      <c r="E42" s="5"/>
      <c r="F42" s="5"/>
      <c r="G42" s="4"/>
      <c r="H42" s="13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5"/>
      <c r="C43" s="5"/>
      <c r="D43" s="5"/>
      <c r="E43" s="5"/>
      <c r="F43" s="5"/>
      <c r="G43" s="4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5"/>
      <c r="C44" s="5"/>
      <c r="D44" s="5"/>
      <c r="E44" s="5"/>
      <c r="F44" s="5"/>
      <c r="G44" s="4"/>
      <c r="H44" s="13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5"/>
      <c r="C45" s="5"/>
      <c r="D45" s="5"/>
      <c r="E45" s="5"/>
      <c r="F45" s="5"/>
      <c r="G45" s="4"/>
      <c r="H45" s="13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5"/>
      <c r="C46" s="5"/>
      <c r="D46" s="5"/>
      <c r="E46" s="5"/>
      <c r="F46" s="5"/>
      <c r="G46" s="4"/>
      <c r="H46" s="13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5"/>
      <c r="C47" s="5"/>
      <c r="D47" s="5"/>
      <c r="E47" s="5"/>
      <c r="F47" s="5"/>
      <c r="G47" s="4"/>
      <c r="H47" s="13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5"/>
      <c r="C48" s="5"/>
      <c r="D48" s="5"/>
      <c r="E48" s="5"/>
      <c r="F48" s="5"/>
      <c r="G48" s="4"/>
      <c r="H48" s="13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5"/>
      <c r="C49" s="5"/>
      <c r="D49" s="5"/>
      <c r="E49" s="5"/>
      <c r="F49" s="5"/>
      <c r="G49" s="4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5"/>
      <c r="C50" s="5"/>
      <c r="D50" s="5"/>
      <c r="E50" s="5"/>
      <c r="F50" s="5"/>
      <c r="G50" s="4"/>
      <c r="H50" s="13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5"/>
      <c r="C51" s="5"/>
      <c r="D51" s="5"/>
      <c r="E51" s="5"/>
      <c r="F51" s="5"/>
      <c r="G51" s="4"/>
      <c r="H51" s="13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5"/>
      <c r="C52" s="5"/>
      <c r="D52" s="5"/>
      <c r="E52" s="5"/>
      <c r="F52" s="5"/>
      <c r="G52" s="4"/>
      <c r="H52" s="13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5"/>
      <c r="C53" s="5"/>
      <c r="D53" s="5"/>
      <c r="E53" s="5"/>
      <c r="F53" s="5"/>
      <c r="G53" s="4"/>
      <c r="H53" s="13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5"/>
      <c r="C54" s="5"/>
      <c r="D54" s="5"/>
      <c r="E54" s="5"/>
      <c r="F54" s="5"/>
      <c r="G54" s="4"/>
      <c r="H54" s="13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5"/>
      <c r="C55" s="5"/>
      <c r="D55" s="5"/>
      <c r="E55" s="5"/>
      <c r="F55" s="5"/>
      <c r="G55" s="4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5"/>
      <c r="C56" s="5"/>
      <c r="D56" s="5"/>
      <c r="E56" s="5"/>
      <c r="F56" s="5"/>
      <c r="G56" s="4"/>
      <c r="H56" s="13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5"/>
      <c r="C57" s="5"/>
      <c r="D57" s="5"/>
      <c r="E57" s="5"/>
      <c r="F57" s="5"/>
      <c r="G57" s="4"/>
      <c r="H57" s="13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5"/>
      <c r="C58" s="5"/>
      <c r="D58" s="5"/>
      <c r="E58" s="5"/>
      <c r="F58" s="5"/>
      <c r="G58" s="4"/>
      <c r="H58" s="13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5"/>
      <c r="C59" s="5"/>
      <c r="D59" s="5"/>
      <c r="E59" s="5"/>
      <c r="F59" s="5"/>
      <c r="G59" s="4"/>
      <c r="H59" s="13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5"/>
      <c r="C60" s="5"/>
      <c r="D60" s="5"/>
      <c r="E60" s="5"/>
      <c r="F60" s="5"/>
      <c r="G60" s="4"/>
      <c r="H60" s="13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5"/>
      <c r="C61" s="5"/>
      <c r="D61" s="5"/>
      <c r="E61" s="5"/>
      <c r="F61" s="5"/>
      <c r="G61" s="4"/>
      <c r="H61" s="1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5"/>
      <c r="C62" s="5"/>
      <c r="D62" s="5"/>
      <c r="E62" s="5"/>
      <c r="F62" s="5"/>
      <c r="G62" s="4"/>
      <c r="H62" s="13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5"/>
      <c r="C63" s="5"/>
      <c r="D63" s="5"/>
      <c r="E63" s="5"/>
      <c r="F63" s="5"/>
      <c r="G63" s="4"/>
      <c r="H63" s="13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5"/>
      <c r="C64" s="5"/>
      <c r="D64" s="5"/>
      <c r="E64" s="5"/>
      <c r="F64" s="5"/>
      <c r="G64" s="4"/>
      <c r="H64" s="13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5"/>
      <c r="C65" s="5"/>
      <c r="D65" s="5"/>
      <c r="E65" s="5"/>
      <c r="F65" s="5"/>
      <c r="G65" s="4"/>
      <c r="H65" s="13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5"/>
      <c r="C66" s="5"/>
      <c r="D66" s="5"/>
      <c r="E66" s="5"/>
      <c r="F66" s="5"/>
      <c r="G66" s="4"/>
      <c r="H66" s="13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5"/>
      <c r="C67" s="5"/>
      <c r="D67" s="5"/>
      <c r="E67" s="5"/>
      <c r="F67" s="5"/>
      <c r="G67" s="4"/>
      <c r="H67" s="1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5"/>
      <c r="C68" s="5"/>
      <c r="D68" s="5"/>
      <c r="E68" s="5"/>
      <c r="F68" s="5"/>
      <c r="G68" s="4"/>
      <c r="H68" s="13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5"/>
      <c r="C69" s="5"/>
      <c r="D69" s="5"/>
      <c r="E69" s="5"/>
      <c r="F69" s="5"/>
      <c r="G69" s="4"/>
      <c r="H69" s="13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5"/>
      <c r="C70" s="5"/>
      <c r="D70" s="5"/>
      <c r="E70" s="5"/>
      <c r="F70" s="5"/>
      <c r="G70" s="4"/>
      <c r="H70" s="13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5"/>
      <c r="C71" s="5"/>
      <c r="D71" s="5"/>
      <c r="E71" s="5"/>
      <c r="F71" s="5"/>
      <c r="G71" s="4"/>
      <c r="H71" s="13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5"/>
      <c r="C72" s="5"/>
      <c r="D72" s="5"/>
      <c r="E72" s="5"/>
      <c r="F72" s="5"/>
      <c r="G72" s="4"/>
      <c r="H72" s="13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5"/>
      <c r="C73" s="5"/>
      <c r="D73" s="5"/>
      <c r="E73" s="5"/>
      <c r="F73" s="5"/>
      <c r="G73" s="4"/>
      <c r="H73" s="1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5"/>
      <c r="C74" s="5"/>
      <c r="D74" s="5"/>
      <c r="E74" s="5"/>
      <c r="F74" s="5"/>
      <c r="G74" s="4"/>
      <c r="H74" s="13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5"/>
      <c r="C75" s="5"/>
      <c r="D75" s="5"/>
      <c r="E75" s="5"/>
      <c r="F75" s="5"/>
      <c r="G75" s="4"/>
      <c r="H75" s="13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5"/>
      <c r="C76" s="5"/>
      <c r="D76" s="5"/>
      <c r="E76" s="5"/>
      <c r="F76" s="5"/>
      <c r="G76" s="4"/>
      <c r="H76" s="13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5"/>
      <c r="C77" s="5"/>
      <c r="D77" s="5"/>
      <c r="E77" s="5"/>
      <c r="F77" s="5"/>
      <c r="G77" s="4"/>
      <c r="H77" s="13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5"/>
      <c r="C78" s="5"/>
      <c r="D78" s="5"/>
      <c r="E78" s="5"/>
      <c r="F78" s="5"/>
      <c r="G78" s="4"/>
      <c r="H78" s="13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5"/>
      <c r="C79" s="5"/>
      <c r="D79" s="5"/>
      <c r="E79" s="5"/>
      <c r="F79" s="5"/>
      <c r="G79" s="4"/>
      <c r="H79" s="13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5"/>
      <c r="C80" s="5"/>
      <c r="D80" s="5"/>
      <c r="E80" s="5"/>
      <c r="F80" s="5"/>
      <c r="G80" s="4"/>
      <c r="H80" s="13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5"/>
      <c r="C81" s="5"/>
      <c r="D81" s="5"/>
      <c r="E81" s="5"/>
      <c r="F81" s="5"/>
      <c r="G81" s="4"/>
      <c r="H81" s="13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5"/>
      <c r="C82" s="5"/>
      <c r="D82" s="5"/>
      <c r="E82" s="5"/>
      <c r="F82" s="5"/>
      <c r="G82" s="4"/>
      <c r="H82" s="13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5"/>
      <c r="C83" s="5"/>
      <c r="D83" s="5"/>
      <c r="E83" s="5"/>
      <c r="F83" s="5"/>
      <c r="G83" s="4"/>
      <c r="H83" s="13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5"/>
      <c r="C84" s="5"/>
      <c r="D84" s="5"/>
      <c r="E84" s="5"/>
      <c r="F84" s="5"/>
      <c r="G84" s="4"/>
      <c r="H84" s="13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5"/>
      <c r="C85" s="5"/>
      <c r="D85" s="5"/>
      <c r="E85" s="5"/>
      <c r="F85" s="5"/>
      <c r="G85" s="4"/>
      <c r="H85" s="13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5"/>
      <c r="C86" s="5"/>
      <c r="D86" s="5"/>
      <c r="E86" s="5"/>
      <c r="F86" s="5"/>
      <c r="G86" s="4"/>
      <c r="H86" s="13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5"/>
      <c r="C87" s="5"/>
      <c r="D87" s="5"/>
      <c r="E87" s="5"/>
      <c r="F87" s="5"/>
      <c r="G87" s="4"/>
      <c r="H87" s="13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5"/>
      <c r="C88" s="5"/>
      <c r="D88" s="5"/>
      <c r="E88" s="5"/>
      <c r="F88" s="5"/>
      <c r="G88" s="4"/>
      <c r="H88" s="13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5"/>
      <c r="C89" s="5"/>
      <c r="D89" s="5"/>
      <c r="E89" s="5"/>
      <c r="F89" s="5"/>
      <c r="G89" s="4"/>
      <c r="H89" s="13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5"/>
      <c r="C90" s="5"/>
      <c r="D90" s="5"/>
      <c r="E90" s="5"/>
      <c r="F90" s="5"/>
      <c r="G90" s="4"/>
      <c r="H90" s="13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5"/>
      <c r="C91" s="5"/>
      <c r="D91" s="5"/>
      <c r="E91" s="5"/>
      <c r="F91" s="5"/>
      <c r="G91" s="4"/>
      <c r="H91" s="13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5"/>
      <c r="C92" s="5"/>
      <c r="D92" s="5"/>
      <c r="E92" s="5"/>
      <c r="F92" s="5"/>
      <c r="G92" s="4"/>
      <c r="H92" s="13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5"/>
      <c r="C93" s="5"/>
      <c r="D93" s="5"/>
      <c r="E93" s="5"/>
      <c r="F93" s="5"/>
      <c r="G93" s="4"/>
      <c r="H93" s="13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5"/>
      <c r="C94" s="5"/>
      <c r="D94" s="5"/>
      <c r="E94" s="5"/>
      <c r="F94" s="5"/>
      <c r="G94" s="4"/>
      <c r="H94" s="13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5"/>
      <c r="C95" s="5"/>
      <c r="D95" s="5"/>
      <c r="E95" s="5"/>
      <c r="F95" s="5"/>
      <c r="G95" s="4"/>
      <c r="H95" s="13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5"/>
      <c r="C96" s="5"/>
      <c r="D96" s="5"/>
      <c r="E96" s="5"/>
      <c r="F96" s="5"/>
      <c r="G96" s="4"/>
      <c r="H96" s="13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5"/>
      <c r="C97" s="5"/>
      <c r="D97" s="5"/>
      <c r="E97" s="5"/>
      <c r="F97" s="5"/>
      <c r="G97" s="4"/>
      <c r="H97" s="13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5"/>
      <c r="C98" s="5"/>
      <c r="D98" s="5"/>
      <c r="E98" s="5"/>
      <c r="F98" s="5"/>
      <c r="G98" s="4"/>
      <c r="H98" s="13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5"/>
      <c r="C99" s="5"/>
      <c r="D99" s="5"/>
      <c r="E99" s="5"/>
      <c r="F99" s="5"/>
      <c r="G99" s="4"/>
      <c r="H99" s="13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5"/>
      <c r="C100" s="5"/>
      <c r="D100" s="5"/>
      <c r="E100" s="5"/>
      <c r="F100" s="5"/>
      <c r="G100" s="4"/>
      <c r="H100" s="13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5"/>
      <c r="C101" s="5"/>
      <c r="D101" s="5"/>
      <c r="E101" s="5"/>
      <c r="F101" s="5"/>
      <c r="G101" s="4"/>
      <c r="H101" s="13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5"/>
      <c r="C102" s="5"/>
      <c r="D102" s="5"/>
      <c r="E102" s="5"/>
      <c r="F102" s="5"/>
      <c r="G102" s="4"/>
      <c r="H102" s="13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5"/>
      <c r="C103" s="5"/>
      <c r="D103" s="5"/>
      <c r="E103" s="5"/>
      <c r="F103" s="5"/>
      <c r="G103" s="4"/>
      <c r="H103" s="13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5"/>
      <c r="C104" s="5"/>
      <c r="D104" s="5"/>
      <c r="E104" s="5"/>
      <c r="F104" s="5"/>
      <c r="G104" s="4"/>
      <c r="H104" s="13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5"/>
      <c r="C105" s="5"/>
      <c r="D105" s="5"/>
      <c r="E105" s="5"/>
      <c r="F105" s="5"/>
      <c r="G105" s="4"/>
      <c r="H105" s="13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5"/>
      <c r="C106" s="5"/>
      <c r="D106" s="5"/>
      <c r="E106" s="5"/>
      <c r="F106" s="5"/>
      <c r="G106" s="4"/>
      <c r="H106" s="13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5"/>
      <c r="C107" s="5"/>
      <c r="D107" s="5"/>
      <c r="E107" s="5"/>
      <c r="F107" s="5"/>
      <c r="G107" s="4"/>
      <c r="H107" s="13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5"/>
      <c r="C108" s="5"/>
      <c r="D108" s="5"/>
      <c r="E108" s="5"/>
      <c r="F108" s="5"/>
      <c r="G108" s="4"/>
      <c r="H108" s="13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5"/>
      <c r="C109" s="5"/>
      <c r="D109" s="5"/>
      <c r="E109" s="5"/>
      <c r="F109" s="5"/>
      <c r="G109" s="4"/>
      <c r="H109" s="13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5"/>
      <c r="C110" s="5"/>
      <c r="D110" s="5"/>
      <c r="E110" s="5"/>
      <c r="F110" s="5"/>
      <c r="G110" s="4"/>
      <c r="H110" s="13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5"/>
      <c r="C111" s="5"/>
      <c r="D111" s="5"/>
      <c r="E111" s="5"/>
      <c r="F111" s="5"/>
      <c r="G111" s="4"/>
      <c r="H111" s="13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5"/>
      <c r="C112" s="5"/>
      <c r="D112" s="5"/>
      <c r="E112" s="5"/>
      <c r="F112" s="5"/>
      <c r="G112" s="4"/>
      <c r="H112" s="13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5"/>
      <c r="C113" s="5"/>
      <c r="D113" s="5"/>
      <c r="E113" s="5"/>
      <c r="F113" s="5"/>
      <c r="G113" s="4"/>
      <c r="H113" s="13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5"/>
      <c r="C114" s="5"/>
      <c r="D114" s="5"/>
      <c r="E114" s="5"/>
      <c r="F114" s="5"/>
      <c r="G114" s="4"/>
      <c r="H114" s="13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5"/>
      <c r="C115" s="5"/>
      <c r="D115" s="5"/>
      <c r="E115" s="5"/>
      <c r="F115" s="5"/>
      <c r="G115" s="4"/>
      <c r="H115" s="13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5"/>
      <c r="C116" s="5"/>
      <c r="D116" s="5"/>
      <c r="E116" s="5"/>
      <c r="F116" s="5"/>
      <c r="G116" s="4"/>
      <c r="H116" s="13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5"/>
      <c r="C117" s="5"/>
      <c r="D117" s="5"/>
      <c r="E117" s="5"/>
      <c r="F117" s="5"/>
      <c r="G117" s="4"/>
      <c r="H117" s="13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5"/>
      <c r="C118" s="5"/>
      <c r="D118" s="5"/>
      <c r="E118" s="5"/>
      <c r="F118" s="5"/>
      <c r="G118" s="4"/>
      <c r="H118" s="13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5"/>
      <c r="C119" s="5"/>
      <c r="D119" s="5"/>
      <c r="E119" s="5"/>
      <c r="F119" s="5"/>
      <c r="G119" s="4"/>
      <c r="H119" s="13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5"/>
      <c r="C120" s="5"/>
      <c r="D120" s="5"/>
      <c r="E120" s="5"/>
      <c r="F120" s="5"/>
      <c r="G120" s="4"/>
      <c r="H120" s="13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5"/>
      <c r="C121" s="5"/>
      <c r="D121" s="5"/>
      <c r="E121" s="5"/>
      <c r="F121" s="5"/>
      <c r="G121" s="4"/>
      <c r="H121" s="13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5"/>
      <c r="C122" s="5"/>
      <c r="D122" s="5"/>
      <c r="E122" s="5"/>
      <c r="F122" s="5"/>
      <c r="G122" s="4"/>
      <c r="H122" s="13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5"/>
      <c r="C123" s="5"/>
      <c r="D123" s="5"/>
      <c r="E123" s="5"/>
      <c r="F123" s="5"/>
      <c r="G123" s="4"/>
      <c r="H123" s="13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5"/>
      <c r="C124" s="5"/>
      <c r="D124" s="5"/>
      <c r="E124" s="5"/>
      <c r="F124" s="5"/>
      <c r="G124" s="4"/>
      <c r="H124" s="13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5"/>
      <c r="C125" s="5"/>
      <c r="D125" s="5"/>
      <c r="E125" s="5"/>
      <c r="F125" s="5"/>
      <c r="G125" s="4"/>
      <c r="H125" s="13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5"/>
      <c r="C126" s="5"/>
      <c r="D126" s="5"/>
      <c r="E126" s="5"/>
      <c r="F126" s="5"/>
      <c r="G126" s="4"/>
      <c r="H126" s="13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5"/>
      <c r="C127" s="5"/>
      <c r="D127" s="5"/>
      <c r="E127" s="5"/>
      <c r="F127" s="5"/>
      <c r="G127" s="4"/>
      <c r="H127" s="13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5"/>
      <c r="C128" s="5"/>
      <c r="D128" s="5"/>
      <c r="E128" s="5"/>
      <c r="F128" s="5"/>
      <c r="G128" s="4"/>
      <c r="H128" s="13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5"/>
      <c r="C129" s="5"/>
      <c r="D129" s="5"/>
      <c r="E129" s="5"/>
      <c r="F129" s="5"/>
      <c r="G129" s="4"/>
      <c r="H129" s="13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5"/>
      <c r="C130" s="5"/>
      <c r="D130" s="5"/>
      <c r="E130" s="5"/>
      <c r="F130" s="5"/>
      <c r="G130" s="4"/>
      <c r="H130" s="13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5"/>
      <c r="C131" s="5"/>
      <c r="D131" s="5"/>
      <c r="E131" s="5"/>
      <c r="F131" s="5"/>
      <c r="G131" s="4"/>
      <c r="H131" s="13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5"/>
      <c r="C132" s="5"/>
      <c r="D132" s="5"/>
      <c r="E132" s="5"/>
      <c r="F132" s="5"/>
      <c r="G132" s="4"/>
      <c r="H132" s="13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5"/>
      <c r="C133" s="5"/>
      <c r="D133" s="5"/>
      <c r="E133" s="5"/>
      <c r="F133" s="5"/>
      <c r="G133" s="4"/>
      <c r="H133" s="13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5"/>
      <c r="C134" s="5"/>
      <c r="D134" s="5"/>
      <c r="E134" s="5"/>
      <c r="F134" s="5"/>
      <c r="G134" s="4"/>
      <c r="H134" s="13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5"/>
      <c r="C135" s="5"/>
      <c r="D135" s="5"/>
      <c r="E135" s="5"/>
      <c r="F135" s="5"/>
      <c r="G135" s="4"/>
      <c r="H135" s="13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5"/>
      <c r="C136" s="5"/>
      <c r="D136" s="5"/>
      <c r="E136" s="5"/>
      <c r="F136" s="5"/>
      <c r="G136" s="4"/>
      <c r="H136" s="13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5"/>
      <c r="C137" s="5"/>
      <c r="D137" s="5"/>
      <c r="E137" s="5"/>
      <c r="F137" s="5"/>
      <c r="G137" s="4"/>
      <c r="H137" s="13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5"/>
      <c r="C138" s="5"/>
      <c r="D138" s="5"/>
      <c r="E138" s="5"/>
      <c r="F138" s="5"/>
      <c r="G138" s="4"/>
      <c r="H138" s="13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5"/>
      <c r="C139" s="5"/>
      <c r="D139" s="5"/>
      <c r="E139" s="5"/>
      <c r="F139" s="5"/>
      <c r="G139" s="4"/>
      <c r="H139" s="13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5"/>
      <c r="C140" s="5"/>
      <c r="D140" s="5"/>
      <c r="E140" s="5"/>
      <c r="F140" s="5"/>
      <c r="G140" s="4"/>
      <c r="H140" s="13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5"/>
      <c r="C141" s="5"/>
      <c r="D141" s="5"/>
      <c r="E141" s="5"/>
      <c r="F141" s="5"/>
      <c r="G141" s="4"/>
      <c r="H141" s="13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5"/>
      <c r="C142" s="5"/>
      <c r="D142" s="5"/>
      <c r="E142" s="5"/>
      <c r="F142" s="5"/>
      <c r="G142" s="4"/>
      <c r="H142" s="13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5"/>
      <c r="C143" s="5"/>
      <c r="D143" s="5"/>
      <c r="E143" s="5"/>
      <c r="F143" s="5"/>
      <c r="G143" s="4"/>
      <c r="H143" s="13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5"/>
      <c r="C144" s="5"/>
      <c r="D144" s="5"/>
      <c r="E144" s="5"/>
      <c r="F144" s="5"/>
      <c r="G144" s="4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5"/>
      <c r="C145" s="5"/>
      <c r="D145" s="5"/>
      <c r="E145" s="5"/>
      <c r="F145" s="5"/>
      <c r="G145" s="4"/>
      <c r="H145" s="13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5"/>
      <c r="C146" s="5"/>
      <c r="D146" s="5"/>
      <c r="E146" s="5"/>
      <c r="F146" s="5"/>
      <c r="G146" s="4"/>
      <c r="H146" s="13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5"/>
      <c r="C147" s="5"/>
      <c r="D147" s="5"/>
      <c r="E147" s="5"/>
      <c r="F147" s="5"/>
      <c r="G147" s="4"/>
      <c r="H147" s="13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5"/>
      <c r="C148" s="5"/>
      <c r="D148" s="5"/>
      <c r="E148" s="5"/>
      <c r="F148" s="5"/>
      <c r="G148" s="4"/>
      <c r="H148" s="13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5"/>
      <c r="C149" s="5"/>
      <c r="D149" s="5"/>
      <c r="E149" s="5"/>
      <c r="F149" s="5"/>
      <c r="G149" s="4"/>
      <c r="H149" s="13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5"/>
      <c r="C150" s="5"/>
      <c r="D150" s="5"/>
      <c r="E150" s="5"/>
      <c r="F150" s="5"/>
      <c r="G150" s="4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5"/>
      <c r="C151" s="5"/>
      <c r="D151" s="5"/>
      <c r="E151" s="5"/>
      <c r="F151" s="5"/>
      <c r="G151" s="4"/>
      <c r="H151" s="13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5"/>
      <c r="C152" s="5"/>
      <c r="D152" s="5"/>
      <c r="E152" s="5"/>
      <c r="F152" s="5"/>
      <c r="G152" s="4"/>
      <c r="H152" s="13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5"/>
      <c r="C153" s="5"/>
      <c r="D153" s="5"/>
      <c r="E153" s="5"/>
      <c r="F153" s="5"/>
      <c r="G153" s="4"/>
      <c r="H153" s="13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5"/>
      <c r="C154" s="5"/>
      <c r="D154" s="5"/>
      <c r="E154" s="5"/>
      <c r="F154" s="5"/>
      <c r="G154" s="4"/>
      <c r="H154" s="13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5"/>
      <c r="C155" s="5"/>
      <c r="D155" s="5"/>
      <c r="E155" s="5"/>
      <c r="F155" s="5"/>
      <c r="G155" s="4"/>
      <c r="H155" s="13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5"/>
      <c r="C156" s="5"/>
      <c r="D156" s="5"/>
      <c r="E156" s="5"/>
      <c r="F156" s="5"/>
      <c r="G156" s="4"/>
      <c r="H156" s="13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5"/>
      <c r="C157" s="5"/>
      <c r="D157" s="5"/>
      <c r="E157" s="5"/>
      <c r="F157" s="5"/>
      <c r="G157" s="4"/>
      <c r="H157" s="13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5"/>
      <c r="C158" s="5"/>
      <c r="D158" s="5"/>
      <c r="E158" s="5"/>
      <c r="F158" s="5"/>
      <c r="G158" s="4"/>
      <c r="H158" s="13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5"/>
      <c r="C159" s="5"/>
      <c r="D159" s="5"/>
      <c r="E159" s="5"/>
      <c r="F159" s="5"/>
      <c r="G159" s="4"/>
      <c r="H159" s="13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5"/>
      <c r="C160" s="5"/>
      <c r="D160" s="5"/>
      <c r="E160" s="5"/>
      <c r="F160" s="5"/>
      <c r="G160" s="4"/>
      <c r="H160" s="13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5"/>
      <c r="C161" s="5"/>
      <c r="D161" s="5"/>
      <c r="E161" s="5"/>
      <c r="F161" s="5"/>
      <c r="G161" s="4"/>
      <c r="H161" s="13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5"/>
      <c r="C162" s="5"/>
      <c r="D162" s="5"/>
      <c r="E162" s="5"/>
      <c r="F162" s="5"/>
      <c r="G162" s="4"/>
      <c r="H162" s="13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5"/>
      <c r="C163" s="5"/>
      <c r="D163" s="5"/>
      <c r="E163" s="5"/>
      <c r="F163" s="5"/>
      <c r="G163" s="4"/>
      <c r="H163" s="13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5"/>
      <c r="C164" s="5"/>
      <c r="D164" s="5"/>
      <c r="E164" s="5"/>
      <c r="F164" s="5"/>
      <c r="G164" s="4"/>
      <c r="H164" s="13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5"/>
      <c r="C165" s="5"/>
      <c r="D165" s="5"/>
      <c r="E165" s="5"/>
      <c r="F165" s="5"/>
      <c r="G165" s="4"/>
      <c r="H165" s="13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5"/>
      <c r="C166" s="5"/>
      <c r="D166" s="5"/>
      <c r="E166" s="5"/>
      <c r="F166" s="5"/>
      <c r="G166" s="4"/>
      <c r="H166" s="13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5"/>
      <c r="C167" s="5"/>
      <c r="D167" s="5"/>
      <c r="E167" s="5"/>
      <c r="F167" s="5"/>
      <c r="G167" s="4"/>
      <c r="H167" s="13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5"/>
      <c r="C168" s="5"/>
      <c r="D168" s="5"/>
      <c r="E168" s="5"/>
      <c r="F168" s="5"/>
      <c r="G168" s="4"/>
      <c r="H168" s="13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5"/>
      <c r="C169" s="5"/>
      <c r="D169" s="5"/>
      <c r="E169" s="5"/>
      <c r="F169" s="5"/>
      <c r="G169" s="4"/>
      <c r="H169" s="13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5"/>
      <c r="C170" s="5"/>
      <c r="D170" s="5"/>
      <c r="E170" s="5"/>
      <c r="F170" s="5"/>
      <c r="G170" s="4"/>
      <c r="H170" s="13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5"/>
      <c r="C171" s="5"/>
      <c r="D171" s="5"/>
      <c r="E171" s="5"/>
      <c r="F171" s="5"/>
      <c r="G171" s="4"/>
      <c r="H171" s="13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5"/>
      <c r="C172" s="5"/>
      <c r="D172" s="5"/>
      <c r="E172" s="5"/>
      <c r="F172" s="5"/>
      <c r="G172" s="4"/>
      <c r="H172" s="13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5"/>
      <c r="C173" s="5"/>
      <c r="D173" s="5"/>
      <c r="E173" s="5"/>
      <c r="F173" s="5"/>
      <c r="G173" s="4"/>
      <c r="H173" s="13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5"/>
      <c r="C174" s="5"/>
      <c r="D174" s="5"/>
      <c r="E174" s="5"/>
      <c r="F174" s="5"/>
      <c r="G174" s="4"/>
      <c r="H174" s="13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5"/>
      <c r="C175" s="5"/>
      <c r="D175" s="5"/>
      <c r="E175" s="5"/>
      <c r="F175" s="5"/>
      <c r="G175" s="4"/>
      <c r="H175" s="13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5"/>
      <c r="C176" s="5"/>
      <c r="D176" s="5"/>
      <c r="E176" s="5"/>
      <c r="F176" s="5"/>
      <c r="G176" s="4"/>
      <c r="H176" s="13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5"/>
      <c r="C177" s="5"/>
      <c r="D177" s="5"/>
      <c r="E177" s="5"/>
      <c r="F177" s="5"/>
      <c r="G177" s="4"/>
      <c r="H177" s="13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5"/>
      <c r="C178" s="5"/>
      <c r="D178" s="5"/>
      <c r="E178" s="5"/>
      <c r="F178" s="5"/>
      <c r="G178" s="4"/>
      <c r="H178" s="13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5"/>
      <c r="C179" s="5"/>
      <c r="D179" s="5"/>
      <c r="E179" s="5"/>
      <c r="F179" s="5"/>
      <c r="G179" s="4"/>
      <c r="H179" s="13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5"/>
      <c r="C180" s="5"/>
      <c r="D180" s="5"/>
      <c r="E180" s="5"/>
      <c r="F180" s="5"/>
      <c r="G180" s="4"/>
      <c r="H180" s="13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5"/>
      <c r="C181" s="5"/>
      <c r="D181" s="5"/>
      <c r="E181" s="5"/>
      <c r="F181" s="5"/>
      <c r="G181" s="4"/>
      <c r="H181" s="13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5"/>
      <c r="C182" s="5"/>
      <c r="D182" s="5"/>
      <c r="E182" s="5"/>
      <c r="F182" s="5"/>
      <c r="G182" s="4"/>
      <c r="H182" s="13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5"/>
      <c r="C183" s="5"/>
      <c r="D183" s="5"/>
      <c r="E183" s="5"/>
      <c r="F183" s="5"/>
      <c r="G183" s="4"/>
      <c r="H183" s="13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5"/>
      <c r="C184" s="5"/>
      <c r="D184" s="5"/>
      <c r="E184" s="5"/>
      <c r="F184" s="5"/>
      <c r="G184" s="4"/>
      <c r="H184" s="13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5"/>
      <c r="C185" s="5"/>
      <c r="D185" s="5"/>
      <c r="E185" s="5"/>
      <c r="F185" s="5"/>
      <c r="G185" s="4"/>
      <c r="H185" s="13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5"/>
      <c r="C186" s="5"/>
      <c r="D186" s="5"/>
      <c r="E186" s="5"/>
      <c r="F186" s="5"/>
      <c r="G186" s="4"/>
      <c r="H186" s="13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5"/>
      <c r="C187" s="5"/>
      <c r="D187" s="5"/>
      <c r="E187" s="5"/>
      <c r="F187" s="5"/>
      <c r="G187" s="4"/>
      <c r="H187" s="13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5"/>
      <c r="C188" s="5"/>
      <c r="D188" s="5"/>
      <c r="E188" s="5"/>
      <c r="F188" s="5"/>
      <c r="G188" s="4"/>
      <c r="H188" s="13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5"/>
      <c r="C189" s="5"/>
      <c r="D189" s="5"/>
      <c r="E189" s="5"/>
      <c r="F189" s="5"/>
      <c r="G189" s="4"/>
      <c r="H189" s="13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5"/>
      <c r="C190" s="5"/>
      <c r="D190" s="5"/>
      <c r="E190" s="5"/>
      <c r="F190" s="5"/>
      <c r="G190" s="4"/>
      <c r="H190" s="13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5"/>
      <c r="C191" s="5"/>
      <c r="D191" s="5"/>
      <c r="E191" s="5"/>
      <c r="F191" s="5"/>
      <c r="G191" s="4"/>
      <c r="H191" s="13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5"/>
      <c r="C192" s="5"/>
      <c r="D192" s="5"/>
      <c r="E192" s="5"/>
      <c r="F192" s="5"/>
      <c r="G192" s="4"/>
      <c r="H192" s="13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5"/>
      <c r="C193" s="5"/>
      <c r="D193" s="5"/>
      <c r="E193" s="5"/>
      <c r="F193" s="5"/>
      <c r="G193" s="4"/>
      <c r="H193" s="13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5"/>
      <c r="C194" s="5"/>
      <c r="D194" s="5"/>
      <c r="E194" s="5"/>
      <c r="F194" s="5"/>
      <c r="G194" s="4"/>
      <c r="H194" s="13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5"/>
      <c r="C195" s="5"/>
      <c r="D195" s="5"/>
      <c r="E195" s="5"/>
      <c r="F195" s="5"/>
      <c r="G195" s="4"/>
      <c r="H195" s="13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5"/>
      <c r="C196" s="5"/>
      <c r="D196" s="5"/>
      <c r="E196" s="5"/>
      <c r="F196" s="5"/>
      <c r="G196" s="4"/>
      <c r="H196" s="13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5"/>
      <c r="C197" s="5"/>
      <c r="D197" s="5"/>
      <c r="E197" s="5"/>
      <c r="F197" s="5"/>
      <c r="G197" s="4"/>
      <c r="H197" s="13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5"/>
      <c r="C198" s="5"/>
      <c r="D198" s="5"/>
      <c r="E198" s="5"/>
      <c r="F198" s="5"/>
      <c r="G198" s="4"/>
      <c r="H198" s="13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5"/>
      <c r="C199" s="5"/>
      <c r="D199" s="5"/>
      <c r="E199" s="5"/>
      <c r="F199" s="5"/>
      <c r="G199" s="4"/>
      <c r="H199" s="13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5"/>
      <c r="C200" s="5"/>
      <c r="D200" s="5"/>
      <c r="E200" s="5"/>
      <c r="F200" s="5"/>
      <c r="G200" s="4"/>
      <c r="H200" s="13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5"/>
      <c r="C201" s="5"/>
      <c r="D201" s="5"/>
      <c r="E201" s="5"/>
      <c r="F201" s="5"/>
      <c r="G201" s="4"/>
      <c r="H201" s="13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5"/>
      <c r="C202" s="5"/>
      <c r="D202" s="5"/>
      <c r="E202" s="5"/>
      <c r="F202" s="5"/>
      <c r="G202" s="4"/>
      <c r="H202" s="13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5"/>
      <c r="C203" s="5"/>
      <c r="D203" s="5"/>
      <c r="E203" s="5"/>
      <c r="F203" s="5"/>
      <c r="G203" s="4"/>
      <c r="H203" s="13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5"/>
      <c r="C204" s="5"/>
      <c r="D204" s="5"/>
      <c r="E204" s="5"/>
      <c r="F204" s="5"/>
      <c r="G204" s="4"/>
      <c r="H204" s="13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5"/>
      <c r="C205" s="5"/>
      <c r="D205" s="5"/>
      <c r="E205" s="5"/>
      <c r="F205" s="5"/>
      <c r="G205" s="4"/>
      <c r="H205" s="13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5"/>
      <c r="C206" s="5"/>
      <c r="D206" s="5"/>
      <c r="E206" s="5"/>
      <c r="F206" s="5"/>
      <c r="G206" s="4"/>
      <c r="H206" s="13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5"/>
      <c r="C207" s="5"/>
      <c r="D207" s="5"/>
      <c r="E207" s="5"/>
      <c r="F207" s="5"/>
      <c r="G207" s="4"/>
      <c r="H207" s="13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5"/>
      <c r="C208" s="5"/>
      <c r="D208" s="5"/>
      <c r="E208" s="5"/>
      <c r="F208" s="5"/>
      <c r="G208" s="4"/>
      <c r="H208" s="13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5"/>
      <c r="C209" s="5"/>
      <c r="D209" s="5"/>
      <c r="E209" s="5"/>
      <c r="F209" s="5"/>
      <c r="G209" s="4"/>
      <c r="H209" s="13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5"/>
      <c r="C210" s="5"/>
      <c r="D210" s="5"/>
      <c r="E210" s="5"/>
      <c r="F210" s="5"/>
      <c r="G210" s="4"/>
      <c r="H210" s="13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5"/>
      <c r="C211" s="5"/>
      <c r="D211" s="5"/>
      <c r="E211" s="5"/>
      <c r="F211" s="5"/>
      <c r="G211" s="4"/>
      <c r="H211" s="13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5"/>
      <c r="C212" s="5"/>
      <c r="D212" s="5"/>
      <c r="E212" s="5"/>
      <c r="F212" s="5"/>
      <c r="G212" s="4"/>
      <c r="H212" s="13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5"/>
      <c r="C213" s="5"/>
      <c r="D213" s="5"/>
      <c r="E213" s="5"/>
      <c r="F213" s="5"/>
      <c r="G213" s="4"/>
      <c r="H213" s="13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5"/>
      <c r="C214" s="5"/>
      <c r="D214" s="5"/>
      <c r="E214" s="5"/>
      <c r="F214" s="5"/>
      <c r="G214" s="4"/>
      <c r="H214" s="13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5"/>
      <c r="C215" s="5"/>
      <c r="D215" s="5"/>
      <c r="E215" s="5"/>
      <c r="F215" s="5"/>
      <c r="G215" s="4"/>
      <c r="H215" s="13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5"/>
      <c r="C216" s="5"/>
      <c r="D216" s="5"/>
      <c r="E216" s="5"/>
      <c r="F216" s="5"/>
      <c r="G216" s="4"/>
      <c r="H216" s="13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5"/>
      <c r="C217" s="5"/>
      <c r="D217" s="5"/>
      <c r="E217" s="5"/>
      <c r="F217" s="5"/>
      <c r="G217" s="4"/>
      <c r="H217" s="13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5"/>
      <c r="C218" s="5"/>
      <c r="D218" s="5"/>
      <c r="E218" s="5"/>
      <c r="F218" s="5"/>
      <c r="G218" s="4"/>
      <c r="H218" s="13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5"/>
      <c r="C219" s="5"/>
      <c r="D219" s="5"/>
      <c r="E219" s="5"/>
      <c r="F219" s="5"/>
      <c r="G219" s="4"/>
      <c r="H219" s="13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5"/>
      <c r="C220" s="5"/>
      <c r="D220" s="5"/>
      <c r="E220" s="5"/>
      <c r="F220" s="5"/>
      <c r="G220" s="4"/>
      <c r="H220" s="13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5"/>
      <c r="C221" s="5"/>
      <c r="D221" s="5"/>
      <c r="E221" s="5"/>
      <c r="F221" s="5"/>
      <c r="G221" s="4"/>
      <c r="H221" s="13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5"/>
      <c r="C222" s="5"/>
      <c r="D222" s="5"/>
      <c r="E222" s="5"/>
      <c r="F222" s="5"/>
      <c r="G222" s="4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5"/>
      <c r="C223" s="5"/>
      <c r="D223" s="5"/>
      <c r="E223" s="5"/>
      <c r="F223" s="5"/>
      <c r="G223" s="4"/>
      <c r="H223" s="13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5"/>
      <c r="C224" s="5"/>
      <c r="D224" s="5"/>
      <c r="E224" s="5"/>
      <c r="F224" s="5"/>
      <c r="G224" s="4"/>
      <c r="H224" s="13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5"/>
      <c r="C225" s="5"/>
      <c r="D225" s="5"/>
      <c r="E225" s="5"/>
      <c r="F225" s="5"/>
      <c r="G225" s="4"/>
      <c r="H225" s="13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</sheetData>
  <sheetProtection sheet="1" selectLockedCells="1"/>
  <sortState ref="B6:L25">
    <sortCondition descending="1" ref="B6:B25"/>
  </sortState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225"/>
  <sheetViews>
    <sheetView showGridLines="0" tabSelected="1" zoomScaleNormal="100" workbookViewId="0" xr3:uid="{51F8DEE0-4D01-5F28-A812-FC0BD7CAC4A5}">
      <selection activeCell="F5" sqref="F5"/>
    </sheetView>
  </sheetViews>
  <sheetFormatPr defaultRowHeight="14.45"/>
  <cols>
    <col min="1" max="1" width="14.140625" customWidth="1"/>
    <col min="2" max="2" width="24.85546875" customWidth="1"/>
    <col min="3" max="3" width="25.28515625" customWidth="1"/>
    <col min="4" max="4" width="2.85546875" customWidth="1"/>
    <col min="5" max="5" width="28.7109375" customWidth="1"/>
    <col min="6" max="6" width="2.7109375" customWidth="1"/>
    <col min="7" max="7" width="7.85546875" customWidth="1"/>
    <col min="8" max="8" width="2.140625" style="31" customWidth="1"/>
    <col min="9" max="9" width="3" style="55" customWidth="1"/>
    <col min="10" max="10" width="2.28515625" style="55" customWidth="1"/>
    <col min="11" max="11" width="22.5703125" style="1" customWidth="1"/>
    <col min="12" max="12" width="26" style="1" customWidth="1"/>
    <col min="13" max="13" width="2.85546875" style="1" customWidth="1"/>
    <col min="14" max="14" width="27.7109375" style="1" customWidth="1"/>
    <col min="15" max="15" width="3" style="1" customWidth="1"/>
    <col min="16" max="16" width="7.7109375" customWidth="1"/>
    <col min="17" max="17" width="4.140625" style="12" customWidth="1"/>
    <col min="18" max="19" width="8.85546875" style="55"/>
  </cols>
  <sheetData>
    <row r="1" spans="1:19" s="85" customFormat="1" ht="25.15" customHeight="1">
      <c r="A1" s="79" t="s">
        <v>0</v>
      </c>
      <c r="B1" s="80"/>
      <c r="C1" s="79"/>
      <c r="D1" s="81"/>
      <c r="E1" s="81"/>
      <c r="F1" s="81"/>
      <c r="G1" s="81"/>
      <c r="H1" s="82"/>
      <c r="I1" s="83"/>
      <c r="J1" s="83"/>
      <c r="K1" s="99"/>
      <c r="L1" s="84"/>
      <c r="M1" s="84"/>
      <c r="N1" s="84"/>
      <c r="O1" s="84"/>
      <c r="Q1" s="86"/>
      <c r="R1" s="83"/>
      <c r="S1" s="83"/>
    </row>
    <row r="2" spans="1:19" s="85" customFormat="1" ht="25.15" customHeight="1">
      <c r="A2" s="87">
        <f ca="1">TODAY()</f>
        <v>43582</v>
      </c>
      <c r="B2" s="88">
        <f>SUM(H5:H65)/59</f>
        <v>0</v>
      </c>
      <c r="C2" s="89" t="s">
        <v>140</v>
      </c>
      <c r="D2" s="81"/>
      <c r="E2" s="81"/>
      <c r="F2" s="81"/>
      <c r="G2" s="81"/>
      <c r="H2" s="82"/>
      <c r="I2" s="83"/>
      <c r="J2" s="83"/>
      <c r="K2" s="88"/>
      <c r="L2" s="84"/>
      <c r="M2" s="79"/>
      <c r="N2" s="79"/>
      <c r="O2" s="79"/>
      <c r="P2" s="81"/>
      <c r="Q2" s="90"/>
      <c r="R2" s="83"/>
      <c r="S2" s="83"/>
    </row>
    <row r="3" spans="1:19">
      <c r="B3" s="4"/>
      <c r="C3" s="4"/>
      <c r="D3" s="4"/>
      <c r="E3" s="4"/>
      <c r="F3" s="4"/>
      <c r="G3" s="4"/>
      <c r="H3" s="28"/>
      <c r="K3" s="10"/>
      <c r="M3" s="5"/>
      <c r="N3" s="5"/>
      <c r="O3" s="5"/>
      <c r="P3" s="4"/>
      <c r="Q3" s="13"/>
    </row>
    <row r="4" spans="1:19" ht="18" customHeight="1">
      <c r="B4" s="4"/>
      <c r="C4" s="5"/>
      <c r="D4" s="24" t="s">
        <v>141</v>
      </c>
      <c r="E4" s="5"/>
      <c r="F4" s="5"/>
      <c r="G4" s="4"/>
      <c r="H4" s="28"/>
      <c r="K4" s="5"/>
      <c r="L4" s="5"/>
      <c r="N4" s="5"/>
      <c r="O4" s="5"/>
      <c r="P4" s="4"/>
      <c r="Q4" s="13"/>
    </row>
    <row r="5" spans="1:19" ht="18" customHeight="1">
      <c r="B5" s="20">
        <v>1</v>
      </c>
      <c r="C5" s="18" t="str">
        <f>IF(AND($D5="x",$G5="correct")," ",$I5)</f>
        <v>Was I awake?</v>
      </c>
      <c r="D5" s="17"/>
      <c r="E5" s="18" t="str">
        <f>IF(AND($F5="x",$G5="correct")," ",$J5)</f>
        <v>Were I awake?</v>
      </c>
      <c r="F5" s="3"/>
      <c r="G5" s="6" t="str">
        <f t="shared" ref="G5:G43" si="0">IF(AND($D5="",$F5="x"),"correct","")</f>
        <v/>
      </c>
      <c r="H5" s="29">
        <f>IF(G5="correct",1,0)</f>
        <v>0</v>
      </c>
      <c r="I5" s="30" t="s">
        <v>142</v>
      </c>
      <c r="J5" s="30" t="s">
        <v>143</v>
      </c>
    </row>
    <row r="6" spans="1:19" ht="18" customHeight="1">
      <c r="B6" s="20">
        <f>1+B5</f>
        <v>2</v>
      </c>
      <c r="C6" s="18" t="str">
        <f>IF(AND($D6="x",$G6="correct")," ",$I6)</f>
        <v>Was she smart?</v>
      </c>
      <c r="D6" s="17"/>
      <c r="E6" s="18" t="str">
        <f>IF(AND($F6="x",$G6="correct")," ",$J6)</f>
        <v>Were she smart?</v>
      </c>
      <c r="F6" s="3"/>
      <c r="G6" s="6" t="str">
        <f>IF(AND($D6="",$F6="x"),"correct","")</f>
        <v/>
      </c>
      <c r="H6" s="29">
        <f>IF(G6="correct",1,0)</f>
        <v>0</v>
      </c>
      <c r="I6" s="30" t="s">
        <v>5</v>
      </c>
      <c r="J6" s="30" t="s">
        <v>6</v>
      </c>
    </row>
    <row r="7" spans="1:19" ht="18" customHeight="1">
      <c r="B7" s="20">
        <f t="shared" ref="B7:B43" si="1">1+B6</f>
        <v>3</v>
      </c>
      <c r="C7" s="18" t="str">
        <f t="shared" ref="C7:C43" si="2">IF(AND($D7="x",$G7="correct")," ",$I7)</f>
        <v>We be not hot.</v>
      </c>
      <c r="D7" s="17"/>
      <c r="E7" s="18" t="str">
        <f t="shared" ref="E7:E43" si="3">IF(AND($F7="x",$G7="correct")," ",$J7)</f>
        <v>We were not hot.</v>
      </c>
      <c r="F7" s="3"/>
      <c r="G7" s="6" t="str">
        <f>IF(AND($F7="",$D7="x"),"correct","")</f>
        <v/>
      </c>
      <c r="H7" s="29">
        <f t="shared" ref="H7:H27" si="4">IF(G7="correct",1,0)</f>
        <v>0</v>
      </c>
      <c r="I7" s="30" t="s">
        <v>7</v>
      </c>
      <c r="J7" s="30" t="s">
        <v>8</v>
      </c>
    </row>
    <row r="8" spans="1:19" ht="18" customHeight="1">
      <c r="B8" s="20">
        <f t="shared" si="1"/>
        <v>4</v>
      </c>
      <c r="C8" s="18" t="str">
        <f t="shared" si="2"/>
        <v>I was not awake.</v>
      </c>
      <c r="D8" s="17"/>
      <c r="E8" s="18" t="str">
        <f t="shared" si="3"/>
        <v>I were not awake.</v>
      </c>
      <c r="F8" s="3"/>
      <c r="G8" s="6" t="str">
        <f t="shared" si="0"/>
        <v/>
      </c>
      <c r="H8" s="29">
        <f t="shared" si="4"/>
        <v>0</v>
      </c>
      <c r="I8" s="30" t="s">
        <v>144</v>
      </c>
      <c r="J8" s="30" t="s">
        <v>145</v>
      </c>
    </row>
    <row r="9" spans="1:19" ht="18" customHeight="1">
      <c r="B9" s="20">
        <f t="shared" si="1"/>
        <v>5</v>
      </c>
      <c r="C9" s="18" t="str">
        <f t="shared" si="2"/>
        <v>Was they boys?</v>
      </c>
      <c r="D9" s="17"/>
      <c r="E9" s="18" t="str">
        <f t="shared" si="3"/>
        <v>Were they boys?</v>
      </c>
      <c r="F9" s="3"/>
      <c r="G9" s="6" t="str">
        <f>IF(AND($F9="",$D9="x"),"correct","")</f>
        <v/>
      </c>
      <c r="H9" s="29">
        <f t="shared" si="4"/>
        <v>0</v>
      </c>
      <c r="I9" s="30" t="s">
        <v>146</v>
      </c>
      <c r="J9" s="30" t="s">
        <v>147</v>
      </c>
    </row>
    <row r="10" spans="1:19" ht="18" customHeight="1">
      <c r="B10" s="20">
        <f t="shared" si="1"/>
        <v>6</v>
      </c>
      <c r="C10" s="18" t="str">
        <f t="shared" si="2"/>
        <v>Were they here?</v>
      </c>
      <c r="D10" s="17"/>
      <c r="E10" s="18" t="str">
        <f t="shared" si="3"/>
        <v>Was they here?</v>
      </c>
      <c r="F10" s="3"/>
      <c r="G10" s="6" t="str">
        <f t="shared" si="0"/>
        <v/>
      </c>
      <c r="H10" s="29">
        <f t="shared" si="4"/>
        <v>0</v>
      </c>
      <c r="I10" s="30" t="s">
        <v>12</v>
      </c>
      <c r="J10" s="30" t="s">
        <v>11</v>
      </c>
    </row>
    <row r="11" spans="1:19" ht="18" customHeight="1">
      <c r="B11" s="20">
        <f t="shared" si="1"/>
        <v>7</v>
      </c>
      <c r="C11" s="18" t="str">
        <f t="shared" si="2"/>
        <v>Were you tired?</v>
      </c>
      <c r="D11" s="17"/>
      <c r="E11" s="18" t="str">
        <f t="shared" si="3"/>
        <v>Was you tired?</v>
      </c>
      <c r="F11" s="3"/>
      <c r="G11" s="6" t="str">
        <f t="shared" si="0"/>
        <v/>
      </c>
      <c r="H11" s="29">
        <f t="shared" si="4"/>
        <v>0</v>
      </c>
      <c r="I11" s="30" t="s">
        <v>13</v>
      </c>
      <c r="J11" s="30" t="s">
        <v>14</v>
      </c>
    </row>
    <row r="12" spans="1:19" ht="18" customHeight="1">
      <c r="B12" s="20">
        <f t="shared" si="1"/>
        <v>8</v>
      </c>
      <c r="C12" s="18" t="str">
        <f t="shared" si="2"/>
        <v>Were he strong?</v>
      </c>
      <c r="D12" s="17"/>
      <c r="E12" s="18" t="str">
        <f t="shared" si="3"/>
        <v>Was he strong?</v>
      </c>
      <c r="F12" s="3"/>
      <c r="G12" s="6" t="str">
        <f>IF(AND($F12="",$D12="x"),"correct","")</f>
        <v/>
      </c>
      <c r="H12" s="29">
        <f t="shared" si="4"/>
        <v>0</v>
      </c>
      <c r="I12" s="30" t="s">
        <v>15</v>
      </c>
      <c r="J12" s="30" t="s">
        <v>16</v>
      </c>
    </row>
    <row r="13" spans="1:19" ht="18" customHeight="1">
      <c r="B13" s="20">
        <f t="shared" si="1"/>
        <v>9</v>
      </c>
      <c r="C13" s="18" t="str">
        <f t="shared" si="2"/>
        <v>He was not ready.</v>
      </c>
      <c r="D13" s="17"/>
      <c r="E13" s="18" t="str">
        <f t="shared" si="3"/>
        <v>He were not ready.</v>
      </c>
      <c r="F13" s="3"/>
      <c r="G13" s="6" t="str">
        <f t="shared" si="0"/>
        <v/>
      </c>
      <c r="H13" s="29">
        <f t="shared" si="4"/>
        <v>0</v>
      </c>
      <c r="I13" s="30" t="s">
        <v>17</v>
      </c>
      <c r="J13" s="30" t="s">
        <v>18</v>
      </c>
    </row>
    <row r="14" spans="1:19" ht="18" customHeight="1">
      <c r="B14" s="20">
        <f t="shared" si="1"/>
        <v>10</v>
      </c>
      <c r="C14" s="18" t="str">
        <f t="shared" si="2"/>
        <v>Were they here?</v>
      </c>
      <c r="D14" s="17"/>
      <c r="E14" s="18" t="str">
        <f t="shared" si="3"/>
        <v>Was they here?</v>
      </c>
      <c r="F14" s="3"/>
      <c r="G14" s="6" t="str">
        <f t="shared" si="0"/>
        <v/>
      </c>
      <c r="H14" s="29">
        <f t="shared" si="4"/>
        <v>0</v>
      </c>
      <c r="I14" s="30" t="s">
        <v>12</v>
      </c>
      <c r="J14" s="30" t="s">
        <v>11</v>
      </c>
    </row>
    <row r="15" spans="1:19" ht="18" customHeight="1">
      <c r="B15" s="20">
        <f t="shared" si="1"/>
        <v>11</v>
      </c>
      <c r="C15" s="18" t="str">
        <f t="shared" si="2"/>
        <v>You was not funny.</v>
      </c>
      <c r="D15" s="17"/>
      <c r="E15" s="18" t="str">
        <f t="shared" si="3"/>
        <v>You were not funny.</v>
      </c>
      <c r="F15" s="3"/>
      <c r="G15" s="6" t="str">
        <f>IF(AND($F15="",$D15="x"),"correct","")</f>
        <v/>
      </c>
      <c r="H15" s="29">
        <f t="shared" si="4"/>
        <v>0</v>
      </c>
      <c r="I15" s="30" t="s">
        <v>19</v>
      </c>
      <c r="J15" s="30" t="s">
        <v>20</v>
      </c>
    </row>
    <row r="16" spans="1:19" ht="18" customHeight="1">
      <c r="B16" s="20">
        <f t="shared" si="1"/>
        <v>12</v>
      </c>
      <c r="C16" s="18" t="str">
        <f t="shared" si="2"/>
        <v>They was in school.</v>
      </c>
      <c r="D16" s="17"/>
      <c r="E16" s="18" t="str">
        <f t="shared" si="3"/>
        <v>They were in school.</v>
      </c>
      <c r="F16" s="3"/>
      <c r="G16" s="6" t="str">
        <f>IF(AND($F16="",$D16="x"),"correct","")</f>
        <v/>
      </c>
      <c r="H16" s="29">
        <f t="shared" si="4"/>
        <v>0</v>
      </c>
      <c r="I16" s="30" t="s">
        <v>148</v>
      </c>
      <c r="J16" s="30" t="s">
        <v>149</v>
      </c>
    </row>
    <row r="17" spans="2:19" ht="18" customHeight="1">
      <c r="B17" s="20">
        <f t="shared" si="1"/>
        <v>13</v>
      </c>
      <c r="C17" s="18" t="str">
        <f t="shared" si="2"/>
        <v>It was near here.</v>
      </c>
      <c r="D17" s="17"/>
      <c r="E17" s="18" t="str">
        <f t="shared" si="3"/>
        <v>It be near here.</v>
      </c>
      <c r="F17" s="3"/>
      <c r="G17" s="6" t="str">
        <f t="shared" si="0"/>
        <v/>
      </c>
      <c r="H17" s="29">
        <f t="shared" si="4"/>
        <v>0</v>
      </c>
      <c r="I17" s="30" t="s">
        <v>23</v>
      </c>
      <c r="J17" s="30" t="s">
        <v>24</v>
      </c>
    </row>
    <row r="18" spans="2:19" ht="18" customHeight="1">
      <c r="B18" s="20">
        <f t="shared" si="1"/>
        <v>14</v>
      </c>
      <c r="C18" s="18" t="str">
        <f t="shared" si="2"/>
        <v>I were right.</v>
      </c>
      <c r="D18" s="17"/>
      <c r="E18" s="18" t="str">
        <f t="shared" si="3"/>
        <v>I was right.</v>
      </c>
      <c r="F18" s="3"/>
      <c r="G18" s="6" t="str">
        <f>IF(AND($F18="",$D18="x"),"correct","")</f>
        <v/>
      </c>
      <c r="H18" s="29">
        <f t="shared" si="4"/>
        <v>0</v>
      </c>
      <c r="I18" s="30" t="s">
        <v>150</v>
      </c>
      <c r="J18" s="30" t="s">
        <v>151</v>
      </c>
    </row>
    <row r="19" spans="2:19" ht="18" customHeight="1">
      <c r="B19" s="20">
        <f t="shared" si="1"/>
        <v>15</v>
      </c>
      <c r="C19" s="18" t="str">
        <f t="shared" si="2"/>
        <v>Were I late?</v>
      </c>
      <c r="D19" s="17"/>
      <c r="E19" s="18" t="str">
        <f t="shared" si="3"/>
        <v>Was I late?</v>
      </c>
      <c r="F19" s="3"/>
      <c r="G19" s="6" t="str">
        <f>IF(AND($F19="",$D19="x"),"correct","")</f>
        <v/>
      </c>
      <c r="H19" s="29">
        <f t="shared" si="4"/>
        <v>0</v>
      </c>
      <c r="I19" s="30" t="s">
        <v>27</v>
      </c>
      <c r="J19" s="30" t="s">
        <v>28</v>
      </c>
    </row>
    <row r="20" spans="2:19" ht="18" customHeight="1">
      <c r="B20" s="20">
        <f t="shared" si="1"/>
        <v>16</v>
      </c>
      <c r="C20" s="18" t="str">
        <f t="shared" si="2"/>
        <v>We were not hot.</v>
      </c>
      <c r="D20" s="17"/>
      <c r="E20" s="18" t="str">
        <f t="shared" si="3"/>
        <v>We was not hot.</v>
      </c>
      <c r="F20" s="3"/>
      <c r="G20" s="6" t="str">
        <f t="shared" si="0"/>
        <v/>
      </c>
      <c r="H20" s="29">
        <f t="shared" si="4"/>
        <v>0</v>
      </c>
      <c r="I20" s="30" t="s">
        <v>8</v>
      </c>
      <c r="J20" s="30" t="s">
        <v>29</v>
      </c>
      <c r="S20" s="55" t="s">
        <v>115</v>
      </c>
    </row>
    <row r="21" spans="2:19" ht="18" customHeight="1">
      <c r="B21" s="20">
        <f t="shared" si="1"/>
        <v>17</v>
      </c>
      <c r="C21" s="18" t="str">
        <f t="shared" si="2"/>
        <v>Be it cooked?</v>
      </c>
      <c r="D21" s="17"/>
      <c r="E21" s="18" t="str">
        <f t="shared" si="3"/>
        <v>Was it cooked?</v>
      </c>
      <c r="F21" s="3"/>
      <c r="G21" s="6" t="str">
        <f t="shared" ref="G21:G26" si="5">IF(AND($F21="",$D21="x"),"correct","")</f>
        <v/>
      </c>
      <c r="H21" s="29">
        <f t="shared" si="4"/>
        <v>0</v>
      </c>
      <c r="I21" s="30" t="s">
        <v>152</v>
      </c>
      <c r="J21" s="30" t="s">
        <v>153</v>
      </c>
    </row>
    <row r="22" spans="2:19" ht="18" customHeight="1">
      <c r="B22" s="20">
        <f t="shared" si="1"/>
        <v>18</v>
      </c>
      <c r="C22" s="18" t="str">
        <f t="shared" si="2"/>
        <v>Was we early?</v>
      </c>
      <c r="D22" s="17"/>
      <c r="E22" s="18" t="str">
        <f t="shared" si="3"/>
        <v>Were we early?</v>
      </c>
      <c r="F22" s="3"/>
      <c r="G22" s="6" t="str">
        <f t="shared" si="5"/>
        <v/>
      </c>
      <c r="H22" s="29">
        <f t="shared" si="4"/>
        <v>0</v>
      </c>
      <c r="I22" s="30" t="s">
        <v>154</v>
      </c>
      <c r="J22" s="30" t="s">
        <v>155</v>
      </c>
    </row>
    <row r="23" spans="2:19" ht="18" customHeight="1">
      <c r="B23" s="20">
        <f t="shared" si="1"/>
        <v>19</v>
      </c>
      <c r="C23" s="18" t="str">
        <f t="shared" si="2"/>
        <v>Was they cold?</v>
      </c>
      <c r="D23" s="17"/>
      <c r="E23" s="18" t="str">
        <f t="shared" si="3"/>
        <v>Was it cold?</v>
      </c>
      <c r="F23" s="3"/>
      <c r="G23" s="6" t="str">
        <f t="shared" si="5"/>
        <v/>
      </c>
      <c r="H23" s="29">
        <f t="shared" si="4"/>
        <v>0</v>
      </c>
      <c r="I23" s="30" t="s">
        <v>156</v>
      </c>
      <c r="J23" s="30" t="s">
        <v>31</v>
      </c>
    </row>
    <row r="24" spans="2:19" ht="18" customHeight="1">
      <c r="B24" s="20">
        <f t="shared" si="1"/>
        <v>20</v>
      </c>
      <c r="C24" s="18" t="str">
        <f t="shared" si="2"/>
        <v>He were not ready.</v>
      </c>
      <c r="D24" s="17"/>
      <c r="E24" s="18" t="str">
        <f t="shared" si="3"/>
        <v>He was not ready.</v>
      </c>
      <c r="F24" s="3"/>
      <c r="G24" s="6" t="str">
        <f t="shared" si="5"/>
        <v/>
      </c>
      <c r="H24" s="29">
        <f t="shared" si="4"/>
        <v>0</v>
      </c>
      <c r="I24" s="30" t="s">
        <v>18</v>
      </c>
      <c r="J24" s="30" t="s">
        <v>17</v>
      </c>
    </row>
    <row r="25" spans="2:19" ht="18" customHeight="1">
      <c r="B25" s="20">
        <f t="shared" si="1"/>
        <v>21</v>
      </c>
      <c r="C25" s="18" t="str">
        <f t="shared" si="2"/>
        <v>She was funny.</v>
      </c>
      <c r="D25" s="17"/>
      <c r="E25" s="18" t="str">
        <f t="shared" si="3"/>
        <v>She were funny.</v>
      </c>
      <c r="F25" s="3"/>
      <c r="G25" s="6" t="str">
        <f t="shared" si="0"/>
        <v/>
      </c>
      <c r="H25" s="29">
        <f t="shared" si="4"/>
        <v>0</v>
      </c>
      <c r="I25" s="30" t="s">
        <v>35</v>
      </c>
      <c r="J25" s="30" t="s">
        <v>36</v>
      </c>
    </row>
    <row r="26" spans="2:19" ht="18" customHeight="1">
      <c r="B26" s="20">
        <f t="shared" si="1"/>
        <v>22</v>
      </c>
      <c r="C26" s="18" t="str">
        <f t="shared" si="2"/>
        <v>I be not tired.</v>
      </c>
      <c r="D26" s="17"/>
      <c r="E26" s="18" t="str">
        <f t="shared" si="3"/>
        <v>I was not tired.</v>
      </c>
      <c r="F26" s="3"/>
      <c r="G26" s="6" t="str">
        <f t="shared" si="5"/>
        <v/>
      </c>
      <c r="H26" s="29">
        <f t="shared" si="4"/>
        <v>0</v>
      </c>
      <c r="I26" s="30" t="s">
        <v>37</v>
      </c>
      <c r="J26" s="30" t="s">
        <v>38</v>
      </c>
    </row>
    <row r="27" spans="2:19" ht="18" customHeight="1">
      <c r="B27" s="20">
        <f t="shared" si="1"/>
        <v>23</v>
      </c>
      <c r="C27" s="18" t="str">
        <f t="shared" si="2"/>
        <v>You were happy.</v>
      </c>
      <c r="D27" s="17"/>
      <c r="E27" s="18" t="str">
        <f t="shared" si="3"/>
        <v>You was happy.</v>
      </c>
      <c r="F27" s="3"/>
      <c r="G27" s="6" t="str">
        <f t="shared" si="0"/>
        <v/>
      </c>
      <c r="H27" s="29">
        <f t="shared" si="4"/>
        <v>0</v>
      </c>
      <c r="I27" s="30" t="s">
        <v>39</v>
      </c>
      <c r="J27" s="30" t="s">
        <v>40</v>
      </c>
    </row>
    <row r="28" spans="2:19" ht="18" customHeight="1">
      <c r="B28" s="20">
        <f t="shared" si="1"/>
        <v>24</v>
      </c>
      <c r="C28" s="18" t="str">
        <f t="shared" si="2"/>
        <v>It was nice.</v>
      </c>
      <c r="D28" s="17"/>
      <c r="E28" s="18" t="str">
        <f t="shared" si="3"/>
        <v>It were nice.</v>
      </c>
      <c r="F28" s="3"/>
      <c r="G28" s="6" t="str">
        <f t="shared" si="0"/>
        <v/>
      </c>
      <c r="H28" s="29">
        <f t="shared" ref="H28:H43" si="6">IF(G28="correct",1,0)</f>
        <v>0</v>
      </c>
      <c r="I28" s="30" t="s">
        <v>43</v>
      </c>
      <c r="J28" s="30" t="s">
        <v>44</v>
      </c>
    </row>
    <row r="29" spans="2:19" ht="18" customHeight="1">
      <c r="B29" s="20">
        <f t="shared" si="1"/>
        <v>25</v>
      </c>
      <c r="C29" s="18" t="str">
        <f t="shared" si="2"/>
        <v>Was I awake?</v>
      </c>
      <c r="D29" s="17"/>
      <c r="E29" s="18" t="str">
        <f t="shared" si="3"/>
        <v>I was awake?</v>
      </c>
      <c r="F29" s="3"/>
      <c r="G29" s="6" t="str">
        <f t="shared" si="0"/>
        <v/>
      </c>
      <c r="H29" s="29">
        <f t="shared" si="6"/>
        <v>0</v>
      </c>
      <c r="I29" s="30" t="s">
        <v>142</v>
      </c>
      <c r="J29" s="30" t="s">
        <v>157</v>
      </c>
    </row>
    <row r="30" spans="2:19" ht="18" customHeight="1">
      <c r="B30" s="20">
        <f t="shared" si="1"/>
        <v>26</v>
      </c>
      <c r="C30" s="18" t="str">
        <f t="shared" si="2"/>
        <v>Was she in the hospital?</v>
      </c>
      <c r="D30" s="17"/>
      <c r="E30" s="18" t="str">
        <f t="shared" si="3"/>
        <v>Was they in the hospital?</v>
      </c>
      <c r="F30" s="3"/>
      <c r="G30" s="6" t="str">
        <f t="shared" si="0"/>
        <v/>
      </c>
      <c r="H30" s="29">
        <f t="shared" si="6"/>
        <v>0</v>
      </c>
      <c r="I30" s="30" t="s">
        <v>48</v>
      </c>
      <c r="J30" s="30" t="s">
        <v>158</v>
      </c>
    </row>
    <row r="31" spans="2:19" ht="18" customHeight="1">
      <c r="B31" s="20">
        <f t="shared" si="1"/>
        <v>27</v>
      </c>
      <c r="C31" s="18" t="str">
        <f t="shared" si="2"/>
        <v>Was they pencils?</v>
      </c>
      <c r="D31" s="17"/>
      <c r="E31" s="18" t="str">
        <f t="shared" si="3"/>
        <v>Were they pencils?</v>
      </c>
      <c r="F31" s="3"/>
      <c r="G31" s="6" t="str">
        <f>IF(AND($F31="",$D31="x"),"correct","")</f>
        <v/>
      </c>
      <c r="H31" s="29">
        <f t="shared" si="6"/>
        <v>0</v>
      </c>
      <c r="I31" s="30" t="s">
        <v>159</v>
      </c>
      <c r="J31" s="30" t="s">
        <v>52</v>
      </c>
    </row>
    <row r="32" spans="2:19" ht="18" customHeight="1">
      <c r="B32" s="20">
        <f t="shared" si="1"/>
        <v>28</v>
      </c>
      <c r="C32" s="18" t="str">
        <f t="shared" si="2"/>
        <v>They tired.</v>
      </c>
      <c r="D32" s="17"/>
      <c r="E32" s="18" t="str">
        <f t="shared" si="3"/>
        <v>They were tired.</v>
      </c>
      <c r="F32" s="3"/>
      <c r="G32" s="6" t="str">
        <f>IF(AND($F32="",$D32="x"),"correct","")</f>
        <v/>
      </c>
      <c r="H32" s="29">
        <f t="shared" si="6"/>
        <v>0</v>
      </c>
      <c r="I32" s="30" t="s">
        <v>54</v>
      </c>
      <c r="J32" s="30" t="s">
        <v>55</v>
      </c>
    </row>
    <row r="33" spans="1:18" ht="18" customHeight="1">
      <c r="B33" s="20">
        <f t="shared" si="1"/>
        <v>29</v>
      </c>
      <c r="C33" s="18" t="str">
        <f t="shared" si="2"/>
        <v>Was late?</v>
      </c>
      <c r="D33" s="17"/>
      <c r="E33" s="18" t="str">
        <f t="shared" si="3"/>
        <v>Was it late?</v>
      </c>
      <c r="F33" s="3"/>
      <c r="G33" s="6" t="str">
        <f>IF(AND($F33="",$D33="x"),"correct","")</f>
        <v/>
      </c>
      <c r="H33" s="29">
        <f t="shared" si="6"/>
        <v>0</v>
      </c>
      <c r="I33" s="30" t="s">
        <v>57</v>
      </c>
      <c r="J33" s="30" t="s">
        <v>58</v>
      </c>
    </row>
    <row r="34" spans="1:18" ht="18" customHeight="1">
      <c r="B34" s="20">
        <f t="shared" si="1"/>
        <v>30</v>
      </c>
      <c r="C34" s="18" t="str">
        <f t="shared" si="2"/>
        <v>You were a good person.</v>
      </c>
      <c r="D34" s="17"/>
      <c r="E34" s="18" t="str">
        <f t="shared" si="3"/>
        <v>You was a good person.</v>
      </c>
      <c r="F34" s="3"/>
      <c r="G34" s="6" t="str">
        <f t="shared" si="0"/>
        <v/>
      </c>
      <c r="H34" s="29">
        <f t="shared" si="6"/>
        <v>0</v>
      </c>
      <c r="I34" s="30" t="s">
        <v>60</v>
      </c>
      <c r="J34" s="30" t="s">
        <v>61</v>
      </c>
    </row>
    <row r="35" spans="1:18" ht="18" customHeight="1">
      <c r="B35" s="20">
        <f t="shared" si="1"/>
        <v>31</v>
      </c>
      <c r="C35" s="18" t="str">
        <f t="shared" si="2"/>
        <v>Was it a truck.</v>
      </c>
      <c r="D35" s="17"/>
      <c r="E35" s="18" t="str">
        <f t="shared" si="3"/>
        <v>It was a truck.</v>
      </c>
      <c r="F35" s="3"/>
      <c r="G35" s="6" t="str">
        <f>IF(AND($F35="",$D35="x"),"correct","")</f>
        <v/>
      </c>
      <c r="H35" s="29">
        <f t="shared" si="6"/>
        <v>0</v>
      </c>
      <c r="I35" s="30" t="s">
        <v>160</v>
      </c>
      <c r="J35" s="30" t="s">
        <v>161</v>
      </c>
    </row>
    <row r="36" spans="1:18" ht="18" customHeight="1">
      <c r="B36" s="20">
        <f t="shared" si="1"/>
        <v>32</v>
      </c>
      <c r="C36" s="18" t="str">
        <f t="shared" si="2"/>
        <v>Was cold outside?</v>
      </c>
      <c r="D36" s="17"/>
      <c r="E36" s="18" t="str">
        <f t="shared" si="3"/>
        <v>Was it cold outside?</v>
      </c>
      <c r="F36" s="3"/>
      <c r="G36" s="6" t="str">
        <f>IF(AND($F36="",$D36="x"),"correct","")</f>
        <v/>
      </c>
      <c r="H36" s="29">
        <f t="shared" si="6"/>
        <v>0</v>
      </c>
      <c r="I36" s="30" t="s">
        <v>66</v>
      </c>
      <c r="J36" s="30" t="s">
        <v>67</v>
      </c>
    </row>
    <row r="37" spans="1:18" ht="18" customHeight="1">
      <c r="B37" s="20">
        <f t="shared" si="1"/>
        <v>33</v>
      </c>
      <c r="C37" s="18" t="str">
        <f t="shared" si="2"/>
        <v>Was she hungry?</v>
      </c>
      <c r="D37" s="17"/>
      <c r="E37" s="18" t="str">
        <f t="shared" si="3"/>
        <v>She was hungry?</v>
      </c>
      <c r="F37" s="3"/>
      <c r="G37" s="6" t="str">
        <f t="shared" si="0"/>
        <v/>
      </c>
      <c r="H37" s="29">
        <f t="shared" si="6"/>
        <v>0</v>
      </c>
      <c r="I37" s="30" t="s">
        <v>69</v>
      </c>
      <c r="J37" s="30" t="s">
        <v>70</v>
      </c>
    </row>
    <row r="38" spans="1:18" ht="18" customHeight="1">
      <c r="B38" s="20">
        <f t="shared" si="1"/>
        <v>34</v>
      </c>
      <c r="C38" s="18" t="str">
        <f t="shared" si="2"/>
        <v>They were there.</v>
      </c>
      <c r="D38" s="17"/>
      <c r="E38" s="18" t="str">
        <f t="shared" si="3"/>
        <v>Were they there.</v>
      </c>
      <c r="F38" s="3"/>
      <c r="G38" s="6" t="str">
        <f t="shared" si="0"/>
        <v/>
      </c>
      <c r="H38" s="29">
        <f t="shared" si="6"/>
        <v>0</v>
      </c>
      <c r="I38" s="30" t="s">
        <v>162</v>
      </c>
      <c r="J38" s="30" t="s">
        <v>163</v>
      </c>
    </row>
    <row r="39" spans="1:18" ht="18" customHeight="1">
      <c r="B39" s="20">
        <f t="shared" si="1"/>
        <v>35</v>
      </c>
      <c r="C39" s="18" t="str">
        <f t="shared" si="2"/>
        <v>He was angry?</v>
      </c>
      <c r="D39" s="17"/>
      <c r="E39" s="18" t="str">
        <f t="shared" si="3"/>
        <v>Was he angry?</v>
      </c>
      <c r="F39" s="3"/>
      <c r="G39" s="6" t="str">
        <f>IF(AND($F39="",$D39="x"),"correct","")</f>
        <v/>
      </c>
      <c r="H39" s="29">
        <f t="shared" si="6"/>
        <v>0</v>
      </c>
      <c r="I39" s="30" t="s">
        <v>75</v>
      </c>
      <c r="J39" s="30" t="s">
        <v>76</v>
      </c>
    </row>
    <row r="40" spans="1:18" ht="18" customHeight="1">
      <c r="B40" s="20">
        <f t="shared" si="1"/>
        <v>36</v>
      </c>
      <c r="C40" s="18" t="str">
        <f t="shared" si="2"/>
        <v>It near the lake?</v>
      </c>
      <c r="D40" s="17"/>
      <c r="E40" s="18" t="str">
        <f t="shared" si="3"/>
        <v>Was it near the lake?</v>
      </c>
      <c r="F40" s="3"/>
      <c r="G40" s="6" t="str">
        <f>IF(AND($F40="",$D40="x"),"correct","")</f>
        <v/>
      </c>
      <c r="H40" s="29">
        <f t="shared" si="6"/>
        <v>0</v>
      </c>
      <c r="I40" s="30" t="s">
        <v>78</v>
      </c>
      <c r="J40" s="30" t="s">
        <v>79</v>
      </c>
    </row>
    <row r="41" spans="1:18" ht="18" customHeight="1">
      <c r="B41" s="20">
        <f t="shared" si="1"/>
        <v>37</v>
      </c>
      <c r="C41" s="18" t="str">
        <f t="shared" si="2"/>
        <v>He was not tired.</v>
      </c>
      <c r="D41" s="17"/>
      <c r="E41" s="18" t="str">
        <f t="shared" si="3"/>
        <v>He not was tired.</v>
      </c>
      <c r="F41" s="3"/>
      <c r="G41" s="6" t="str">
        <f t="shared" si="0"/>
        <v/>
      </c>
      <c r="H41" s="29">
        <f t="shared" si="6"/>
        <v>0</v>
      </c>
      <c r="I41" s="30" t="s">
        <v>81</v>
      </c>
      <c r="J41" s="30" t="s">
        <v>82</v>
      </c>
    </row>
    <row r="42" spans="1:18" ht="18" customHeight="1">
      <c r="B42" s="20">
        <f t="shared" si="1"/>
        <v>38</v>
      </c>
      <c r="C42" s="18" t="str">
        <f t="shared" si="2"/>
        <v>They no were students.</v>
      </c>
      <c r="D42" s="17"/>
      <c r="E42" s="18" t="str">
        <f t="shared" si="3"/>
        <v>They were not students.</v>
      </c>
      <c r="F42" s="3"/>
      <c r="G42" s="6" t="str">
        <f>IF(AND($F42="",$D42="x"),"correct","")</f>
        <v/>
      </c>
      <c r="H42" s="29">
        <f t="shared" si="6"/>
        <v>0</v>
      </c>
      <c r="I42" s="30" t="s">
        <v>84</v>
      </c>
      <c r="J42" s="30" t="s">
        <v>85</v>
      </c>
    </row>
    <row r="43" spans="1:18" ht="18" customHeight="1">
      <c r="B43" s="20">
        <f t="shared" si="1"/>
        <v>39</v>
      </c>
      <c r="C43" s="18" t="str">
        <f t="shared" si="2"/>
        <v>They were not in the box.</v>
      </c>
      <c r="D43" s="17"/>
      <c r="E43" s="18" t="str">
        <f t="shared" si="3"/>
        <v>They were no in the box.</v>
      </c>
      <c r="F43" s="3"/>
      <c r="G43" s="6" t="str">
        <f t="shared" si="0"/>
        <v/>
      </c>
      <c r="H43" s="29">
        <f t="shared" si="6"/>
        <v>0</v>
      </c>
      <c r="I43" s="30" t="s">
        <v>87</v>
      </c>
      <c r="J43" s="30" t="s">
        <v>88</v>
      </c>
    </row>
    <row r="44" spans="1:18" ht="18" customHeight="1">
      <c r="A44" s="4"/>
      <c r="B44" s="20"/>
      <c r="C44" s="32"/>
      <c r="D44" s="62" t="s">
        <v>141</v>
      </c>
      <c r="E44" s="32"/>
      <c r="F44" s="51"/>
      <c r="G44" s="33"/>
      <c r="H44" s="29"/>
      <c r="I44" s="100"/>
      <c r="J44" s="100"/>
      <c r="K44" s="5"/>
    </row>
    <row r="45" spans="1:18" ht="18" customHeight="1" thickBot="1">
      <c r="A45" s="4"/>
      <c r="B45" s="63" t="s">
        <v>90</v>
      </c>
      <c r="C45" s="64" t="s">
        <v>91</v>
      </c>
      <c r="D45" s="101"/>
      <c r="E45" s="64" t="s">
        <v>92</v>
      </c>
      <c r="F45" s="102"/>
      <c r="G45" s="6"/>
      <c r="H45" s="14"/>
      <c r="I45" s="100"/>
      <c r="J45" s="100"/>
      <c r="K45" s="4"/>
      <c r="L45"/>
      <c r="M45"/>
      <c r="N45"/>
      <c r="O45"/>
      <c r="Q45"/>
      <c r="R45"/>
    </row>
    <row r="46" spans="1:18" ht="18" customHeight="1" thickBot="1">
      <c r="A46" s="7">
        <v>40</v>
      </c>
      <c r="B46" s="44" t="s">
        <v>93</v>
      </c>
      <c r="C46" s="48" t="str">
        <f t="shared" ref="C46:C55" si="7">IF(AND($D46="x",$G46="correct")," ",$I46)</f>
        <v>Yes, you were a student.</v>
      </c>
      <c r="D46" s="45"/>
      <c r="E46" s="48" t="str">
        <f t="shared" ref="E46:E55" si="8">IF(AND($F46="x",$G46="correct")," ",$J46)</f>
        <v>Yes, I was a student.</v>
      </c>
      <c r="F46" s="2"/>
      <c r="G46" s="6" t="str">
        <f>IF(AND($F46="",$D46="x"),"correct","")</f>
        <v/>
      </c>
      <c r="H46" s="14">
        <f t="shared" ref="H46:H65" si="9">IF(G46="correct",1,0)</f>
        <v>0</v>
      </c>
      <c r="I46" s="11" t="s">
        <v>94</v>
      </c>
      <c r="J46" s="11" t="s">
        <v>95</v>
      </c>
      <c r="K46"/>
      <c r="L46"/>
      <c r="M46"/>
      <c r="N46"/>
      <c r="O46"/>
      <c r="Q46"/>
      <c r="R46"/>
    </row>
    <row r="47" spans="1:18" ht="18" customHeight="1" thickBot="1">
      <c r="A47" s="7">
        <f>1+A46</f>
        <v>41</v>
      </c>
      <c r="B47" s="44" t="s">
        <v>3</v>
      </c>
      <c r="C47" s="49" t="str">
        <f t="shared" si="7"/>
        <v>Yes, you was next.</v>
      </c>
      <c r="D47" s="43"/>
      <c r="E47" s="48" t="str">
        <f t="shared" si="8"/>
        <v>Yes, you were next.</v>
      </c>
      <c r="F47" s="3"/>
      <c r="G47" s="6" t="str">
        <f>IF(AND($F47="",$D47="x"),"correct","")</f>
        <v/>
      </c>
      <c r="H47" s="14">
        <f t="shared" si="9"/>
        <v>0</v>
      </c>
      <c r="I47" s="11" t="s">
        <v>96</v>
      </c>
      <c r="J47" s="11" t="s">
        <v>97</v>
      </c>
      <c r="K47"/>
      <c r="L47"/>
      <c r="M47"/>
      <c r="N47"/>
      <c r="O47"/>
      <c r="Q47"/>
      <c r="R47"/>
    </row>
    <row r="48" spans="1:18" ht="18" customHeight="1" thickBot="1">
      <c r="A48" s="7">
        <f t="shared" ref="A48:A65" si="10">1+A47</f>
        <v>42</v>
      </c>
      <c r="B48" s="42" t="s">
        <v>98</v>
      </c>
      <c r="C48" s="49" t="str">
        <f t="shared" si="7"/>
        <v>Yes, she was from Africa.</v>
      </c>
      <c r="D48" s="43"/>
      <c r="E48" s="48" t="str">
        <f t="shared" si="8"/>
        <v>Yes, was from Africa.</v>
      </c>
      <c r="F48" s="3"/>
      <c r="G48" s="6" t="str">
        <f>IF(AND($D48="",$F48="x"),"correct","")</f>
        <v/>
      </c>
      <c r="H48" s="14">
        <f t="shared" si="9"/>
        <v>0</v>
      </c>
      <c r="I48" s="11" t="s">
        <v>99</v>
      </c>
      <c r="J48" s="11" t="s">
        <v>100</v>
      </c>
      <c r="K48"/>
      <c r="L48"/>
      <c r="M48"/>
      <c r="N48"/>
      <c r="O48"/>
      <c r="Q48"/>
      <c r="R48"/>
    </row>
    <row r="49" spans="1:19" ht="18" customHeight="1" thickBot="1">
      <c r="A49" s="7">
        <f t="shared" si="10"/>
        <v>43</v>
      </c>
      <c r="B49" s="42" t="s">
        <v>3</v>
      </c>
      <c r="C49" s="49" t="str">
        <f t="shared" si="7"/>
        <v>Yes, you were next.</v>
      </c>
      <c r="D49" s="43"/>
      <c r="E49" s="48" t="str">
        <f t="shared" si="8"/>
        <v>Yes, I was next.</v>
      </c>
      <c r="F49" s="3"/>
      <c r="G49" s="6" t="str">
        <f>IF(AND($D49="",$F49="x"),"correct","")</f>
        <v/>
      </c>
      <c r="H49" s="14">
        <f t="shared" si="9"/>
        <v>0</v>
      </c>
      <c r="I49" s="11" t="s">
        <v>97</v>
      </c>
      <c r="J49" s="11" t="s">
        <v>101</v>
      </c>
      <c r="K49"/>
      <c r="L49"/>
      <c r="M49"/>
      <c r="N49"/>
      <c r="O49"/>
      <c r="Q49"/>
      <c r="R49"/>
    </row>
    <row r="50" spans="1:19" ht="18" customHeight="1" thickBot="1">
      <c r="A50" s="7">
        <f t="shared" si="10"/>
        <v>44</v>
      </c>
      <c r="B50" s="42" t="s">
        <v>12</v>
      </c>
      <c r="C50" s="49" t="str">
        <f t="shared" si="7"/>
        <v>No, they were not here.</v>
      </c>
      <c r="D50" s="43"/>
      <c r="E50" s="48" t="str">
        <f t="shared" si="8"/>
        <v>No, they not here.</v>
      </c>
      <c r="F50" s="3"/>
      <c r="G50" s="6" t="str">
        <f>IF(AND($D50="",$F50="x"),"correct","")</f>
        <v/>
      </c>
      <c r="H50" s="14">
        <f t="shared" si="9"/>
        <v>0</v>
      </c>
      <c r="I50" s="11" t="s">
        <v>102</v>
      </c>
      <c r="J50" s="11" t="s">
        <v>103</v>
      </c>
      <c r="K50"/>
      <c r="L50"/>
      <c r="M50"/>
      <c r="N50"/>
      <c r="O50"/>
      <c r="Q50"/>
      <c r="R50"/>
    </row>
    <row r="51" spans="1:19" ht="18" customHeight="1" thickBot="1">
      <c r="A51" s="7">
        <f t="shared" si="10"/>
        <v>45</v>
      </c>
      <c r="B51" s="44" t="s">
        <v>104</v>
      </c>
      <c r="C51" s="49" t="str">
        <f t="shared" si="7"/>
        <v>No, it was not in the box.</v>
      </c>
      <c r="D51" s="43"/>
      <c r="E51" s="48" t="str">
        <f t="shared" si="8"/>
        <v>No, they were not in the box.</v>
      </c>
      <c r="F51" s="3"/>
      <c r="G51" s="6" t="str">
        <f>IF(AND($F51="",$D51="x"),"correct","")</f>
        <v/>
      </c>
      <c r="H51" s="14">
        <f t="shared" si="9"/>
        <v>0</v>
      </c>
      <c r="I51" s="11" t="s">
        <v>105</v>
      </c>
      <c r="J51" s="11" t="s">
        <v>106</v>
      </c>
      <c r="K51"/>
      <c r="L51"/>
      <c r="M51"/>
      <c r="N51"/>
      <c r="O51"/>
      <c r="Q51"/>
      <c r="R51"/>
    </row>
    <row r="52" spans="1:19" ht="18" customHeight="1" thickBot="1">
      <c r="A52" s="7">
        <f t="shared" si="10"/>
        <v>46</v>
      </c>
      <c r="B52" s="44" t="s">
        <v>107</v>
      </c>
      <c r="C52" s="49" t="str">
        <f t="shared" si="7"/>
        <v>Yes, we next.</v>
      </c>
      <c r="D52" s="43"/>
      <c r="E52" s="48" t="str">
        <f t="shared" si="8"/>
        <v>Yes, we were next.</v>
      </c>
      <c r="F52" s="3"/>
      <c r="G52" s="6" t="str">
        <f>IF(AND($F52="",$D52="x"),"correct","")</f>
        <v/>
      </c>
      <c r="H52" s="14">
        <f t="shared" si="9"/>
        <v>0</v>
      </c>
      <c r="I52" s="11" t="s">
        <v>108</v>
      </c>
      <c r="J52" s="11" t="s">
        <v>109</v>
      </c>
      <c r="K52"/>
      <c r="L52"/>
      <c r="M52"/>
      <c r="N52"/>
      <c r="O52"/>
      <c r="Q52"/>
      <c r="R52"/>
    </row>
    <row r="53" spans="1:19" ht="18" customHeight="1" thickBot="1">
      <c r="A53" s="7">
        <f t="shared" si="10"/>
        <v>47</v>
      </c>
      <c r="B53" s="42" t="s">
        <v>110</v>
      </c>
      <c r="C53" s="49" t="str">
        <f t="shared" si="7"/>
        <v>No, he was not here.</v>
      </c>
      <c r="D53" s="43"/>
      <c r="E53" s="48" t="str">
        <f t="shared" si="8"/>
        <v>No, she was not here.</v>
      </c>
      <c r="F53" s="3"/>
      <c r="G53" s="6" t="str">
        <f>IF(AND($D53="",$F53="x"),"correct","")</f>
        <v/>
      </c>
      <c r="H53" s="14">
        <f t="shared" si="9"/>
        <v>0</v>
      </c>
      <c r="I53" s="11" t="s">
        <v>111</v>
      </c>
      <c r="J53" s="11" t="s">
        <v>112</v>
      </c>
      <c r="K53"/>
      <c r="L53"/>
      <c r="M53"/>
      <c r="N53"/>
      <c r="O53"/>
      <c r="Q53"/>
      <c r="R53"/>
    </row>
    <row r="54" spans="1:19" ht="18" customHeight="1" thickBot="1">
      <c r="A54" s="7">
        <f t="shared" si="10"/>
        <v>48</v>
      </c>
      <c r="B54" s="44" t="s">
        <v>113</v>
      </c>
      <c r="C54" s="49" t="str">
        <f t="shared" si="7"/>
        <v>No, were not sad.</v>
      </c>
      <c r="D54" s="43"/>
      <c r="E54" s="48" t="str">
        <f t="shared" si="8"/>
        <v>No, they were not sad.</v>
      </c>
      <c r="F54" s="3"/>
      <c r="G54" s="6" t="str">
        <f>IF(AND($F54="",$D54="x"),"correct","")</f>
        <v/>
      </c>
      <c r="H54" s="14">
        <f t="shared" si="9"/>
        <v>0</v>
      </c>
      <c r="I54" s="11" t="s">
        <v>114</v>
      </c>
      <c r="J54" s="11" t="s">
        <v>115</v>
      </c>
      <c r="K54"/>
      <c r="L54"/>
      <c r="M54"/>
      <c r="N54"/>
      <c r="O54"/>
      <c r="Q54"/>
      <c r="R54"/>
    </row>
    <row r="55" spans="1:19" ht="18" customHeight="1" thickBot="1">
      <c r="A55" s="7">
        <f t="shared" si="10"/>
        <v>49</v>
      </c>
      <c r="B55" s="44" t="s">
        <v>116</v>
      </c>
      <c r="C55" s="49" t="str">
        <f t="shared" si="7"/>
        <v>Yes, I am near the hospital.</v>
      </c>
      <c r="D55" s="43"/>
      <c r="E55" s="48" t="str">
        <f t="shared" si="8"/>
        <v>Yes, you were near the hospital.</v>
      </c>
      <c r="F55" s="3"/>
      <c r="G55" s="6" t="str">
        <f>IF(AND($F55="",$D55="x"),"correct","")</f>
        <v/>
      </c>
      <c r="H55" s="14">
        <f t="shared" si="9"/>
        <v>0</v>
      </c>
      <c r="I55" s="11" t="s">
        <v>117</v>
      </c>
      <c r="J55" s="11" t="s">
        <v>118</v>
      </c>
      <c r="K55"/>
      <c r="L55"/>
      <c r="M55"/>
      <c r="N55"/>
      <c r="O55"/>
      <c r="Q55"/>
      <c r="R55"/>
    </row>
    <row r="56" spans="1:19" ht="18" customHeight="1" thickBot="1">
      <c r="A56" s="7">
        <f t="shared" si="10"/>
        <v>50</v>
      </c>
      <c r="B56" s="44" t="s">
        <v>93</v>
      </c>
      <c r="C56" s="49" t="str">
        <f>IF(AND($D56="x",$G56="correct")," ",$J56)</f>
        <v>Yes, I was a student.</v>
      </c>
      <c r="D56" s="43"/>
      <c r="E56" s="48" t="str">
        <f>IF(AND($F56="x",$G56="correct")," ",$I56)</f>
        <v>Yes, I am a student.</v>
      </c>
      <c r="F56" s="3"/>
      <c r="G56" s="6" t="str">
        <f>IF(AND($D56="",$F56="x"),"correct","")</f>
        <v/>
      </c>
      <c r="H56" s="14">
        <f t="shared" si="9"/>
        <v>0</v>
      </c>
      <c r="I56" s="11" t="s">
        <v>119</v>
      </c>
      <c r="J56" s="11" t="s">
        <v>95</v>
      </c>
      <c r="K56"/>
      <c r="L56"/>
      <c r="M56"/>
      <c r="N56"/>
      <c r="O56"/>
      <c r="Q56"/>
      <c r="R56"/>
    </row>
    <row r="57" spans="1:19" ht="18" customHeight="1" thickBot="1">
      <c r="A57" s="7">
        <f t="shared" si="10"/>
        <v>51</v>
      </c>
      <c r="B57" s="42" t="s">
        <v>120</v>
      </c>
      <c r="C57" s="49" t="str">
        <f>IF(AND($D57="x",$G57="correct")," ",$I57)</f>
        <v>No, I was not angry.</v>
      </c>
      <c r="D57" s="43"/>
      <c r="E57" s="48" t="str">
        <f>IF(AND($F57="x",$G57="correct")," ",$J57)</f>
        <v>No, you were not angry.</v>
      </c>
      <c r="F57" s="3"/>
      <c r="G57" s="6" t="str">
        <f>IF(AND($D57="",$F57="x"),"correct","")</f>
        <v/>
      </c>
      <c r="H57" s="14">
        <f t="shared" si="9"/>
        <v>0</v>
      </c>
      <c r="I57" s="11" t="s">
        <v>121</v>
      </c>
      <c r="J57" s="11" t="s">
        <v>122</v>
      </c>
      <c r="K57"/>
      <c r="L57"/>
      <c r="M57"/>
      <c r="N57"/>
      <c r="O57"/>
      <c r="Q57"/>
      <c r="R57"/>
    </row>
    <row r="58" spans="1:19" ht="18" customHeight="1" thickBot="1">
      <c r="A58" s="7">
        <f t="shared" si="10"/>
        <v>52</v>
      </c>
      <c r="B58" s="44" t="s">
        <v>123</v>
      </c>
      <c r="C58" s="49" t="str">
        <f>IF(AND($D58="x",$G58="correct")," ",$I58)</f>
        <v>Yes, she is from Africa.</v>
      </c>
      <c r="D58" s="43"/>
      <c r="E58" s="48" t="str">
        <f>IF(AND($F58="x",$G58="correct")," ",$J58)</f>
        <v>Yes, she was from Africa.</v>
      </c>
      <c r="F58" s="3"/>
      <c r="G58" s="6" t="str">
        <f>IF(AND($D58="",$F58="x"),"correct","")</f>
        <v/>
      </c>
      <c r="H58" s="14">
        <f t="shared" si="9"/>
        <v>0</v>
      </c>
      <c r="I58" s="11" t="s">
        <v>124</v>
      </c>
      <c r="J58" s="11" t="s">
        <v>99</v>
      </c>
      <c r="K58"/>
      <c r="L58"/>
      <c r="M58"/>
      <c r="N58"/>
      <c r="O58"/>
      <c r="Q58"/>
      <c r="R58"/>
    </row>
    <row r="59" spans="1:19" ht="18" customHeight="1" thickBot="1">
      <c r="A59" s="7">
        <f t="shared" si="10"/>
        <v>53</v>
      </c>
      <c r="B59" s="42" t="s">
        <v>125</v>
      </c>
      <c r="C59" s="49" t="str">
        <f>IF(AND($D59="x",$G59="correct")," ",$I59)</f>
        <v>No, it is not cold outside.</v>
      </c>
      <c r="D59" s="43"/>
      <c r="E59" s="48" t="str">
        <f>IF(AND($F59="x",$G59="correct")," ",$J59)</f>
        <v xml:space="preserve">No, it was not cold outside. </v>
      </c>
      <c r="F59" s="3"/>
      <c r="G59" s="6" t="str">
        <f>IF(AND($D59="",$F59="x"),"correct","")</f>
        <v/>
      </c>
      <c r="H59" s="14">
        <f t="shared" si="9"/>
        <v>0</v>
      </c>
      <c r="I59" s="11" t="s">
        <v>126</v>
      </c>
      <c r="J59" s="11" t="s">
        <v>127</v>
      </c>
      <c r="K59"/>
      <c r="L59"/>
      <c r="M59"/>
      <c r="N59"/>
      <c r="O59"/>
      <c r="Q59"/>
      <c r="R59"/>
    </row>
    <row r="60" spans="1:19" ht="18" customHeight="1" thickBot="1">
      <c r="A60" s="7">
        <f t="shared" si="10"/>
        <v>54</v>
      </c>
      <c r="B60" s="44" t="s">
        <v>12</v>
      </c>
      <c r="C60" s="49" t="str">
        <f>IF(AND($D60="x",$G60="correct")," ",$I60)</f>
        <v>No, they were not here.</v>
      </c>
      <c r="D60" s="43"/>
      <c r="E60" s="48" t="str">
        <f>IF(AND($F60="x",$G60="correct")," ",$J60)</f>
        <v>No, they are not here.</v>
      </c>
      <c r="F60" s="3"/>
      <c r="G60" s="6" t="str">
        <f>IF(AND($D60="",$F60="x"),"correct","")</f>
        <v/>
      </c>
      <c r="H60" s="14">
        <f t="shared" si="9"/>
        <v>0</v>
      </c>
      <c r="I60" s="11" t="s">
        <v>102</v>
      </c>
      <c r="J60" s="11" t="s">
        <v>128</v>
      </c>
      <c r="K60"/>
      <c r="L60"/>
      <c r="M60"/>
      <c r="N60"/>
      <c r="O60"/>
      <c r="Q60"/>
      <c r="R60"/>
    </row>
    <row r="61" spans="1:19" s="34" customFormat="1" ht="18" customHeight="1" thickBot="1">
      <c r="A61" s="7">
        <f t="shared" si="10"/>
        <v>55</v>
      </c>
      <c r="B61" s="44" t="s">
        <v>129</v>
      </c>
      <c r="C61" s="49" t="str">
        <f>IF(AND($D61="x",$G61="correct")," ",$I61)</f>
        <v>Yes, it is a book.</v>
      </c>
      <c r="D61" s="43"/>
      <c r="E61" s="48" t="str">
        <f>IF(AND($F61="x",$G61="correct")," ",$J61)</f>
        <v>Yes, it was a book.</v>
      </c>
      <c r="F61" s="3"/>
      <c r="G61" s="6" t="str">
        <f>IF(AND($F61="",$D61="x"),"correct","")</f>
        <v/>
      </c>
      <c r="H61" s="29">
        <f t="shared" si="9"/>
        <v>0</v>
      </c>
      <c r="I61" s="11" t="s">
        <v>130</v>
      </c>
      <c r="J61" s="11" t="s">
        <v>131</v>
      </c>
      <c r="S61" s="60"/>
    </row>
    <row r="62" spans="1:19" s="34" customFormat="1" ht="18" customHeight="1" thickBot="1">
      <c r="A62" s="7">
        <f t="shared" si="10"/>
        <v>56</v>
      </c>
      <c r="B62" s="44" t="s">
        <v>132</v>
      </c>
      <c r="C62" s="49" t="str">
        <f>IF(AND($D62="x",$G62="correct")," ",$J62)</f>
        <v>Yes, we are next.</v>
      </c>
      <c r="D62" s="43"/>
      <c r="E62" s="48" t="str">
        <f>IF(AND($F62="x",$G62="correct"),"",$I62)</f>
        <v>Yes, we were next.</v>
      </c>
      <c r="F62" s="3"/>
      <c r="G62" s="6" t="str">
        <f>IF(AND($D62="",$F62="x"),"correct","")</f>
        <v/>
      </c>
      <c r="H62" s="14">
        <f t="shared" si="9"/>
        <v>0</v>
      </c>
      <c r="I62" s="11" t="s">
        <v>109</v>
      </c>
      <c r="J62" s="11" t="s">
        <v>133</v>
      </c>
      <c r="S62" s="60"/>
    </row>
    <row r="63" spans="1:19" s="34" customFormat="1" ht="18" customHeight="1" thickBot="1">
      <c r="A63" s="7">
        <f t="shared" si="10"/>
        <v>57</v>
      </c>
      <c r="B63" s="44" t="s">
        <v>13</v>
      </c>
      <c r="C63" s="49" t="str">
        <f>IF(AND($D63="x",$G63="correct")," ",$I63)</f>
        <v>No, you were not tired.</v>
      </c>
      <c r="D63" s="43"/>
      <c r="E63" s="48" t="str">
        <f>IF(AND($F63="x",$G63="correct"),"",J63)</f>
        <v>No, I was not tired.</v>
      </c>
      <c r="F63" s="3"/>
      <c r="G63" s="6" t="str">
        <f>IF(AND($F63="",$D63="x"),"correct","")</f>
        <v/>
      </c>
      <c r="H63" s="14">
        <f t="shared" si="9"/>
        <v>0</v>
      </c>
      <c r="I63" s="11" t="s">
        <v>134</v>
      </c>
      <c r="J63" s="11" t="s">
        <v>135</v>
      </c>
      <c r="S63" s="60"/>
    </row>
    <row r="64" spans="1:19" s="34" customFormat="1" ht="18" customHeight="1" thickBot="1">
      <c r="A64" s="7">
        <f t="shared" si="10"/>
        <v>58</v>
      </c>
      <c r="B64" s="44" t="s">
        <v>113</v>
      </c>
      <c r="C64" s="49" t="str">
        <f>IF(AND($D64="x",$G64="correct")," ",$I64)</f>
        <v>No, they are not sad.</v>
      </c>
      <c r="D64" s="43"/>
      <c r="E64" s="48" t="str">
        <f>IF(AND($F64="x",$G64="correct")," ",$J64)</f>
        <v>No, they were not sad.</v>
      </c>
      <c r="F64" s="3"/>
      <c r="G64" s="6" t="str">
        <f>IF(AND($F64="",$D64="x"),"correct","")</f>
        <v/>
      </c>
      <c r="H64" s="14">
        <f t="shared" si="9"/>
        <v>0</v>
      </c>
      <c r="I64" s="11" t="s">
        <v>136</v>
      </c>
      <c r="J64" s="11" t="s">
        <v>115</v>
      </c>
      <c r="S64" s="60"/>
    </row>
    <row r="65" spans="1:19" s="34" customFormat="1" ht="18" customHeight="1" thickBot="1">
      <c r="A65" s="7">
        <f t="shared" si="10"/>
        <v>59</v>
      </c>
      <c r="B65" s="42" t="s">
        <v>137</v>
      </c>
      <c r="C65" s="49" t="str">
        <f>IF(AND($D65="x",$G65="correct")," ",$I65)</f>
        <v>Yes, they were students.</v>
      </c>
      <c r="D65" s="43"/>
      <c r="E65" s="48" t="str">
        <f>IF(AND($F65="x",$G65="correct")," ",$J65)</f>
        <v xml:space="preserve">Yes, they are students. </v>
      </c>
      <c r="F65" s="3"/>
      <c r="G65" s="6" t="str">
        <f>IF(AND($D65="",$F65="x"),"correct","")</f>
        <v/>
      </c>
      <c r="H65" s="14">
        <f t="shared" si="9"/>
        <v>0</v>
      </c>
      <c r="I65" s="11" t="s">
        <v>138</v>
      </c>
      <c r="J65" s="11" t="s">
        <v>139</v>
      </c>
      <c r="S65" s="60"/>
    </row>
    <row r="66" spans="1:19" s="34" customFormat="1" ht="15.6">
      <c r="B66" s="32"/>
      <c r="C66" s="56"/>
      <c r="D66" s="57"/>
      <c r="E66" s="56"/>
      <c r="F66" s="58"/>
      <c r="G66" s="33"/>
      <c r="H66" s="25"/>
      <c r="I66" s="59"/>
      <c r="J66" s="59"/>
      <c r="S66" s="60"/>
    </row>
    <row r="67" spans="1:19" s="34" customFormat="1" ht="15.6">
      <c r="B67" s="32"/>
      <c r="C67" s="56"/>
      <c r="D67" s="57"/>
      <c r="E67" s="56"/>
      <c r="F67" s="58"/>
      <c r="G67" s="33"/>
      <c r="H67" s="25"/>
      <c r="I67" s="59"/>
      <c r="J67" s="59"/>
      <c r="S67" s="60"/>
    </row>
    <row r="68" spans="1:19" s="34" customFormat="1" ht="15.6">
      <c r="B68" s="32"/>
      <c r="C68" s="56"/>
      <c r="D68" s="57"/>
      <c r="E68" s="56"/>
      <c r="F68" s="58"/>
      <c r="G68" s="33"/>
      <c r="H68" s="25"/>
      <c r="I68" s="59"/>
      <c r="J68" s="59"/>
      <c r="S68" s="60"/>
    </row>
    <row r="69" spans="1:19" s="34" customFormat="1" ht="15.6">
      <c r="B69" s="32"/>
      <c r="C69" s="56"/>
      <c r="D69" s="57"/>
      <c r="E69" s="56"/>
      <c r="F69" s="58"/>
      <c r="G69" s="33"/>
      <c r="H69" s="25"/>
      <c r="I69" s="59"/>
      <c r="J69" s="59"/>
      <c r="S69" s="60"/>
    </row>
    <row r="70" spans="1:19" s="34" customFormat="1" ht="15.6">
      <c r="B70" s="32"/>
      <c r="C70" s="56"/>
      <c r="D70" s="57"/>
      <c r="E70" s="56"/>
      <c r="F70" s="58"/>
      <c r="G70" s="33"/>
      <c r="H70" s="25"/>
      <c r="I70" s="59"/>
      <c r="J70" s="59"/>
      <c r="S70" s="60"/>
    </row>
    <row r="71" spans="1:19" s="34" customFormat="1" ht="15.6">
      <c r="B71" s="32"/>
      <c r="C71" s="56"/>
      <c r="D71" s="57"/>
      <c r="E71" s="56"/>
      <c r="F71" s="58"/>
      <c r="G71" s="33"/>
      <c r="H71" s="25"/>
      <c r="I71" s="59"/>
      <c r="J71" s="59"/>
      <c r="S71" s="60"/>
    </row>
    <row r="72" spans="1:19" s="34" customFormat="1" ht="15.6">
      <c r="B72" s="32"/>
      <c r="C72" s="56"/>
      <c r="D72" s="57"/>
      <c r="E72" s="56"/>
      <c r="F72" s="58"/>
      <c r="G72" s="33"/>
      <c r="H72" s="25"/>
      <c r="I72" s="59"/>
      <c r="J72" s="59"/>
      <c r="S72" s="60"/>
    </row>
    <row r="73" spans="1:19" s="34" customFormat="1" ht="15.6">
      <c r="B73" s="32"/>
      <c r="C73" s="56"/>
      <c r="D73" s="57"/>
      <c r="E73" s="56"/>
      <c r="F73" s="58"/>
      <c r="G73" s="33"/>
      <c r="H73" s="25"/>
      <c r="I73" s="59"/>
      <c r="J73" s="59"/>
      <c r="S73" s="60"/>
    </row>
    <row r="74" spans="1:19" s="34" customFormat="1" ht="15.6">
      <c r="B74" s="32"/>
      <c r="C74" s="56"/>
      <c r="D74" s="57"/>
      <c r="E74" s="56"/>
      <c r="F74" s="58"/>
      <c r="G74" s="33"/>
      <c r="H74" s="25"/>
      <c r="I74" s="59"/>
      <c r="J74" s="59"/>
      <c r="S74" s="60"/>
    </row>
    <row r="75" spans="1:19" s="34" customFormat="1" ht="15.6">
      <c r="B75" s="32"/>
      <c r="C75" s="56"/>
      <c r="D75" s="57"/>
      <c r="E75" s="56"/>
      <c r="F75" s="58"/>
      <c r="G75" s="33"/>
      <c r="H75" s="25"/>
      <c r="I75" s="59"/>
      <c r="J75" s="59"/>
      <c r="S75" s="60"/>
    </row>
    <row r="76" spans="1:19" s="34" customFormat="1" ht="15.6">
      <c r="B76" s="32"/>
      <c r="C76" s="56"/>
      <c r="D76" s="57"/>
      <c r="E76" s="56"/>
      <c r="F76" s="58"/>
      <c r="G76" s="33"/>
      <c r="H76" s="25"/>
      <c r="I76" s="59"/>
      <c r="J76" s="59"/>
      <c r="S76" s="60"/>
    </row>
    <row r="77" spans="1:19" s="34" customFormat="1" ht="15.6">
      <c r="B77" s="32"/>
      <c r="C77" s="56"/>
      <c r="D77" s="57"/>
      <c r="E77" s="56"/>
      <c r="F77" s="58"/>
      <c r="G77" s="33"/>
      <c r="H77" s="25"/>
      <c r="I77" s="59"/>
      <c r="J77" s="59"/>
      <c r="S77" s="60"/>
    </row>
    <row r="78" spans="1:19" s="34" customFormat="1">
      <c r="H78" s="38"/>
      <c r="I78" s="60"/>
      <c r="J78" s="60"/>
      <c r="K78" s="61"/>
      <c r="L78" s="61"/>
      <c r="M78" s="61"/>
      <c r="N78" s="61"/>
      <c r="O78" s="61"/>
      <c r="P78" s="27"/>
      <c r="Q78" s="26"/>
      <c r="R78" s="60"/>
      <c r="S78" s="60"/>
    </row>
    <row r="79" spans="1:19" s="34" customFormat="1">
      <c r="H79" s="38"/>
      <c r="I79" s="60"/>
      <c r="J79" s="60"/>
      <c r="K79" s="61"/>
      <c r="L79" s="61"/>
      <c r="M79" s="61"/>
      <c r="N79" s="61"/>
      <c r="O79" s="61"/>
      <c r="P79" s="27"/>
      <c r="Q79" s="26"/>
      <c r="R79" s="60"/>
      <c r="S79" s="60"/>
    </row>
    <row r="80" spans="1:19" s="34" customFormat="1">
      <c r="H80" s="38"/>
      <c r="I80" s="60"/>
      <c r="J80" s="60"/>
      <c r="K80" s="61"/>
      <c r="L80" s="61"/>
      <c r="M80" s="61"/>
      <c r="N80" s="61"/>
      <c r="O80" s="61"/>
      <c r="P80" s="27"/>
      <c r="Q80" s="26"/>
      <c r="R80" s="60"/>
      <c r="S80" s="60"/>
    </row>
    <row r="81" spans="8:19" s="34" customFormat="1">
      <c r="H81" s="38"/>
      <c r="I81" s="60"/>
      <c r="J81" s="60"/>
      <c r="K81" s="61"/>
      <c r="L81" s="61"/>
      <c r="M81" s="61"/>
      <c r="N81" s="61"/>
      <c r="O81" s="61"/>
      <c r="P81" s="27"/>
      <c r="Q81" s="26"/>
      <c r="R81" s="60"/>
      <c r="S81" s="60"/>
    </row>
    <row r="82" spans="8:19" s="34" customFormat="1">
      <c r="H82" s="38"/>
      <c r="I82" s="60"/>
      <c r="J82" s="60"/>
      <c r="K82" s="61"/>
      <c r="L82" s="61"/>
      <c r="M82" s="61"/>
      <c r="N82" s="61"/>
      <c r="O82" s="61"/>
      <c r="P82" s="27"/>
      <c r="Q82" s="26"/>
      <c r="R82" s="60"/>
      <c r="S82" s="60"/>
    </row>
    <row r="83" spans="8:19" s="34" customFormat="1">
      <c r="H83" s="38"/>
      <c r="I83" s="60"/>
      <c r="J83" s="60"/>
      <c r="K83" s="61"/>
      <c r="L83" s="61"/>
      <c r="M83" s="61"/>
      <c r="N83" s="61"/>
      <c r="O83" s="61"/>
      <c r="P83" s="27"/>
      <c r="Q83" s="26"/>
      <c r="R83" s="60"/>
      <c r="S83" s="60"/>
    </row>
    <row r="84" spans="8:19" s="34" customFormat="1">
      <c r="H84" s="38"/>
      <c r="I84" s="60"/>
      <c r="J84" s="60"/>
      <c r="K84" s="61"/>
      <c r="L84" s="61"/>
      <c r="M84" s="61"/>
      <c r="N84" s="61"/>
      <c r="O84" s="61"/>
      <c r="P84" s="27"/>
      <c r="Q84" s="26"/>
      <c r="R84" s="60"/>
      <c r="S84" s="60"/>
    </row>
    <row r="85" spans="8:19" s="34" customFormat="1">
      <c r="H85" s="38"/>
      <c r="I85" s="60"/>
      <c r="J85" s="60"/>
      <c r="K85" s="61"/>
      <c r="L85" s="61"/>
      <c r="M85" s="61"/>
      <c r="N85" s="61"/>
      <c r="O85" s="61"/>
      <c r="P85" s="27"/>
      <c r="Q85" s="26"/>
      <c r="R85" s="60"/>
      <c r="S85" s="60"/>
    </row>
    <row r="86" spans="8:19" s="34" customFormat="1">
      <c r="H86" s="38"/>
      <c r="I86" s="60"/>
      <c r="J86" s="60"/>
      <c r="K86" s="61"/>
      <c r="L86" s="61"/>
      <c r="M86" s="61"/>
      <c r="N86" s="61"/>
      <c r="O86" s="61"/>
      <c r="P86" s="27"/>
      <c r="Q86" s="26"/>
      <c r="R86" s="60"/>
      <c r="S86" s="60"/>
    </row>
    <row r="87" spans="8:19" s="34" customFormat="1">
      <c r="H87" s="38"/>
      <c r="I87" s="60"/>
      <c r="J87" s="60"/>
      <c r="K87" s="61"/>
      <c r="L87" s="61"/>
      <c r="M87" s="61"/>
      <c r="N87" s="61"/>
      <c r="O87" s="61"/>
      <c r="P87" s="27"/>
      <c r="Q87" s="26"/>
      <c r="R87" s="60"/>
      <c r="S87" s="60"/>
    </row>
    <row r="88" spans="8:19" s="34" customFormat="1">
      <c r="H88" s="38"/>
      <c r="I88" s="60"/>
      <c r="J88" s="60"/>
      <c r="K88" s="61"/>
      <c r="L88" s="61"/>
      <c r="M88" s="61"/>
      <c r="N88" s="61"/>
      <c r="O88" s="61"/>
      <c r="P88" s="27"/>
      <c r="Q88" s="26"/>
      <c r="R88" s="60"/>
      <c r="S88" s="60"/>
    </row>
    <row r="89" spans="8:19" s="34" customFormat="1">
      <c r="H89" s="38"/>
      <c r="I89" s="60"/>
      <c r="J89" s="60"/>
      <c r="K89" s="61"/>
      <c r="L89" s="61"/>
      <c r="M89" s="61"/>
      <c r="N89" s="61"/>
      <c r="O89" s="61"/>
      <c r="P89" s="27"/>
      <c r="Q89" s="26"/>
      <c r="R89" s="60"/>
      <c r="S89" s="60"/>
    </row>
    <row r="90" spans="8:19" s="34" customFormat="1">
      <c r="H90" s="38"/>
      <c r="I90" s="60"/>
      <c r="J90" s="60"/>
      <c r="K90" s="61"/>
      <c r="L90" s="61"/>
      <c r="M90" s="61"/>
      <c r="N90" s="61"/>
      <c r="O90" s="61"/>
      <c r="P90" s="27"/>
      <c r="Q90" s="26"/>
      <c r="R90" s="60"/>
      <c r="S90" s="60"/>
    </row>
    <row r="91" spans="8:19" s="34" customFormat="1">
      <c r="H91" s="38"/>
      <c r="I91" s="60"/>
      <c r="J91" s="60"/>
      <c r="K91" s="61"/>
      <c r="L91" s="61"/>
      <c r="M91" s="61"/>
      <c r="N91" s="61"/>
      <c r="O91" s="61"/>
      <c r="P91" s="27"/>
      <c r="Q91" s="26"/>
      <c r="R91" s="60"/>
      <c r="S91" s="60"/>
    </row>
    <row r="92" spans="8:19">
      <c r="K92" s="5"/>
      <c r="L92" s="5"/>
      <c r="M92" s="5"/>
      <c r="N92" s="5"/>
      <c r="O92" s="5"/>
      <c r="P92" s="4"/>
      <c r="Q92" s="13"/>
    </row>
    <row r="93" spans="8:19">
      <c r="K93" s="5"/>
      <c r="L93" s="5"/>
      <c r="M93" s="5"/>
      <c r="N93" s="5"/>
      <c r="O93" s="5"/>
      <c r="P93" s="4"/>
      <c r="Q93" s="13"/>
    </row>
    <row r="94" spans="8:19">
      <c r="K94" s="5"/>
      <c r="L94" s="5"/>
      <c r="M94" s="5"/>
      <c r="N94" s="5"/>
      <c r="O94" s="5"/>
      <c r="P94" s="4"/>
      <c r="Q94" s="13"/>
    </row>
    <row r="95" spans="8:19">
      <c r="K95" s="5"/>
      <c r="L95" s="5"/>
      <c r="M95" s="5"/>
      <c r="N95" s="5"/>
      <c r="O95" s="5"/>
      <c r="P95" s="4"/>
      <c r="Q95" s="13"/>
    </row>
    <row r="96" spans="8:19">
      <c r="K96" s="5"/>
      <c r="L96" s="5"/>
      <c r="M96" s="5"/>
      <c r="N96" s="5"/>
      <c r="O96" s="5"/>
      <c r="P96" s="4"/>
      <c r="Q96" s="13"/>
    </row>
    <row r="97" spans="11:17">
      <c r="K97" s="5"/>
      <c r="L97" s="5"/>
      <c r="M97" s="5"/>
      <c r="N97" s="5"/>
      <c r="O97" s="5"/>
      <c r="P97" s="4"/>
      <c r="Q97" s="13"/>
    </row>
    <row r="98" spans="11:17">
      <c r="K98" s="5"/>
      <c r="L98" s="5"/>
      <c r="M98" s="5"/>
      <c r="N98" s="5"/>
      <c r="O98" s="5"/>
      <c r="P98" s="4"/>
      <c r="Q98" s="13"/>
    </row>
    <row r="99" spans="11:17">
      <c r="K99" s="5"/>
      <c r="L99" s="5"/>
      <c r="M99" s="5"/>
      <c r="N99" s="5"/>
      <c r="O99" s="5"/>
      <c r="P99" s="4"/>
      <c r="Q99" s="13"/>
    </row>
    <row r="100" spans="11:17">
      <c r="K100" s="5"/>
      <c r="L100" s="5"/>
      <c r="M100" s="5"/>
      <c r="N100" s="5"/>
      <c r="O100" s="5"/>
      <c r="P100" s="4"/>
      <c r="Q100" s="13"/>
    </row>
    <row r="101" spans="11:17">
      <c r="K101" s="5"/>
      <c r="L101" s="5"/>
      <c r="M101" s="5"/>
      <c r="N101" s="5"/>
      <c r="O101" s="5"/>
      <c r="P101" s="4"/>
      <c r="Q101" s="13"/>
    </row>
    <row r="102" spans="11:17">
      <c r="K102" s="5"/>
      <c r="L102" s="5"/>
      <c r="M102" s="5"/>
      <c r="N102" s="5"/>
      <c r="O102" s="5"/>
      <c r="P102" s="4"/>
      <c r="Q102" s="13"/>
    </row>
    <row r="103" spans="11:17">
      <c r="K103" s="5"/>
      <c r="L103" s="5"/>
      <c r="M103" s="5"/>
      <c r="N103" s="5"/>
      <c r="O103" s="5"/>
      <c r="P103" s="4"/>
      <c r="Q103" s="13"/>
    </row>
    <row r="104" spans="11:17">
      <c r="K104" s="5"/>
      <c r="L104" s="5"/>
      <c r="M104" s="5"/>
      <c r="N104" s="5"/>
      <c r="O104" s="5"/>
      <c r="P104" s="4"/>
      <c r="Q104" s="13"/>
    </row>
    <row r="105" spans="11:17">
      <c r="K105" s="5"/>
      <c r="L105" s="5"/>
      <c r="M105" s="5"/>
      <c r="N105" s="5"/>
      <c r="O105" s="5"/>
      <c r="P105" s="4"/>
      <c r="Q105" s="13"/>
    </row>
    <row r="106" spans="11:17">
      <c r="K106" s="5"/>
      <c r="L106" s="5"/>
      <c r="M106" s="5"/>
      <c r="N106" s="5"/>
      <c r="O106" s="5"/>
      <c r="P106" s="4"/>
      <c r="Q106" s="13"/>
    </row>
    <row r="107" spans="11:17">
      <c r="K107" s="5"/>
      <c r="L107" s="5"/>
      <c r="M107" s="5"/>
      <c r="N107" s="5"/>
      <c r="O107" s="5"/>
      <c r="P107" s="4"/>
      <c r="Q107" s="13"/>
    </row>
    <row r="108" spans="11:17">
      <c r="K108" s="5"/>
      <c r="L108" s="5"/>
      <c r="M108" s="5"/>
      <c r="N108" s="5"/>
      <c r="O108" s="5"/>
      <c r="P108" s="4"/>
      <c r="Q108" s="13"/>
    </row>
    <row r="109" spans="11:17">
      <c r="K109" s="5"/>
      <c r="L109" s="5"/>
      <c r="M109" s="5"/>
      <c r="N109" s="5"/>
      <c r="O109" s="5"/>
      <c r="P109" s="4"/>
      <c r="Q109" s="13"/>
    </row>
    <row r="110" spans="11:17">
      <c r="K110" s="5"/>
      <c r="L110" s="5"/>
      <c r="M110" s="5"/>
      <c r="N110" s="5"/>
      <c r="O110" s="5"/>
      <c r="P110" s="4"/>
      <c r="Q110" s="13"/>
    </row>
    <row r="111" spans="11:17">
      <c r="K111" s="5"/>
      <c r="L111" s="5"/>
      <c r="M111" s="5"/>
      <c r="N111" s="5"/>
      <c r="O111" s="5"/>
      <c r="P111" s="4"/>
      <c r="Q111" s="13"/>
    </row>
    <row r="112" spans="11:17">
      <c r="K112" s="5"/>
      <c r="L112" s="5"/>
      <c r="M112" s="5"/>
      <c r="N112" s="5"/>
      <c r="O112" s="5"/>
      <c r="P112" s="4"/>
      <c r="Q112" s="13"/>
    </row>
    <row r="113" spans="11:17">
      <c r="K113" s="5"/>
      <c r="L113" s="5"/>
      <c r="M113" s="5"/>
      <c r="N113" s="5"/>
      <c r="O113" s="5"/>
      <c r="P113" s="4"/>
      <c r="Q113" s="13"/>
    </row>
    <row r="114" spans="11:17">
      <c r="K114" s="5"/>
      <c r="L114" s="5"/>
      <c r="M114" s="5"/>
      <c r="N114" s="5"/>
      <c r="O114" s="5"/>
      <c r="P114" s="4"/>
      <c r="Q114" s="13"/>
    </row>
    <row r="115" spans="11:17">
      <c r="K115" s="5"/>
      <c r="L115" s="5"/>
      <c r="M115" s="5"/>
      <c r="N115" s="5"/>
      <c r="O115" s="5"/>
      <c r="P115" s="4"/>
      <c r="Q115" s="13"/>
    </row>
    <row r="116" spans="11:17">
      <c r="K116" s="5"/>
      <c r="L116" s="5"/>
      <c r="M116" s="5"/>
      <c r="N116" s="5"/>
      <c r="O116" s="5"/>
      <c r="P116" s="4"/>
      <c r="Q116" s="13"/>
    </row>
    <row r="117" spans="11:17">
      <c r="K117" s="5"/>
      <c r="L117" s="5"/>
      <c r="M117" s="5"/>
      <c r="N117" s="5"/>
      <c r="O117" s="5"/>
      <c r="P117" s="4"/>
      <c r="Q117" s="13"/>
    </row>
    <row r="118" spans="11:17">
      <c r="K118" s="5"/>
      <c r="L118" s="5"/>
      <c r="M118" s="5"/>
      <c r="N118" s="5"/>
      <c r="O118" s="5"/>
      <c r="P118" s="4"/>
      <c r="Q118" s="13"/>
    </row>
    <row r="119" spans="11:17">
      <c r="K119" s="5"/>
      <c r="L119" s="5"/>
      <c r="M119" s="5"/>
      <c r="N119" s="5"/>
      <c r="O119" s="5"/>
      <c r="P119" s="4"/>
      <c r="Q119" s="13"/>
    </row>
    <row r="120" spans="11:17">
      <c r="K120" s="5"/>
      <c r="L120" s="5"/>
      <c r="M120" s="5"/>
      <c r="N120" s="5"/>
      <c r="O120" s="5"/>
      <c r="P120" s="4"/>
      <c r="Q120" s="13"/>
    </row>
    <row r="121" spans="11:17">
      <c r="K121" s="5"/>
      <c r="L121" s="5"/>
      <c r="M121" s="5"/>
      <c r="N121" s="5"/>
      <c r="O121" s="5"/>
      <c r="P121" s="4"/>
      <c r="Q121" s="13"/>
    </row>
    <row r="122" spans="11:17">
      <c r="K122" s="5"/>
      <c r="L122" s="5"/>
      <c r="M122" s="5"/>
      <c r="N122" s="5"/>
      <c r="O122" s="5"/>
      <c r="P122" s="4"/>
      <c r="Q122" s="13"/>
    </row>
    <row r="123" spans="11:17">
      <c r="K123" s="5"/>
      <c r="L123" s="5"/>
      <c r="M123" s="5"/>
      <c r="N123" s="5"/>
      <c r="O123" s="5"/>
      <c r="P123" s="4"/>
      <c r="Q123" s="13"/>
    </row>
    <row r="124" spans="11:17">
      <c r="K124" s="5"/>
      <c r="L124" s="5"/>
      <c r="M124" s="5"/>
      <c r="N124" s="5"/>
      <c r="O124" s="5"/>
      <c r="P124" s="4"/>
      <c r="Q124" s="13"/>
    </row>
    <row r="125" spans="11:17">
      <c r="K125" s="5"/>
      <c r="L125" s="5"/>
      <c r="M125" s="5"/>
      <c r="N125" s="5"/>
      <c r="O125" s="5"/>
      <c r="P125" s="4"/>
      <c r="Q125" s="13"/>
    </row>
    <row r="126" spans="11:17">
      <c r="K126" s="5"/>
      <c r="L126" s="5"/>
      <c r="M126" s="5"/>
      <c r="N126" s="5"/>
      <c r="O126" s="5"/>
      <c r="P126" s="4"/>
      <c r="Q126" s="13"/>
    </row>
    <row r="127" spans="11:17">
      <c r="K127" s="5"/>
      <c r="L127" s="5"/>
      <c r="M127" s="5"/>
      <c r="N127" s="5"/>
      <c r="O127" s="5"/>
      <c r="P127" s="4"/>
      <c r="Q127" s="13"/>
    </row>
    <row r="128" spans="11:17">
      <c r="K128" s="5"/>
      <c r="L128" s="5"/>
      <c r="M128" s="5"/>
      <c r="N128" s="5"/>
      <c r="O128" s="5"/>
      <c r="P128" s="4"/>
      <c r="Q128" s="13"/>
    </row>
    <row r="129" spans="11:17">
      <c r="K129" s="5"/>
      <c r="L129" s="5"/>
      <c r="M129" s="5"/>
      <c r="N129" s="5"/>
      <c r="O129" s="5"/>
      <c r="P129" s="4"/>
      <c r="Q129" s="13"/>
    </row>
    <row r="130" spans="11:17">
      <c r="K130" s="5"/>
      <c r="L130" s="5"/>
      <c r="M130" s="5"/>
      <c r="N130" s="5"/>
      <c r="O130" s="5"/>
      <c r="P130" s="4"/>
      <c r="Q130" s="13"/>
    </row>
    <row r="131" spans="11:17">
      <c r="K131" s="5"/>
      <c r="L131" s="5"/>
      <c r="M131" s="5"/>
      <c r="N131" s="5"/>
      <c r="O131" s="5"/>
      <c r="P131" s="4"/>
      <c r="Q131" s="13"/>
    </row>
    <row r="132" spans="11:17">
      <c r="K132" s="5"/>
      <c r="L132" s="5"/>
      <c r="M132" s="5"/>
      <c r="N132" s="5"/>
      <c r="O132" s="5"/>
      <c r="P132" s="4"/>
      <c r="Q132" s="13"/>
    </row>
    <row r="133" spans="11:17">
      <c r="K133" s="5"/>
      <c r="L133" s="5"/>
      <c r="M133" s="5"/>
      <c r="N133" s="5"/>
      <c r="O133" s="5"/>
      <c r="P133" s="4"/>
      <c r="Q133" s="13"/>
    </row>
    <row r="134" spans="11:17">
      <c r="K134" s="5"/>
      <c r="L134" s="5"/>
      <c r="M134" s="5"/>
      <c r="N134" s="5"/>
      <c r="O134" s="5"/>
      <c r="P134" s="4"/>
      <c r="Q134" s="13"/>
    </row>
    <row r="135" spans="11:17">
      <c r="K135" s="5"/>
      <c r="L135" s="5"/>
      <c r="M135" s="5"/>
      <c r="N135" s="5"/>
      <c r="O135" s="5"/>
      <c r="P135" s="4"/>
      <c r="Q135" s="13"/>
    </row>
    <row r="136" spans="11:17">
      <c r="K136" s="5"/>
      <c r="L136" s="5"/>
      <c r="M136" s="5"/>
      <c r="N136" s="5"/>
      <c r="O136" s="5"/>
      <c r="P136" s="4"/>
      <c r="Q136" s="13"/>
    </row>
    <row r="137" spans="11:17">
      <c r="K137" s="5"/>
      <c r="L137" s="5"/>
      <c r="M137" s="5"/>
      <c r="N137" s="5"/>
      <c r="O137" s="5"/>
      <c r="P137" s="4"/>
      <c r="Q137" s="13"/>
    </row>
    <row r="138" spans="11:17">
      <c r="K138" s="5"/>
      <c r="L138" s="5"/>
      <c r="M138" s="5"/>
      <c r="N138" s="5"/>
      <c r="O138" s="5"/>
      <c r="P138" s="4"/>
      <c r="Q138" s="13"/>
    </row>
    <row r="139" spans="11:17">
      <c r="K139" s="5"/>
      <c r="L139" s="5"/>
      <c r="M139" s="5"/>
      <c r="N139" s="5"/>
      <c r="O139" s="5"/>
      <c r="P139" s="4"/>
      <c r="Q139" s="13"/>
    </row>
    <row r="140" spans="11:17">
      <c r="K140" s="5"/>
      <c r="L140" s="5"/>
      <c r="M140" s="5"/>
      <c r="N140" s="5"/>
      <c r="O140" s="5"/>
      <c r="P140" s="4"/>
      <c r="Q140" s="13"/>
    </row>
    <row r="141" spans="11:17">
      <c r="K141" s="5"/>
      <c r="L141" s="5"/>
      <c r="M141" s="5"/>
      <c r="N141" s="5"/>
      <c r="O141" s="5"/>
      <c r="P141" s="4"/>
      <c r="Q141" s="13"/>
    </row>
    <row r="142" spans="11:17">
      <c r="K142" s="5"/>
      <c r="L142" s="5"/>
      <c r="M142" s="5"/>
      <c r="N142" s="5"/>
      <c r="O142" s="5"/>
      <c r="P142" s="4"/>
      <c r="Q142" s="13"/>
    </row>
    <row r="143" spans="11:17">
      <c r="K143" s="5"/>
      <c r="L143" s="5"/>
      <c r="M143" s="5"/>
      <c r="N143" s="5"/>
      <c r="O143" s="5"/>
      <c r="P143" s="4"/>
      <c r="Q143" s="13"/>
    </row>
    <row r="144" spans="11:17">
      <c r="K144" s="5"/>
      <c r="L144" s="5"/>
      <c r="M144" s="5"/>
      <c r="N144" s="5"/>
      <c r="O144" s="5"/>
      <c r="P144" s="4"/>
      <c r="Q144" s="13"/>
    </row>
    <row r="145" spans="11:17">
      <c r="K145" s="5"/>
      <c r="L145" s="5"/>
      <c r="M145" s="5"/>
      <c r="N145" s="5"/>
      <c r="O145" s="5"/>
      <c r="P145" s="4"/>
      <c r="Q145" s="13"/>
    </row>
    <row r="146" spans="11:17">
      <c r="K146" s="5"/>
      <c r="L146" s="5"/>
      <c r="M146" s="5"/>
      <c r="N146" s="5"/>
      <c r="O146" s="5"/>
      <c r="P146" s="4"/>
      <c r="Q146" s="13"/>
    </row>
    <row r="147" spans="11:17">
      <c r="K147" s="5"/>
      <c r="L147" s="5"/>
      <c r="M147" s="5"/>
      <c r="N147" s="5"/>
      <c r="O147" s="5"/>
      <c r="P147" s="4"/>
      <c r="Q147" s="13"/>
    </row>
    <row r="148" spans="11:17">
      <c r="K148" s="5"/>
      <c r="L148" s="5"/>
      <c r="M148" s="5"/>
      <c r="N148" s="5"/>
      <c r="O148" s="5"/>
      <c r="P148" s="4"/>
      <c r="Q148" s="13"/>
    </row>
    <row r="149" spans="11:17">
      <c r="K149" s="5"/>
      <c r="L149" s="5"/>
      <c r="M149" s="5"/>
      <c r="N149" s="5"/>
      <c r="O149" s="5"/>
      <c r="P149" s="4"/>
      <c r="Q149" s="13"/>
    </row>
    <row r="150" spans="11:17">
      <c r="K150" s="5"/>
      <c r="L150" s="5"/>
      <c r="M150" s="5"/>
      <c r="N150" s="5"/>
      <c r="O150" s="5"/>
      <c r="P150" s="4"/>
      <c r="Q150" s="13"/>
    </row>
    <row r="151" spans="11:17">
      <c r="K151" s="5"/>
      <c r="L151" s="5"/>
      <c r="M151" s="5"/>
      <c r="N151" s="5"/>
      <c r="O151" s="5"/>
      <c r="P151" s="4"/>
      <c r="Q151" s="13"/>
    </row>
    <row r="152" spans="11:17">
      <c r="K152" s="5"/>
      <c r="L152" s="5"/>
      <c r="M152" s="5"/>
      <c r="N152" s="5"/>
      <c r="O152" s="5"/>
      <c r="P152" s="4"/>
      <c r="Q152" s="13"/>
    </row>
    <row r="153" spans="11:17">
      <c r="K153" s="5"/>
      <c r="L153" s="5"/>
      <c r="M153" s="5"/>
      <c r="N153" s="5"/>
      <c r="O153" s="5"/>
      <c r="P153" s="4"/>
      <c r="Q153" s="13"/>
    </row>
    <row r="154" spans="11:17">
      <c r="K154" s="5"/>
      <c r="L154" s="5"/>
      <c r="M154" s="5"/>
      <c r="N154" s="5"/>
      <c r="O154" s="5"/>
      <c r="P154" s="4"/>
      <c r="Q154" s="13"/>
    </row>
    <row r="155" spans="11:17">
      <c r="K155" s="5"/>
      <c r="L155" s="5"/>
      <c r="M155" s="5"/>
      <c r="N155" s="5"/>
      <c r="O155" s="5"/>
      <c r="P155" s="4"/>
      <c r="Q155" s="13"/>
    </row>
    <row r="156" spans="11:17">
      <c r="K156" s="5"/>
      <c r="L156" s="5"/>
      <c r="M156" s="5"/>
      <c r="N156" s="5"/>
      <c r="O156" s="5"/>
      <c r="P156" s="4"/>
      <c r="Q156" s="13"/>
    </row>
    <row r="157" spans="11:17">
      <c r="K157" s="5"/>
      <c r="L157" s="5"/>
      <c r="M157" s="5"/>
      <c r="N157" s="5"/>
      <c r="O157" s="5"/>
      <c r="P157" s="4"/>
      <c r="Q157" s="13"/>
    </row>
    <row r="158" spans="11:17">
      <c r="K158" s="5"/>
      <c r="L158" s="5"/>
      <c r="M158" s="5"/>
      <c r="N158" s="5"/>
      <c r="O158" s="5"/>
      <c r="P158" s="4"/>
      <c r="Q158" s="13"/>
    </row>
    <row r="159" spans="11:17">
      <c r="K159" s="5"/>
      <c r="L159" s="5"/>
      <c r="M159" s="5"/>
      <c r="N159" s="5"/>
      <c r="O159" s="5"/>
      <c r="P159" s="4"/>
      <c r="Q159" s="13"/>
    </row>
    <row r="160" spans="11:17">
      <c r="K160" s="5"/>
      <c r="L160" s="5"/>
      <c r="M160" s="5"/>
      <c r="N160" s="5"/>
      <c r="O160" s="5"/>
      <c r="P160" s="4"/>
      <c r="Q160" s="13"/>
    </row>
    <row r="161" spans="11:17">
      <c r="K161" s="5"/>
      <c r="L161" s="5"/>
      <c r="M161" s="5"/>
      <c r="N161" s="5"/>
      <c r="O161" s="5"/>
      <c r="P161" s="4"/>
      <c r="Q161" s="13"/>
    </row>
    <row r="162" spans="11:17">
      <c r="K162" s="5"/>
      <c r="L162" s="5"/>
      <c r="M162" s="5"/>
      <c r="N162" s="5"/>
      <c r="O162" s="5"/>
      <c r="P162" s="4"/>
      <c r="Q162" s="13"/>
    </row>
    <row r="163" spans="11:17">
      <c r="K163" s="5"/>
      <c r="L163" s="5"/>
      <c r="M163" s="5"/>
      <c r="N163" s="5"/>
      <c r="O163" s="5"/>
      <c r="P163" s="4"/>
      <c r="Q163" s="13"/>
    </row>
    <row r="164" spans="11:17">
      <c r="K164" s="5"/>
      <c r="L164" s="5"/>
      <c r="M164" s="5"/>
      <c r="N164" s="5"/>
      <c r="O164" s="5"/>
      <c r="P164" s="4"/>
      <c r="Q164" s="13"/>
    </row>
    <row r="165" spans="11:17">
      <c r="K165" s="5"/>
      <c r="L165" s="5"/>
      <c r="M165" s="5"/>
      <c r="N165" s="5"/>
      <c r="O165" s="5"/>
      <c r="P165" s="4"/>
      <c r="Q165" s="13"/>
    </row>
    <row r="166" spans="11:17">
      <c r="K166" s="5"/>
      <c r="L166" s="5"/>
      <c r="M166" s="5"/>
      <c r="N166" s="5"/>
      <c r="O166" s="5"/>
      <c r="P166" s="4"/>
      <c r="Q166" s="13"/>
    </row>
    <row r="167" spans="11:17">
      <c r="K167" s="5"/>
      <c r="L167" s="5"/>
      <c r="M167" s="5"/>
      <c r="N167" s="5"/>
      <c r="O167" s="5"/>
      <c r="P167" s="4"/>
      <c r="Q167" s="13"/>
    </row>
    <row r="168" spans="11:17">
      <c r="K168" s="5"/>
      <c r="L168" s="5"/>
      <c r="M168" s="5"/>
      <c r="N168" s="5"/>
      <c r="O168" s="5"/>
      <c r="P168" s="4"/>
      <c r="Q168" s="13"/>
    </row>
    <row r="169" spans="11:17">
      <c r="K169" s="5"/>
      <c r="L169" s="5"/>
      <c r="M169" s="5"/>
      <c r="N169" s="5"/>
      <c r="O169" s="5"/>
      <c r="P169" s="4"/>
      <c r="Q169" s="13"/>
    </row>
    <row r="170" spans="11:17">
      <c r="K170" s="5"/>
      <c r="L170" s="5"/>
      <c r="M170" s="5"/>
      <c r="N170" s="5"/>
      <c r="O170" s="5"/>
      <c r="P170" s="4"/>
      <c r="Q170" s="13"/>
    </row>
    <row r="171" spans="11:17">
      <c r="K171" s="5"/>
      <c r="L171" s="5"/>
      <c r="M171" s="5"/>
      <c r="N171" s="5"/>
      <c r="O171" s="5"/>
      <c r="P171" s="4"/>
      <c r="Q171" s="13"/>
    </row>
    <row r="172" spans="11:17">
      <c r="K172" s="5"/>
      <c r="L172" s="5"/>
      <c r="M172" s="5"/>
      <c r="N172" s="5"/>
      <c r="O172" s="5"/>
      <c r="P172" s="4"/>
      <c r="Q172" s="13"/>
    </row>
    <row r="173" spans="11:17">
      <c r="K173" s="5"/>
      <c r="L173" s="5"/>
      <c r="M173" s="5"/>
      <c r="N173" s="5"/>
      <c r="O173" s="5"/>
      <c r="P173" s="4"/>
      <c r="Q173" s="13"/>
    </row>
    <row r="174" spans="11:17">
      <c r="K174" s="5"/>
      <c r="L174" s="5"/>
      <c r="M174" s="5"/>
      <c r="N174" s="5"/>
      <c r="O174" s="5"/>
      <c r="P174" s="4"/>
      <c r="Q174" s="13"/>
    </row>
    <row r="175" spans="11:17">
      <c r="K175" s="5"/>
      <c r="L175" s="5"/>
      <c r="M175" s="5"/>
      <c r="N175" s="5"/>
      <c r="O175" s="5"/>
      <c r="P175" s="4"/>
      <c r="Q175" s="13"/>
    </row>
    <row r="176" spans="11:17">
      <c r="K176" s="5"/>
      <c r="L176" s="5"/>
      <c r="M176" s="5"/>
      <c r="N176" s="5"/>
      <c r="O176" s="5"/>
      <c r="P176" s="4"/>
      <c r="Q176" s="13"/>
    </row>
    <row r="177" spans="11:17">
      <c r="K177" s="5"/>
      <c r="L177" s="5"/>
      <c r="M177" s="5"/>
      <c r="N177" s="5"/>
      <c r="O177" s="5"/>
      <c r="P177" s="4"/>
      <c r="Q177" s="13"/>
    </row>
    <row r="178" spans="11:17">
      <c r="K178" s="5"/>
      <c r="L178" s="5"/>
      <c r="M178" s="5"/>
      <c r="N178" s="5"/>
      <c r="O178" s="5"/>
      <c r="P178" s="4"/>
      <c r="Q178" s="13"/>
    </row>
    <row r="179" spans="11:17">
      <c r="K179" s="5"/>
      <c r="L179" s="5"/>
      <c r="M179" s="5"/>
      <c r="N179" s="5"/>
      <c r="O179" s="5"/>
      <c r="P179" s="4"/>
      <c r="Q179" s="13"/>
    </row>
    <row r="180" spans="11:17">
      <c r="K180" s="5"/>
      <c r="L180" s="5"/>
      <c r="M180" s="5"/>
      <c r="N180" s="5"/>
      <c r="O180" s="5"/>
      <c r="P180" s="4"/>
      <c r="Q180" s="13"/>
    </row>
    <row r="181" spans="11:17">
      <c r="K181" s="5"/>
      <c r="L181" s="5"/>
      <c r="M181" s="5"/>
      <c r="N181" s="5"/>
      <c r="O181" s="5"/>
      <c r="P181" s="4"/>
      <c r="Q181" s="13"/>
    </row>
    <row r="182" spans="11:17">
      <c r="K182" s="5"/>
      <c r="L182" s="5"/>
      <c r="M182" s="5"/>
      <c r="N182" s="5"/>
      <c r="O182" s="5"/>
      <c r="P182" s="4"/>
      <c r="Q182" s="13"/>
    </row>
    <row r="183" spans="11:17">
      <c r="K183" s="5"/>
      <c r="L183" s="5"/>
      <c r="M183" s="5"/>
      <c r="N183" s="5"/>
      <c r="O183" s="5"/>
      <c r="P183" s="4"/>
      <c r="Q183" s="13"/>
    </row>
    <row r="184" spans="11:17">
      <c r="K184" s="5"/>
      <c r="L184" s="5"/>
      <c r="M184" s="5"/>
      <c r="N184" s="5"/>
      <c r="O184" s="5"/>
      <c r="P184" s="4"/>
      <c r="Q184" s="13"/>
    </row>
    <row r="185" spans="11:17">
      <c r="K185" s="5"/>
      <c r="L185" s="5"/>
      <c r="M185" s="5"/>
      <c r="N185" s="5"/>
      <c r="O185" s="5"/>
      <c r="P185" s="4"/>
      <c r="Q185" s="13"/>
    </row>
    <row r="186" spans="11:17">
      <c r="K186" s="5"/>
      <c r="L186" s="5"/>
      <c r="M186" s="5"/>
      <c r="N186" s="5"/>
      <c r="O186" s="5"/>
      <c r="P186" s="4"/>
      <c r="Q186" s="13"/>
    </row>
    <row r="187" spans="11:17">
      <c r="K187" s="5"/>
      <c r="L187" s="5"/>
      <c r="M187" s="5"/>
      <c r="N187" s="5"/>
      <c r="O187" s="5"/>
      <c r="P187" s="4"/>
      <c r="Q187" s="13"/>
    </row>
    <row r="188" spans="11:17">
      <c r="K188" s="5"/>
      <c r="L188" s="5"/>
      <c r="M188" s="5"/>
      <c r="N188" s="5"/>
      <c r="O188" s="5"/>
      <c r="P188" s="4"/>
      <c r="Q188" s="13"/>
    </row>
    <row r="189" spans="11:17">
      <c r="K189" s="5"/>
      <c r="L189" s="5"/>
      <c r="M189" s="5"/>
      <c r="N189" s="5"/>
      <c r="O189" s="5"/>
      <c r="P189" s="4"/>
      <c r="Q189" s="13"/>
    </row>
    <row r="190" spans="11:17">
      <c r="K190" s="5"/>
      <c r="L190" s="5"/>
      <c r="M190" s="5"/>
      <c r="N190" s="5"/>
      <c r="O190" s="5"/>
      <c r="P190" s="4"/>
      <c r="Q190" s="13"/>
    </row>
    <row r="191" spans="11:17">
      <c r="K191" s="5"/>
      <c r="L191" s="5"/>
      <c r="M191" s="5"/>
      <c r="N191" s="5"/>
      <c r="O191" s="5"/>
      <c r="P191" s="4"/>
      <c r="Q191" s="13"/>
    </row>
    <row r="192" spans="11:17">
      <c r="K192" s="5"/>
      <c r="L192" s="5"/>
      <c r="M192" s="5"/>
      <c r="N192" s="5"/>
      <c r="O192" s="5"/>
      <c r="P192" s="4"/>
      <c r="Q192" s="13"/>
    </row>
    <row r="193" spans="11:17">
      <c r="K193" s="5"/>
      <c r="L193" s="5"/>
      <c r="M193" s="5"/>
      <c r="N193" s="5"/>
      <c r="O193" s="5"/>
      <c r="P193" s="4"/>
      <c r="Q193" s="13"/>
    </row>
    <row r="194" spans="11:17">
      <c r="K194" s="5"/>
      <c r="L194" s="5"/>
      <c r="M194" s="5"/>
      <c r="N194" s="5"/>
      <c r="O194" s="5"/>
      <c r="P194" s="4"/>
      <c r="Q194" s="13"/>
    </row>
    <row r="195" spans="11:17">
      <c r="K195" s="5"/>
      <c r="L195" s="5"/>
      <c r="M195" s="5"/>
      <c r="N195" s="5"/>
      <c r="O195" s="5"/>
      <c r="P195" s="4"/>
      <c r="Q195" s="13"/>
    </row>
    <row r="196" spans="11:17">
      <c r="K196" s="5"/>
      <c r="L196" s="5"/>
      <c r="M196" s="5"/>
      <c r="N196" s="5"/>
      <c r="O196" s="5"/>
      <c r="P196" s="4"/>
      <c r="Q196" s="13"/>
    </row>
    <row r="197" spans="11:17">
      <c r="K197" s="5"/>
      <c r="L197" s="5"/>
      <c r="M197" s="5"/>
      <c r="N197" s="5"/>
      <c r="O197" s="5"/>
      <c r="P197" s="4"/>
      <c r="Q197" s="13"/>
    </row>
    <row r="198" spans="11:17">
      <c r="K198" s="5"/>
      <c r="L198" s="5"/>
      <c r="M198" s="5"/>
      <c r="N198" s="5"/>
      <c r="O198" s="5"/>
      <c r="P198" s="4"/>
      <c r="Q198" s="13"/>
    </row>
    <row r="199" spans="11:17">
      <c r="K199" s="5"/>
      <c r="L199" s="5"/>
      <c r="M199" s="5"/>
      <c r="N199" s="5"/>
      <c r="O199" s="5"/>
      <c r="P199" s="4"/>
      <c r="Q199" s="13"/>
    </row>
    <row r="200" spans="11:17">
      <c r="K200" s="5"/>
      <c r="L200" s="5"/>
      <c r="M200" s="5"/>
      <c r="N200" s="5"/>
      <c r="O200" s="5"/>
      <c r="P200" s="4"/>
      <c r="Q200" s="13"/>
    </row>
    <row r="201" spans="11:17">
      <c r="K201" s="5"/>
      <c r="L201" s="5"/>
      <c r="M201" s="5"/>
      <c r="N201" s="5"/>
      <c r="O201" s="5"/>
      <c r="P201" s="4"/>
      <c r="Q201" s="13"/>
    </row>
    <row r="202" spans="11:17">
      <c r="K202" s="5"/>
      <c r="L202" s="5"/>
      <c r="M202" s="5"/>
      <c r="N202" s="5"/>
      <c r="O202" s="5"/>
      <c r="P202" s="4"/>
      <c r="Q202" s="13"/>
    </row>
    <row r="203" spans="11:17">
      <c r="K203" s="5"/>
      <c r="L203" s="5"/>
      <c r="M203" s="5"/>
      <c r="N203" s="5"/>
      <c r="O203" s="5"/>
      <c r="P203" s="4"/>
      <c r="Q203" s="13"/>
    </row>
    <row r="204" spans="11:17">
      <c r="K204" s="5"/>
      <c r="L204" s="5"/>
      <c r="M204" s="5"/>
      <c r="N204" s="5"/>
      <c r="O204" s="5"/>
      <c r="P204" s="4"/>
      <c r="Q204" s="13"/>
    </row>
    <row r="205" spans="11:17">
      <c r="K205" s="5"/>
      <c r="L205" s="5"/>
      <c r="M205" s="5"/>
      <c r="N205" s="5"/>
      <c r="O205" s="5"/>
      <c r="P205" s="4"/>
      <c r="Q205" s="13"/>
    </row>
    <row r="206" spans="11:17">
      <c r="K206" s="5"/>
      <c r="L206" s="5"/>
      <c r="M206" s="5"/>
      <c r="N206" s="5"/>
      <c r="O206" s="5"/>
      <c r="P206" s="4"/>
      <c r="Q206" s="13"/>
    </row>
    <row r="207" spans="11:17">
      <c r="K207" s="5"/>
      <c r="L207" s="5"/>
      <c r="M207" s="5"/>
      <c r="N207" s="5"/>
      <c r="O207" s="5"/>
      <c r="P207" s="4"/>
      <c r="Q207" s="13"/>
    </row>
    <row r="208" spans="11:17">
      <c r="K208" s="5"/>
      <c r="L208" s="5"/>
      <c r="M208" s="5"/>
      <c r="N208" s="5"/>
      <c r="O208" s="5"/>
      <c r="P208" s="4"/>
      <c r="Q208" s="13"/>
    </row>
    <row r="209" spans="11:17">
      <c r="K209" s="5"/>
      <c r="L209" s="5"/>
      <c r="M209" s="5"/>
      <c r="N209" s="5"/>
      <c r="O209" s="5"/>
      <c r="P209" s="4"/>
      <c r="Q209" s="13"/>
    </row>
    <row r="210" spans="11:17">
      <c r="K210" s="5"/>
      <c r="L210" s="5"/>
      <c r="M210" s="5"/>
      <c r="N210" s="5"/>
      <c r="O210" s="5"/>
      <c r="P210" s="4"/>
      <c r="Q210" s="13"/>
    </row>
    <row r="211" spans="11:17">
      <c r="K211" s="5"/>
      <c r="L211" s="5"/>
      <c r="M211" s="5"/>
      <c r="N211" s="5"/>
      <c r="O211" s="5"/>
      <c r="P211" s="4"/>
      <c r="Q211" s="13"/>
    </row>
    <row r="212" spans="11:17">
      <c r="K212" s="5"/>
      <c r="L212" s="5"/>
      <c r="M212" s="5"/>
      <c r="N212" s="5"/>
      <c r="O212" s="5"/>
      <c r="P212" s="4"/>
      <c r="Q212" s="13"/>
    </row>
    <row r="213" spans="11:17">
      <c r="K213" s="5"/>
      <c r="L213" s="5"/>
      <c r="M213" s="5"/>
      <c r="N213" s="5"/>
      <c r="O213" s="5"/>
      <c r="P213" s="4"/>
      <c r="Q213" s="13"/>
    </row>
    <row r="214" spans="11:17">
      <c r="K214" s="5"/>
      <c r="L214" s="5"/>
      <c r="M214" s="5"/>
      <c r="N214" s="5"/>
      <c r="O214" s="5"/>
      <c r="P214" s="4"/>
      <c r="Q214" s="13"/>
    </row>
    <row r="215" spans="11:17">
      <c r="K215" s="5"/>
      <c r="L215" s="5"/>
      <c r="M215" s="5"/>
      <c r="N215" s="5"/>
      <c r="O215" s="5"/>
      <c r="P215" s="4"/>
      <c r="Q215" s="13"/>
    </row>
    <row r="216" spans="11:17">
      <c r="K216" s="5"/>
      <c r="L216" s="5"/>
      <c r="M216" s="5"/>
      <c r="N216" s="5"/>
      <c r="O216" s="5"/>
      <c r="P216" s="4"/>
      <c r="Q216" s="13"/>
    </row>
    <row r="217" spans="11:17">
      <c r="K217" s="5"/>
      <c r="L217" s="5"/>
      <c r="M217" s="5"/>
      <c r="N217" s="5"/>
      <c r="O217" s="5"/>
      <c r="P217" s="4"/>
      <c r="Q217" s="13"/>
    </row>
    <row r="218" spans="11:17">
      <c r="K218" s="5"/>
      <c r="L218" s="5"/>
      <c r="M218" s="5"/>
      <c r="N218" s="5"/>
      <c r="O218" s="5"/>
      <c r="P218" s="4"/>
      <c r="Q218" s="13"/>
    </row>
    <row r="219" spans="11:17">
      <c r="K219" s="5"/>
      <c r="L219" s="5"/>
      <c r="M219" s="5"/>
      <c r="N219" s="5"/>
      <c r="O219" s="5"/>
      <c r="P219" s="4"/>
      <c r="Q219" s="13"/>
    </row>
    <row r="220" spans="11:17">
      <c r="K220" s="5"/>
      <c r="L220" s="5"/>
      <c r="M220" s="5"/>
      <c r="N220" s="5"/>
      <c r="O220" s="5"/>
      <c r="P220" s="4"/>
      <c r="Q220" s="13"/>
    </row>
    <row r="221" spans="11:17">
      <c r="K221" s="5"/>
      <c r="L221" s="5"/>
      <c r="M221" s="5"/>
      <c r="N221" s="5"/>
      <c r="O221" s="5"/>
      <c r="P221" s="4"/>
      <c r="Q221" s="13"/>
    </row>
    <row r="222" spans="11:17">
      <c r="K222" s="5"/>
      <c r="L222" s="5"/>
      <c r="M222" s="5"/>
      <c r="N222" s="5"/>
      <c r="O222" s="5"/>
      <c r="P222" s="4"/>
      <c r="Q222" s="13"/>
    </row>
    <row r="223" spans="11:17">
      <c r="K223" s="5"/>
      <c r="L223" s="5"/>
      <c r="M223" s="5"/>
      <c r="N223" s="5"/>
      <c r="O223" s="5"/>
      <c r="P223" s="4"/>
      <c r="Q223" s="13"/>
    </row>
    <row r="224" spans="11:17">
      <c r="K224" s="5"/>
      <c r="L224" s="5"/>
      <c r="M224" s="5"/>
      <c r="N224" s="5"/>
      <c r="O224" s="5"/>
      <c r="P224" s="4"/>
      <c r="Q224" s="13"/>
    </row>
    <row r="225" spans="11:17">
      <c r="K225" s="5"/>
      <c r="L225" s="5"/>
      <c r="M225" s="5"/>
      <c r="N225" s="5"/>
      <c r="O225" s="5"/>
      <c r="P225" s="4"/>
      <c r="Q225" s="13"/>
    </row>
  </sheetData>
  <sheetProtection sheet="1" selectLockedCells="1"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04AF0-C40F-48AB-8FE4-EA14EFF442E3}">
  <sheetPr codeName="Sheet6"/>
  <dimension ref="A1:T225"/>
  <sheetViews>
    <sheetView showGridLines="0" workbookViewId="0" xr3:uid="{9E2BFA9E-3788-59B6-BE77-085ADA2AE047}">
      <selection activeCell="D46" sqref="D46:D65"/>
    </sheetView>
  </sheetViews>
  <sheetFormatPr defaultRowHeight="14.45"/>
  <cols>
    <col min="1" max="1" width="12.140625" customWidth="1"/>
    <col min="2" max="2" width="23" customWidth="1"/>
    <col min="3" max="3" width="24.85546875" customWidth="1"/>
    <col min="4" max="4" width="3.28515625" customWidth="1"/>
    <col min="5" max="5" width="29" customWidth="1"/>
    <col min="6" max="6" width="3.28515625" customWidth="1"/>
    <col min="7" max="7" width="12.42578125" customWidth="1"/>
    <col min="8" max="8" width="7.85546875" customWidth="1"/>
    <col min="9" max="9" width="2.140625" style="31" customWidth="1"/>
    <col min="10" max="10" width="3" style="55" customWidth="1"/>
    <col min="11" max="11" width="2.28515625" style="55" customWidth="1"/>
    <col min="12" max="12" width="22.5703125" style="1" customWidth="1"/>
  </cols>
  <sheetData>
    <row r="1" spans="1:20" s="85" customFormat="1" ht="25.15" customHeight="1">
      <c r="A1" s="79" t="s">
        <v>0</v>
      </c>
      <c r="B1" s="80"/>
      <c r="C1" s="80"/>
      <c r="D1" s="81"/>
      <c r="E1" s="81"/>
      <c r="F1" s="81"/>
      <c r="G1" s="81"/>
      <c r="H1" s="82"/>
      <c r="I1" s="83"/>
      <c r="J1" s="83"/>
      <c r="K1" s="99"/>
      <c r="L1" s="84"/>
      <c r="M1" s="84"/>
      <c r="N1" s="84"/>
      <c r="O1" s="84"/>
      <c r="Q1" s="86"/>
      <c r="R1" s="83"/>
      <c r="S1" s="83"/>
    </row>
    <row r="2" spans="1:20" s="85" customFormat="1" ht="25.15" customHeight="1">
      <c r="A2" s="87">
        <f ca="1">TODAY()</f>
        <v>43582</v>
      </c>
      <c r="B2" s="88">
        <f>SUM(H5:H65)/59</f>
        <v>0</v>
      </c>
      <c r="D2" s="89" t="s">
        <v>164</v>
      </c>
      <c r="E2" s="81"/>
      <c r="F2" s="81"/>
      <c r="G2" s="81"/>
      <c r="H2" s="82"/>
      <c r="I2" s="83"/>
      <c r="J2" s="83"/>
      <c r="K2" s="88"/>
      <c r="L2" s="84"/>
      <c r="M2" s="79"/>
      <c r="N2" s="79"/>
      <c r="O2" s="79"/>
      <c r="P2" s="81"/>
      <c r="Q2" s="90"/>
      <c r="R2" s="83"/>
      <c r="S2" s="83"/>
    </row>
    <row r="3" spans="1:20">
      <c r="C3" s="4"/>
      <c r="D3" s="4"/>
      <c r="E3" s="4"/>
      <c r="F3" s="4"/>
      <c r="G3" s="4"/>
      <c r="H3" s="4"/>
      <c r="I3" s="28"/>
      <c r="L3" s="10"/>
      <c r="M3" s="1"/>
      <c r="N3" s="5"/>
      <c r="O3" s="5"/>
      <c r="P3" s="5"/>
      <c r="Q3" s="4"/>
      <c r="R3" s="13"/>
      <c r="S3" s="55"/>
      <c r="T3" s="55"/>
    </row>
    <row r="4" spans="1:20" s="71" customFormat="1" ht="18" customHeight="1">
      <c r="B4" s="72"/>
      <c r="C4" s="73"/>
      <c r="E4" s="78" t="s">
        <v>165</v>
      </c>
      <c r="F4" s="73"/>
      <c r="G4" s="72"/>
      <c r="H4" s="74"/>
      <c r="I4" s="75"/>
      <c r="J4" s="75"/>
      <c r="K4" s="73"/>
      <c r="L4" s="73"/>
      <c r="M4" s="76"/>
      <c r="N4" s="73"/>
      <c r="O4" s="73"/>
      <c r="P4" s="72"/>
      <c r="Q4" s="77"/>
      <c r="R4" s="75"/>
      <c r="S4" s="75"/>
    </row>
    <row r="5" spans="1:20" ht="18" customHeight="1">
      <c r="B5" s="20">
        <v>1</v>
      </c>
      <c r="C5" s="18" t="str">
        <f>I5</f>
        <v>Were I awake?</v>
      </c>
      <c r="D5" s="17"/>
      <c r="E5" s="18" t="str">
        <f>J5</f>
        <v>Was I awake?</v>
      </c>
      <c r="F5" s="3"/>
      <c r="G5" s="6" t="str">
        <f>IF(AND($D5="",$F5="C"),"correct","")</f>
        <v/>
      </c>
      <c r="H5" s="29">
        <f>IF(G5="correct",1,0)</f>
        <v>0</v>
      </c>
      <c r="I5" s="30" t="s">
        <v>143</v>
      </c>
      <c r="J5" s="30" t="s">
        <v>142</v>
      </c>
      <c r="K5" s="1"/>
      <c r="L5" s="30" t="s">
        <v>142</v>
      </c>
      <c r="M5" s="1"/>
      <c r="N5" s="1"/>
      <c r="O5" s="1"/>
      <c r="Q5" s="12"/>
      <c r="R5" s="55"/>
      <c r="S5" s="55"/>
    </row>
    <row r="6" spans="1:20" ht="18" customHeight="1">
      <c r="B6" s="20">
        <f>1+B5</f>
        <v>2</v>
      </c>
      <c r="C6" s="18" t="str">
        <f t="shared" ref="C6:C43" si="0">I6</f>
        <v>Were she smart?</v>
      </c>
      <c r="D6" s="17"/>
      <c r="E6" s="18" t="str">
        <f t="shared" ref="E6:E43" si="1">J6</f>
        <v>Was she smart?</v>
      </c>
      <c r="F6" s="3"/>
      <c r="G6" s="6" t="str">
        <f>IF(AND($D6="",$F6="C"),"correct","")</f>
        <v/>
      </c>
      <c r="H6" s="29">
        <f>IF(G6="correct",1,0)</f>
        <v>0</v>
      </c>
      <c r="I6" s="30" t="s">
        <v>6</v>
      </c>
      <c r="J6" s="30" t="s">
        <v>5</v>
      </c>
      <c r="K6" s="1"/>
      <c r="L6" s="30" t="s">
        <v>5</v>
      </c>
      <c r="M6" s="1"/>
      <c r="N6" s="1"/>
      <c r="O6" s="1"/>
      <c r="Q6" s="12"/>
      <c r="R6" s="55"/>
      <c r="S6" s="55"/>
    </row>
    <row r="7" spans="1:20" ht="18" customHeight="1">
      <c r="B7" s="20">
        <f t="shared" ref="B7:B43" si="2">1+B6</f>
        <v>3</v>
      </c>
      <c r="C7" s="18" t="str">
        <f t="shared" si="0"/>
        <v>We were not hot.</v>
      </c>
      <c r="D7" s="17"/>
      <c r="E7" s="18" t="str">
        <f t="shared" si="1"/>
        <v>We be not hot.</v>
      </c>
      <c r="F7" s="3"/>
      <c r="G7" s="6" t="str">
        <f>IF(AND($F7="",$D7="C"),"correct","")</f>
        <v/>
      </c>
      <c r="H7" s="29">
        <f t="shared" ref="H7:H43" si="3">IF(G7="correct",1,0)</f>
        <v>0</v>
      </c>
      <c r="I7" s="30" t="s">
        <v>8</v>
      </c>
      <c r="J7" s="30" t="s">
        <v>7</v>
      </c>
      <c r="K7" s="1"/>
      <c r="L7" s="30" t="s">
        <v>7</v>
      </c>
      <c r="M7" s="1"/>
      <c r="N7" s="1"/>
      <c r="O7" s="1"/>
      <c r="Q7" s="12"/>
      <c r="R7" s="55"/>
      <c r="S7" s="55"/>
    </row>
    <row r="8" spans="1:20" ht="18" customHeight="1">
      <c r="B8" s="20">
        <f t="shared" si="2"/>
        <v>4</v>
      </c>
      <c r="C8" s="18" t="str">
        <f t="shared" si="0"/>
        <v>I were not awake.</v>
      </c>
      <c r="D8" s="17"/>
      <c r="E8" s="18" t="str">
        <f t="shared" si="1"/>
        <v>I was not awake.</v>
      </c>
      <c r="F8" s="3"/>
      <c r="G8" s="6" t="str">
        <f>IF(AND($D8="",$F8="C"),"correct","")</f>
        <v/>
      </c>
      <c r="H8" s="29">
        <f t="shared" si="3"/>
        <v>0</v>
      </c>
      <c r="I8" s="30" t="s">
        <v>145</v>
      </c>
      <c r="J8" s="30" t="s">
        <v>144</v>
      </c>
      <c r="K8" s="1"/>
      <c r="L8" s="30" t="s">
        <v>144</v>
      </c>
      <c r="M8" s="1"/>
      <c r="N8" s="1"/>
      <c r="O8" s="1"/>
      <c r="Q8" s="12"/>
      <c r="R8" s="55"/>
      <c r="S8" s="55"/>
    </row>
    <row r="9" spans="1:20" ht="18" customHeight="1">
      <c r="B9" s="20">
        <f t="shared" si="2"/>
        <v>5</v>
      </c>
      <c r="C9" s="18" t="str">
        <f t="shared" si="0"/>
        <v>Were they boys?</v>
      </c>
      <c r="D9" s="17"/>
      <c r="E9" s="18" t="str">
        <f t="shared" si="1"/>
        <v>Was they boys?</v>
      </c>
      <c r="F9" s="3"/>
      <c r="G9" s="6" t="str">
        <f>IF(AND($F9="",$D9="C"),"correct","")</f>
        <v/>
      </c>
      <c r="H9" s="29">
        <f t="shared" si="3"/>
        <v>0</v>
      </c>
      <c r="I9" s="30" t="s">
        <v>147</v>
      </c>
      <c r="J9" s="30" t="s">
        <v>146</v>
      </c>
      <c r="K9" s="1"/>
      <c r="L9" s="30" t="s">
        <v>146</v>
      </c>
      <c r="M9" s="1"/>
      <c r="N9" s="1"/>
      <c r="O9" s="1"/>
      <c r="Q9" s="12"/>
      <c r="R9" s="55"/>
      <c r="S9" s="55"/>
    </row>
    <row r="10" spans="1:20" ht="18" customHeight="1">
      <c r="B10" s="20">
        <f t="shared" si="2"/>
        <v>6</v>
      </c>
      <c r="C10" s="18" t="str">
        <f t="shared" si="0"/>
        <v>Was they here?</v>
      </c>
      <c r="D10" s="17"/>
      <c r="E10" s="18" t="str">
        <f t="shared" si="1"/>
        <v>Were they here?</v>
      </c>
      <c r="F10" s="3"/>
      <c r="G10" s="6" t="str">
        <f>IF(AND($D10="",$F10="C"),"correct","")</f>
        <v/>
      </c>
      <c r="H10" s="29">
        <f t="shared" si="3"/>
        <v>0</v>
      </c>
      <c r="I10" s="30" t="s">
        <v>11</v>
      </c>
      <c r="J10" s="30" t="s">
        <v>12</v>
      </c>
      <c r="K10" s="1"/>
      <c r="L10" s="30" t="s">
        <v>12</v>
      </c>
      <c r="M10" s="1"/>
      <c r="N10" s="1"/>
      <c r="O10" s="1"/>
      <c r="Q10" s="12"/>
      <c r="R10" s="55"/>
      <c r="S10" s="55"/>
    </row>
    <row r="11" spans="1:20" ht="18" customHeight="1">
      <c r="B11" s="20">
        <f t="shared" si="2"/>
        <v>7</v>
      </c>
      <c r="C11" s="18" t="str">
        <f t="shared" si="0"/>
        <v>Was you tired?</v>
      </c>
      <c r="D11" s="17"/>
      <c r="E11" s="18" t="str">
        <f t="shared" si="1"/>
        <v>Were you tired?</v>
      </c>
      <c r="F11" s="3"/>
      <c r="G11" s="6" t="str">
        <f>IF(AND($D11="",$F11="C"),"correct","")</f>
        <v/>
      </c>
      <c r="H11" s="29">
        <f t="shared" si="3"/>
        <v>0</v>
      </c>
      <c r="I11" s="30" t="s">
        <v>14</v>
      </c>
      <c r="J11" s="30" t="s">
        <v>13</v>
      </c>
      <c r="K11" s="1"/>
      <c r="L11" s="30" t="s">
        <v>13</v>
      </c>
      <c r="M11" s="1"/>
      <c r="N11" s="1"/>
      <c r="O11" s="1"/>
      <c r="Q11" s="12"/>
      <c r="R11" s="55"/>
      <c r="S11" s="55"/>
    </row>
    <row r="12" spans="1:20" ht="18" customHeight="1">
      <c r="B12" s="20">
        <f t="shared" si="2"/>
        <v>8</v>
      </c>
      <c r="C12" s="18" t="str">
        <f t="shared" si="0"/>
        <v>Was he strong?</v>
      </c>
      <c r="D12" s="17"/>
      <c r="E12" s="18" t="str">
        <f t="shared" si="1"/>
        <v>Were he strong?</v>
      </c>
      <c r="F12" s="3"/>
      <c r="G12" s="6" t="str">
        <f>IF(AND($F12="",$D12="C"),"correct","")</f>
        <v/>
      </c>
      <c r="H12" s="29">
        <f t="shared" si="3"/>
        <v>0</v>
      </c>
      <c r="I12" s="30" t="s">
        <v>16</v>
      </c>
      <c r="J12" s="30" t="s">
        <v>15</v>
      </c>
      <c r="K12" s="1"/>
      <c r="L12" s="30" t="s">
        <v>15</v>
      </c>
      <c r="M12" s="1"/>
      <c r="N12" s="1"/>
      <c r="O12" s="1"/>
      <c r="Q12" s="12"/>
      <c r="R12" s="55"/>
      <c r="S12" s="55"/>
    </row>
    <row r="13" spans="1:20" ht="18" customHeight="1">
      <c r="B13" s="20">
        <f t="shared" si="2"/>
        <v>9</v>
      </c>
      <c r="C13" s="18" t="str">
        <f t="shared" si="0"/>
        <v>He were not ready.</v>
      </c>
      <c r="D13" s="17"/>
      <c r="E13" s="18" t="str">
        <f t="shared" si="1"/>
        <v>He was not ready.</v>
      </c>
      <c r="F13" s="3"/>
      <c r="G13" s="6" t="str">
        <f>IF(AND($D13="",$F13="C"),"correct","")</f>
        <v/>
      </c>
      <c r="H13" s="29">
        <f t="shared" si="3"/>
        <v>0</v>
      </c>
      <c r="I13" s="30" t="s">
        <v>18</v>
      </c>
      <c r="J13" s="30" t="s">
        <v>17</v>
      </c>
      <c r="K13" s="1"/>
      <c r="L13" s="30" t="s">
        <v>17</v>
      </c>
      <c r="M13" s="1"/>
      <c r="N13" s="1"/>
      <c r="O13" s="1"/>
      <c r="Q13" s="12"/>
      <c r="R13" s="55"/>
      <c r="S13" s="55"/>
    </row>
    <row r="14" spans="1:20" ht="18" customHeight="1">
      <c r="B14" s="20">
        <f t="shared" si="2"/>
        <v>10</v>
      </c>
      <c r="C14" s="18" t="str">
        <f t="shared" si="0"/>
        <v>Was they here?</v>
      </c>
      <c r="D14" s="17"/>
      <c r="E14" s="18" t="str">
        <f t="shared" si="1"/>
        <v>Were they here?</v>
      </c>
      <c r="F14" s="3"/>
      <c r="G14" s="6" t="str">
        <f>IF(AND($D14="",$F14="C"),"correct","")</f>
        <v/>
      </c>
      <c r="H14" s="29">
        <f t="shared" si="3"/>
        <v>0</v>
      </c>
      <c r="I14" s="30" t="s">
        <v>11</v>
      </c>
      <c r="J14" s="30" t="s">
        <v>12</v>
      </c>
      <c r="K14" s="1"/>
      <c r="L14" s="30" t="s">
        <v>12</v>
      </c>
      <c r="M14" s="1"/>
      <c r="N14" s="1"/>
      <c r="O14" s="1"/>
      <c r="Q14" s="12"/>
      <c r="R14" s="55"/>
      <c r="S14" s="55"/>
    </row>
    <row r="15" spans="1:20" ht="18" customHeight="1">
      <c r="B15" s="20">
        <f t="shared" si="2"/>
        <v>11</v>
      </c>
      <c r="C15" s="18" t="str">
        <f t="shared" si="0"/>
        <v>You were not funny.</v>
      </c>
      <c r="D15" s="17"/>
      <c r="E15" s="18" t="str">
        <f t="shared" si="1"/>
        <v>You was not funny.</v>
      </c>
      <c r="F15" s="3"/>
      <c r="G15" s="6" t="str">
        <f>IF(AND($F15="",$D15="C"),"correct","")</f>
        <v/>
      </c>
      <c r="H15" s="29">
        <f t="shared" si="3"/>
        <v>0</v>
      </c>
      <c r="I15" s="30" t="s">
        <v>20</v>
      </c>
      <c r="J15" s="30" t="s">
        <v>19</v>
      </c>
      <c r="K15" s="1"/>
      <c r="L15" s="30" t="s">
        <v>19</v>
      </c>
      <c r="M15" s="1"/>
      <c r="N15" s="1"/>
      <c r="O15" s="1"/>
      <c r="Q15" s="12"/>
      <c r="R15" s="55"/>
      <c r="S15" s="55"/>
    </row>
    <row r="16" spans="1:20" ht="18" customHeight="1">
      <c r="B16" s="20">
        <f t="shared" si="2"/>
        <v>12</v>
      </c>
      <c r="C16" s="18" t="str">
        <f t="shared" si="0"/>
        <v>They were in school.</v>
      </c>
      <c r="D16" s="17"/>
      <c r="E16" s="18" t="str">
        <f t="shared" si="1"/>
        <v>They was in school.</v>
      </c>
      <c r="F16" s="3"/>
      <c r="G16" s="6" t="str">
        <f>IF(AND($F16="",$D16="C"),"correct","")</f>
        <v/>
      </c>
      <c r="H16" s="29">
        <f t="shared" si="3"/>
        <v>0</v>
      </c>
      <c r="I16" s="30" t="s">
        <v>149</v>
      </c>
      <c r="J16" s="30" t="s">
        <v>148</v>
      </c>
      <c r="K16" s="1"/>
      <c r="L16" s="30" t="s">
        <v>148</v>
      </c>
      <c r="M16" s="1"/>
      <c r="N16" s="1"/>
      <c r="O16" s="1"/>
      <c r="Q16" s="12"/>
      <c r="R16" s="55"/>
      <c r="S16" s="55"/>
    </row>
    <row r="17" spans="2:19" ht="18" customHeight="1">
      <c r="B17" s="20">
        <f t="shared" si="2"/>
        <v>13</v>
      </c>
      <c r="C17" s="18" t="str">
        <f t="shared" si="0"/>
        <v>It be near here.</v>
      </c>
      <c r="D17" s="17"/>
      <c r="E17" s="18" t="str">
        <f t="shared" si="1"/>
        <v>It was near here.</v>
      </c>
      <c r="F17" s="3"/>
      <c r="G17" s="6" t="str">
        <f>IF(AND($D17="",$F17="C"),"correct","")</f>
        <v/>
      </c>
      <c r="H17" s="29">
        <f t="shared" si="3"/>
        <v>0</v>
      </c>
      <c r="I17" s="30" t="s">
        <v>24</v>
      </c>
      <c r="J17" s="30" t="s">
        <v>23</v>
      </c>
      <c r="K17" s="1"/>
      <c r="L17" s="30" t="s">
        <v>23</v>
      </c>
      <c r="M17" s="1"/>
      <c r="N17" s="1"/>
      <c r="O17" s="1"/>
      <c r="Q17" s="12"/>
      <c r="R17" s="55"/>
      <c r="S17" s="55"/>
    </row>
    <row r="18" spans="2:19" ht="18" customHeight="1">
      <c r="B18" s="20">
        <f t="shared" si="2"/>
        <v>14</v>
      </c>
      <c r="C18" s="18" t="str">
        <f t="shared" si="0"/>
        <v>I was right.</v>
      </c>
      <c r="D18" s="17"/>
      <c r="E18" s="18" t="str">
        <f t="shared" si="1"/>
        <v>I were right.</v>
      </c>
      <c r="F18" s="3"/>
      <c r="G18" s="6" t="str">
        <f>IF(AND($F18="",$D18="C"),"correct","")</f>
        <v/>
      </c>
      <c r="H18" s="29">
        <f t="shared" si="3"/>
        <v>0</v>
      </c>
      <c r="I18" s="30" t="s">
        <v>151</v>
      </c>
      <c r="J18" s="30" t="s">
        <v>150</v>
      </c>
      <c r="K18" s="1"/>
      <c r="L18" s="30" t="s">
        <v>150</v>
      </c>
      <c r="M18" s="1"/>
      <c r="N18" s="1"/>
      <c r="O18" s="1"/>
      <c r="Q18" s="12"/>
      <c r="R18" s="55"/>
      <c r="S18" s="55"/>
    </row>
    <row r="19" spans="2:19" ht="18" customHeight="1">
      <c r="B19" s="20">
        <f t="shared" si="2"/>
        <v>15</v>
      </c>
      <c r="C19" s="18" t="str">
        <f t="shared" si="0"/>
        <v>Was I late?</v>
      </c>
      <c r="D19" s="17"/>
      <c r="E19" s="18" t="str">
        <f t="shared" si="1"/>
        <v>Were I late?</v>
      </c>
      <c r="F19" s="3"/>
      <c r="G19" s="6" t="str">
        <f>IF(AND($F19="",$D19="C"),"correct","")</f>
        <v/>
      </c>
      <c r="H19" s="29">
        <f t="shared" si="3"/>
        <v>0</v>
      </c>
      <c r="I19" s="30" t="s">
        <v>28</v>
      </c>
      <c r="J19" s="30" t="s">
        <v>27</v>
      </c>
      <c r="K19" s="1"/>
      <c r="L19" s="30" t="s">
        <v>27</v>
      </c>
      <c r="M19" s="1"/>
      <c r="N19" s="1"/>
      <c r="O19" s="1"/>
      <c r="Q19" s="12"/>
      <c r="R19" s="55"/>
      <c r="S19" s="55"/>
    </row>
    <row r="20" spans="2:19" ht="18" customHeight="1">
      <c r="B20" s="20">
        <f t="shared" si="2"/>
        <v>16</v>
      </c>
      <c r="C20" s="18" t="str">
        <f t="shared" si="0"/>
        <v>We was not hot.</v>
      </c>
      <c r="D20" s="17"/>
      <c r="E20" s="18" t="str">
        <f t="shared" si="1"/>
        <v>We were not hot.</v>
      </c>
      <c r="F20" s="3"/>
      <c r="G20" s="6" t="str">
        <f>IF(AND($D20="",$F20="C"),"correct","")</f>
        <v/>
      </c>
      <c r="H20" s="29">
        <f t="shared" si="3"/>
        <v>0</v>
      </c>
      <c r="I20" s="30" t="s">
        <v>29</v>
      </c>
      <c r="J20" s="30" t="s">
        <v>8</v>
      </c>
      <c r="K20" s="1"/>
      <c r="L20" s="30" t="s">
        <v>8</v>
      </c>
      <c r="M20" s="1"/>
      <c r="N20" s="1"/>
      <c r="O20" s="1"/>
      <c r="Q20" s="12"/>
      <c r="R20" s="55"/>
      <c r="S20" s="55"/>
    </row>
    <row r="21" spans="2:19" ht="18" customHeight="1">
      <c r="B21" s="20">
        <f t="shared" si="2"/>
        <v>17</v>
      </c>
      <c r="C21" s="18" t="str">
        <f t="shared" si="0"/>
        <v>Was it cooked?</v>
      </c>
      <c r="D21" s="17"/>
      <c r="E21" s="18" t="str">
        <f t="shared" si="1"/>
        <v>Be it cooked?</v>
      </c>
      <c r="F21" s="3"/>
      <c r="G21" s="6" t="str">
        <f>IF(AND($F21="",$D21="C"),"correct","")</f>
        <v/>
      </c>
      <c r="H21" s="29">
        <f t="shared" si="3"/>
        <v>0</v>
      </c>
      <c r="I21" s="30" t="s">
        <v>153</v>
      </c>
      <c r="J21" s="30" t="s">
        <v>152</v>
      </c>
      <c r="K21" s="1"/>
      <c r="L21" s="30" t="s">
        <v>152</v>
      </c>
      <c r="M21" s="1"/>
      <c r="N21" s="1"/>
      <c r="O21" s="1"/>
      <c r="Q21" s="12"/>
      <c r="R21" s="55"/>
      <c r="S21" s="55"/>
    </row>
    <row r="22" spans="2:19" ht="18" customHeight="1">
      <c r="B22" s="20">
        <f t="shared" si="2"/>
        <v>18</v>
      </c>
      <c r="C22" s="18" t="str">
        <f t="shared" si="0"/>
        <v>Were we early?</v>
      </c>
      <c r="D22" s="17"/>
      <c r="E22" s="18" t="str">
        <f t="shared" si="1"/>
        <v>Was we early?</v>
      </c>
      <c r="F22" s="3"/>
      <c r="G22" s="6" t="str">
        <f>IF(AND($F22="",$D22="C"),"correct","")</f>
        <v/>
      </c>
      <c r="H22" s="29">
        <f t="shared" si="3"/>
        <v>0</v>
      </c>
      <c r="I22" s="30" t="s">
        <v>155</v>
      </c>
      <c r="J22" s="30" t="s">
        <v>154</v>
      </c>
      <c r="K22" s="1"/>
      <c r="L22" s="30" t="s">
        <v>154</v>
      </c>
      <c r="M22" s="1"/>
      <c r="N22" s="1"/>
      <c r="O22" s="1"/>
      <c r="Q22" s="12"/>
      <c r="R22" s="55"/>
      <c r="S22" s="55"/>
    </row>
    <row r="23" spans="2:19" ht="18" customHeight="1">
      <c r="B23" s="20">
        <f t="shared" si="2"/>
        <v>19</v>
      </c>
      <c r="C23" s="18" t="str">
        <f t="shared" si="0"/>
        <v>Was it cold?</v>
      </c>
      <c r="D23" s="17"/>
      <c r="E23" s="18" t="str">
        <f t="shared" si="1"/>
        <v>Was they cold?</v>
      </c>
      <c r="F23" s="3"/>
      <c r="G23" s="6" t="str">
        <f>IF(AND($F23="",$D23="C"),"correct","")</f>
        <v/>
      </c>
      <c r="H23" s="29">
        <f t="shared" si="3"/>
        <v>0</v>
      </c>
      <c r="I23" s="30" t="s">
        <v>31</v>
      </c>
      <c r="J23" s="30" t="s">
        <v>156</v>
      </c>
      <c r="K23" s="1"/>
      <c r="L23" s="30" t="s">
        <v>156</v>
      </c>
      <c r="M23" s="1"/>
      <c r="N23" s="1"/>
      <c r="O23" s="1"/>
      <c r="Q23" s="12"/>
      <c r="R23" s="55"/>
      <c r="S23" s="55"/>
    </row>
    <row r="24" spans="2:19" ht="18" customHeight="1">
      <c r="B24" s="20">
        <f t="shared" si="2"/>
        <v>20</v>
      </c>
      <c r="C24" s="18" t="str">
        <f t="shared" si="0"/>
        <v>He was not ready.</v>
      </c>
      <c r="D24" s="17"/>
      <c r="E24" s="18" t="str">
        <f t="shared" si="1"/>
        <v>He were not ready.</v>
      </c>
      <c r="F24" s="3"/>
      <c r="G24" s="6" t="str">
        <f>IF(AND($F24="",$D24="C"),"correct","")</f>
        <v/>
      </c>
      <c r="H24" s="29">
        <f t="shared" si="3"/>
        <v>0</v>
      </c>
      <c r="I24" s="30" t="s">
        <v>17</v>
      </c>
      <c r="J24" s="30" t="s">
        <v>18</v>
      </c>
      <c r="K24" s="1"/>
      <c r="L24" s="30" t="s">
        <v>18</v>
      </c>
      <c r="M24" s="1"/>
      <c r="N24" s="1"/>
      <c r="O24" s="1"/>
      <c r="Q24" s="12"/>
      <c r="R24" s="55"/>
      <c r="S24" s="55"/>
    </row>
    <row r="25" spans="2:19" ht="18" customHeight="1">
      <c r="B25" s="20">
        <f t="shared" si="2"/>
        <v>21</v>
      </c>
      <c r="C25" s="18" t="str">
        <f t="shared" si="0"/>
        <v>She were funny.</v>
      </c>
      <c r="D25" s="17"/>
      <c r="E25" s="18" t="str">
        <f t="shared" si="1"/>
        <v>She was funny.</v>
      </c>
      <c r="F25" s="3"/>
      <c r="G25" s="6" t="str">
        <f>IF(AND($D25="",$F25="C"),"correct","")</f>
        <v/>
      </c>
      <c r="H25" s="29">
        <f t="shared" si="3"/>
        <v>0</v>
      </c>
      <c r="I25" s="30" t="s">
        <v>36</v>
      </c>
      <c r="J25" s="30" t="s">
        <v>35</v>
      </c>
      <c r="K25" s="1"/>
      <c r="L25" s="30" t="s">
        <v>35</v>
      </c>
      <c r="M25" s="1"/>
      <c r="N25" s="1"/>
      <c r="O25" s="1"/>
      <c r="Q25" s="12"/>
      <c r="R25" s="55"/>
      <c r="S25" s="55"/>
    </row>
    <row r="26" spans="2:19" ht="18" customHeight="1">
      <c r="B26" s="20">
        <f t="shared" si="2"/>
        <v>22</v>
      </c>
      <c r="C26" s="18" t="str">
        <f t="shared" si="0"/>
        <v>I was not tired.</v>
      </c>
      <c r="D26" s="17"/>
      <c r="E26" s="18" t="str">
        <f t="shared" si="1"/>
        <v>I be not tired.</v>
      </c>
      <c r="F26" s="3"/>
      <c r="G26" s="6" t="str">
        <f>IF(AND($F26="",$D26="C"),"correct","")</f>
        <v/>
      </c>
      <c r="H26" s="29">
        <f t="shared" si="3"/>
        <v>0</v>
      </c>
      <c r="I26" s="30" t="s">
        <v>38</v>
      </c>
      <c r="J26" s="30" t="s">
        <v>37</v>
      </c>
      <c r="K26" s="1"/>
      <c r="L26" s="30" t="s">
        <v>37</v>
      </c>
      <c r="M26" s="1"/>
      <c r="N26" s="1"/>
      <c r="O26" s="1"/>
      <c r="Q26" s="12"/>
      <c r="R26" s="55"/>
      <c r="S26" s="55"/>
    </row>
    <row r="27" spans="2:19" ht="18" customHeight="1">
      <c r="B27" s="20">
        <f t="shared" si="2"/>
        <v>23</v>
      </c>
      <c r="C27" s="18" t="str">
        <f t="shared" si="0"/>
        <v>You was happy.</v>
      </c>
      <c r="D27" s="17"/>
      <c r="E27" s="18" t="str">
        <f t="shared" si="1"/>
        <v>You were happy.</v>
      </c>
      <c r="F27" s="3"/>
      <c r="G27" s="6" t="str">
        <f>IF(AND($D27="",$F27="C"),"correct","")</f>
        <v/>
      </c>
      <c r="H27" s="29">
        <f t="shared" si="3"/>
        <v>0</v>
      </c>
      <c r="I27" s="30" t="s">
        <v>40</v>
      </c>
      <c r="J27" s="30" t="s">
        <v>39</v>
      </c>
      <c r="K27" s="1"/>
      <c r="L27" s="30" t="s">
        <v>39</v>
      </c>
      <c r="M27" s="1"/>
      <c r="N27" s="1"/>
      <c r="O27" s="1"/>
      <c r="Q27" s="12"/>
      <c r="R27" s="55"/>
      <c r="S27" s="55"/>
    </row>
    <row r="28" spans="2:19" ht="18" customHeight="1">
      <c r="B28" s="20">
        <f t="shared" si="2"/>
        <v>24</v>
      </c>
      <c r="C28" s="18" t="str">
        <f t="shared" si="0"/>
        <v>It were nice.</v>
      </c>
      <c r="D28" s="17"/>
      <c r="E28" s="18" t="str">
        <f t="shared" si="1"/>
        <v>It was nice.</v>
      </c>
      <c r="F28" s="3"/>
      <c r="G28" s="6" t="str">
        <f>IF(AND($D28="",$F28="C"),"correct","")</f>
        <v/>
      </c>
      <c r="H28" s="29">
        <f t="shared" si="3"/>
        <v>0</v>
      </c>
      <c r="I28" s="30" t="s">
        <v>44</v>
      </c>
      <c r="J28" s="30" t="s">
        <v>43</v>
      </c>
      <c r="K28" s="1"/>
      <c r="L28" s="30" t="s">
        <v>43</v>
      </c>
      <c r="M28" s="1"/>
      <c r="N28" s="1"/>
      <c r="O28" s="1"/>
      <c r="Q28" s="12"/>
      <c r="R28" s="55"/>
      <c r="S28" s="55"/>
    </row>
    <row r="29" spans="2:19" ht="18" customHeight="1">
      <c r="B29" s="20">
        <f t="shared" si="2"/>
        <v>25</v>
      </c>
      <c r="C29" s="18" t="str">
        <f t="shared" si="0"/>
        <v>I was awake?</v>
      </c>
      <c r="D29" s="17"/>
      <c r="E29" s="18" t="str">
        <f t="shared" si="1"/>
        <v>Was I awake?</v>
      </c>
      <c r="F29" s="3"/>
      <c r="G29" s="6" t="str">
        <f>IF(AND($D29="",$F29="C"),"correct","")</f>
        <v/>
      </c>
      <c r="H29" s="29">
        <f t="shared" si="3"/>
        <v>0</v>
      </c>
      <c r="I29" s="30" t="s">
        <v>157</v>
      </c>
      <c r="J29" s="30" t="s">
        <v>142</v>
      </c>
      <c r="K29" s="1"/>
      <c r="L29" s="30" t="s">
        <v>142</v>
      </c>
      <c r="M29" s="1"/>
      <c r="N29" s="1"/>
      <c r="O29" s="1"/>
      <c r="Q29" s="12"/>
      <c r="R29" s="55"/>
      <c r="S29" s="55"/>
    </row>
    <row r="30" spans="2:19" ht="18" customHeight="1">
      <c r="B30" s="20">
        <f t="shared" si="2"/>
        <v>26</v>
      </c>
      <c r="C30" s="18" t="str">
        <f t="shared" si="0"/>
        <v>Was they in the hospital?</v>
      </c>
      <c r="D30" s="17"/>
      <c r="E30" s="18" t="str">
        <f t="shared" si="1"/>
        <v>Was she in the hospital?</v>
      </c>
      <c r="F30" s="3"/>
      <c r="G30" s="6" t="str">
        <f>IF(AND($D30="",$F30="C"),"correct","")</f>
        <v/>
      </c>
      <c r="H30" s="29">
        <f t="shared" si="3"/>
        <v>0</v>
      </c>
      <c r="I30" s="30" t="s">
        <v>158</v>
      </c>
      <c r="J30" s="30" t="s">
        <v>48</v>
      </c>
      <c r="K30" s="1"/>
      <c r="L30" s="30" t="s">
        <v>48</v>
      </c>
      <c r="M30" s="1"/>
      <c r="N30" s="1"/>
      <c r="O30" s="1"/>
      <c r="Q30" s="12"/>
      <c r="R30" s="55"/>
      <c r="S30" s="55"/>
    </row>
    <row r="31" spans="2:19" ht="18" customHeight="1">
      <c r="B31" s="20">
        <f t="shared" si="2"/>
        <v>27</v>
      </c>
      <c r="C31" s="18" t="str">
        <f t="shared" si="0"/>
        <v>Were they pencils?</v>
      </c>
      <c r="D31" s="17"/>
      <c r="E31" s="18" t="str">
        <f t="shared" si="1"/>
        <v>Was they pencils?</v>
      </c>
      <c r="F31" s="3"/>
      <c r="G31" s="6" t="str">
        <f>IF(AND($F31="",$D31="C"),"correct","")</f>
        <v/>
      </c>
      <c r="H31" s="29">
        <f t="shared" si="3"/>
        <v>0</v>
      </c>
      <c r="I31" s="30" t="s">
        <v>52</v>
      </c>
      <c r="J31" s="30" t="s">
        <v>159</v>
      </c>
      <c r="K31" s="1"/>
      <c r="L31" s="30" t="s">
        <v>159</v>
      </c>
      <c r="M31" s="1"/>
      <c r="N31" s="1"/>
      <c r="O31" s="1"/>
      <c r="Q31" s="12"/>
      <c r="R31" s="55"/>
      <c r="S31" s="55"/>
    </row>
    <row r="32" spans="2:19" ht="18" customHeight="1">
      <c r="B32" s="20">
        <f t="shared" si="2"/>
        <v>28</v>
      </c>
      <c r="C32" s="18" t="str">
        <f t="shared" si="0"/>
        <v>They were tired.</v>
      </c>
      <c r="D32" s="17"/>
      <c r="E32" s="18" t="str">
        <f t="shared" si="1"/>
        <v>They tired.</v>
      </c>
      <c r="F32" s="3"/>
      <c r="G32" s="6" t="str">
        <f>IF(AND($F32="",$D32="C"),"correct","")</f>
        <v/>
      </c>
      <c r="H32" s="29">
        <f t="shared" si="3"/>
        <v>0</v>
      </c>
      <c r="I32" s="30" t="s">
        <v>55</v>
      </c>
      <c r="J32" s="30" t="s">
        <v>54</v>
      </c>
      <c r="K32" s="1"/>
      <c r="L32" s="30" t="s">
        <v>54</v>
      </c>
      <c r="M32" s="1"/>
      <c r="N32" s="1"/>
      <c r="O32" s="1"/>
      <c r="Q32" s="12"/>
      <c r="R32" s="55"/>
      <c r="S32" s="55"/>
    </row>
    <row r="33" spans="1:19" ht="18" customHeight="1">
      <c r="B33" s="20">
        <f t="shared" si="2"/>
        <v>29</v>
      </c>
      <c r="C33" s="18" t="str">
        <f t="shared" si="0"/>
        <v>Was it late?</v>
      </c>
      <c r="D33" s="17"/>
      <c r="E33" s="18" t="str">
        <f t="shared" si="1"/>
        <v>Was late?</v>
      </c>
      <c r="F33" s="3"/>
      <c r="G33" s="6" t="str">
        <f>IF(AND($F33="",$D33="C"),"correct","")</f>
        <v/>
      </c>
      <c r="H33" s="29">
        <f t="shared" si="3"/>
        <v>0</v>
      </c>
      <c r="I33" s="30" t="s">
        <v>58</v>
      </c>
      <c r="J33" s="30" t="s">
        <v>57</v>
      </c>
      <c r="K33" s="1"/>
      <c r="L33" s="30" t="s">
        <v>57</v>
      </c>
      <c r="M33" s="1"/>
      <c r="N33" s="1"/>
      <c r="O33" s="1"/>
      <c r="Q33" s="12"/>
      <c r="R33" s="55"/>
      <c r="S33" s="55"/>
    </row>
    <row r="34" spans="1:19" ht="18" customHeight="1">
      <c r="B34" s="20">
        <f t="shared" si="2"/>
        <v>30</v>
      </c>
      <c r="C34" s="18" t="str">
        <f t="shared" si="0"/>
        <v>You was a good person.</v>
      </c>
      <c r="D34" s="17"/>
      <c r="E34" s="18" t="str">
        <f t="shared" si="1"/>
        <v>You were a good person.</v>
      </c>
      <c r="F34" s="3"/>
      <c r="G34" s="6" t="str">
        <f>IF(AND($D34="",$F34="C"),"correct","")</f>
        <v/>
      </c>
      <c r="H34" s="29">
        <f t="shared" si="3"/>
        <v>0</v>
      </c>
      <c r="I34" s="30" t="s">
        <v>61</v>
      </c>
      <c r="J34" s="30" t="s">
        <v>60</v>
      </c>
      <c r="K34" s="1"/>
      <c r="L34" s="30" t="s">
        <v>60</v>
      </c>
      <c r="M34" s="1"/>
      <c r="N34" s="1"/>
      <c r="O34" s="1"/>
      <c r="Q34" s="12"/>
      <c r="R34" s="55"/>
      <c r="S34" s="55"/>
    </row>
    <row r="35" spans="1:19" ht="18" customHeight="1">
      <c r="B35" s="20">
        <f t="shared" si="2"/>
        <v>31</v>
      </c>
      <c r="C35" s="18" t="str">
        <f t="shared" si="0"/>
        <v>It was a truck.</v>
      </c>
      <c r="D35" s="17"/>
      <c r="E35" s="18" t="str">
        <f t="shared" si="1"/>
        <v>Was it a truck.</v>
      </c>
      <c r="F35" s="3"/>
      <c r="G35" s="6" t="str">
        <f>IF(AND($F35="",$D35="C"),"correct","")</f>
        <v/>
      </c>
      <c r="H35" s="29">
        <f t="shared" si="3"/>
        <v>0</v>
      </c>
      <c r="I35" s="30" t="s">
        <v>161</v>
      </c>
      <c r="J35" s="30" t="s">
        <v>160</v>
      </c>
      <c r="K35" s="1"/>
      <c r="L35" s="30" t="s">
        <v>160</v>
      </c>
      <c r="M35" s="1"/>
      <c r="N35" s="1"/>
      <c r="O35" s="1"/>
      <c r="Q35" s="12"/>
      <c r="R35" s="55"/>
      <c r="S35" s="55"/>
    </row>
    <row r="36" spans="1:19" ht="18" customHeight="1">
      <c r="B36" s="20">
        <f t="shared" si="2"/>
        <v>32</v>
      </c>
      <c r="C36" s="18" t="str">
        <f t="shared" si="0"/>
        <v>Was it cold outside?</v>
      </c>
      <c r="D36" s="17"/>
      <c r="E36" s="18" t="str">
        <f t="shared" si="1"/>
        <v>Was cold outside?</v>
      </c>
      <c r="F36" s="3"/>
      <c r="G36" s="6" t="str">
        <f>IF(AND($F36="",$D36="C"),"correct","")</f>
        <v/>
      </c>
      <c r="H36" s="29">
        <f t="shared" si="3"/>
        <v>0</v>
      </c>
      <c r="I36" s="30" t="s">
        <v>67</v>
      </c>
      <c r="J36" s="30" t="s">
        <v>66</v>
      </c>
      <c r="K36" s="1"/>
      <c r="L36" s="30" t="s">
        <v>66</v>
      </c>
      <c r="M36" s="1"/>
      <c r="N36" s="1"/>
      <c r="O36" s="1"/>
      <c r="Q36" s="12"/>
      <c r="R36" s="55"/>
      <c r="S36" s="55"/>
    </row>
    <row r="37" spans="1:19" ht="18" customHeight="1">
      <c r="B37" s="20">
        <f t="shared" si="2"/>
        <v>33</v>
      </c>
      <c r="C37" s="18" t="str">
        <f t="shared" si="0"/>
        <v>She was hungry?</v>
      </c>
      <c r="D37" s="17"/>
      <c r="E37" s="18" t="str">
        <f t="shared" si="1"/>
        <v>Was she hungry?</v>
      </c>
      <c r="F37" s="3"/>
      <c r="G37" s="6" t="str">
        <f>IF(AND($D37="",$F37="C"),"correct","")</f>
        <v/>
      </c>
      <c r="H37" s="29">
        <f t="shared" si="3"/>
        <v>0</v>
      </c>
      <c r="I37" s="30" t="s">
        <v>70</v>
      </c>
      <c r="J37" s="30" t="s">
        <v>69</v>
      </c>
      <c r="K37" s="1"/>
      <c r="L37" s="30" t="s">
        <v>69</v>
      </c>
      <c r="M37" s="1"/>
      <c r="N37" s="1"/>
      <c r="O37" s="1"/>
      <c r="Q37" s="12"/>
      <c r="R37" s="55"/>
      <c r="S37" s="55"/>
    </row>
    <row r="38" spans="1:19" ht="18" customHeight="1">
      <c r="B38" s="20">
        <f t="shared" si="2"/>
        <v>34</v>
      </c>
      <c r="C38" s="18" t="str">
        <f t="shared" si="0"/>
        <v>Were they there.</v>
      </c>
      <c r="D38" s="17"/>
      <c r="E38" s="18" t="str">
        <f t="shared" si="1"/>
        <v>They were there.</v>
      </c>
      <c r="F38" s="3"/>
      <c r="G38" s="6" t="str">
        <f>IF(AND($D38="",$F38="C"),"correct","")</f>
        <v/>
      </c>
      <c r="H38" s="29">
        <f t="shared" si="3"/>
        <v>0</v>
      </c>
      <c r="I38" s="30" t="s">
        <v>163</v>
      </c>
      <c r="J38" s="30" t="s">
        <v>162</v>
      </c>
      <c r="K38" s="1"/>
      <c r="L38" s="30" t="s">
        <v>162</v>
      </c>
      <c r="M38" s="1"/>
      <c r="N38" s="1"/>
      <c r="O38" s="1"/>
      <c r="Q38" s="12"/>
      <c r="R38" s="55"/>
      <c r="S38" s="55"/>
    </row>
    <row r="39" spans="1:19" ht="18" customHeight="1">
      <c r="B39" s="20">
        <f t="shared" si="2"/>
        <v>35</v>
      </c>
      <c r="C39" s="18" t="str">
        <f t="shared" si="0"/>
        <v>Was he angry?</v>
      </c>
      <c r="D39" s="17"/>
      <c r="E39" s="18" t="str">
        <f t="shared" si="1"/>
        <v>He was angry?</v>
      </c>
      <c r="F39" s="3"/>
      <c r="G39" s="6" t="str">
        <f>IF(AND($F39="",$D39="C"),"correct","")</f>
        <v/>
      </c>
      <c r="H39" s="29">
        <f t="shared" si="3"/>
        <v>0</v>
      </c>
      <c r="I39" s="30" t="s">
        <v>76</v>
      </c>
      <c r="J39" s="30" t="s">
        <v>75</v>
      </c>
      <c r="K39" s="1"/>
      <c r="L39" s="30" t="s">
        <v>75</v>
      </c>
      <c r="M39" s="1"/>
      <c r="N39" s="1"/>
      <c r="O39" s="1"/>
      <c r="Q39" s="12"/>
      <c r="R39" s="55"/>
      <c r="S39" s="55"/>
    </row>
    <row r="40" spans="1:19" ht="18" customHeight="1">
      <c r="B40" s="20">
        <f t="shared" si="2"/>
        <v>36</v>
      </c>
      <c r="C40" s="18" t="str">
        <f t="shared" si="0"/>
        <v>Was it near the lake?</v>
      </c>
      <c r="D40" s="17"/>
      <c r="E40" s="18" t="str">
        <f t="shared" si="1"/>
        <v>It near the lake?</v>
      </c>
      <c r="F40" s="3"/>
      <c r="G40" s="6" t="str">
        <f>IF(AND($F40="",$D40="C"),"correct","")</f>
        <v/>
      </c>
      <c r="H40" s="29">
        <f t="shared" si="3"/>
        <v>0</v>
      </c>
      <c r="I40" s="30" t="s">
        <v>79</v>
      </c>
      <c r="J40" s="30" t="s">
        <v>78</v>
      </c>
      <c r="K40" s="1"/>
      <c r="L40" s="30" t="s">
        <v>78</v>
      </c>
      <c r="M40" s="1"/>
      <c r="N40" s="1"/>
      <c r="O40" s="1"/>
      <c r="Q40" s="12"/>
      <c r="R40" s="55"/>
      <c r="S40" s="55"/>
    </row>
    <row r="41" spans="1:19" ht="18" customHeight="1">
      <c r="B41" s="20">
        <f t="shared" si="2"/>
        <v>37</v>
      </c>
      <c r="C41" s="18" t="str">
        <f t="shared" si="0"/>
        <v>He not was tired.</v>
      </c>
      <c r="D41" s="17"/>
      <c r="E41" s="18" t="str">
        <f t="shared" si="1"/>
        <v>He was not tired.</v>
      </c>
      <c r="F41" s="3"/>
      <c r="G41" s="6" t="str">
        <f>IF(AND($D41="",$F41="C"),"correct","")</f>
        <v/>
      </c>
      <c r="H41" s="29">
        <f t="shared" si="3"/>
        <v>0</v>
      </c>
      <c r="I41" s="30" t="s">
        <v>82</v>
      </c>
      <c r="J41" s="30" t="s">
        <v>81</v>
      </c>
      <c r="K41" s="1"/>
      <c r="L41" s="30" t="s">
        <v>81</v>
      </c>
      <c r="M41" s="1"/>
      <c r="N41" s="1"/>
      <c r="O41" s="1"/>
      <c r="Q41" s="12"/>
      <c r="R41" s="55"/>
      <c r="S41" s="55"/>
    </row>
    <row r="42" spans="1:19" ht="18" customHeight="1">
      <c r="B42" s="20">
        <f t="shared" si="2"/>
        <v>38</v>
      </c>
      <c r="C42" s="18" t="str">
        <f t="shared" si="0"/>
        <v>They were not students.</v>
      </c>
      <c r="D42" s="17"/>
      <c r="E42" s="18" t="str">
        <f t="shared" si="1"/>
        <v>They no were students.</v>
      </c>
      <c r="F42" s="3"/>
      <c r="G42" s="6" t="str">
        <f>IF(AND($F42="",$D42="C"),"correct","")</f>
        <v/>
      </c>
      <c r="H42" s="29">
        <f t="shared" si="3"/>
        <v>0</v>
      </c>
      <c r="I42" s="30" t="s">
        <v>85</v>
      </c>
      <c r="J42" s="30" t="s">
        <v>84</v>
      </c>
      <c r="K42" s="1"/>
      <c r="L42" s="30" t="s">
        <v>84</v>
      </c>
      <c r="M42" s="1"/>
      <c r="N42" s="1"/>
      <c r="O42" s="1"/>
      <c r="Q42" s="12"/>
      <c r="R42" s="55"/>
      <c r="S42" s="55"/>
    </row>
    <row r="43" spans="1:19" ht="18" customHeight="1">
      <c r="B43" s="20">
        <f t="shared" si="2"/>
        <v>39</v>
      </c>
      <c r="C43" s="18" t="str">
        <f t="shared" si="0"/>
        <v>They were no in the box.</v>
      </c>
      <c r="D43" s="17"/>
      <c r="E43" s="18" t="str">
        <f t="shared" si="1"/>
        <v>They were not in the box.</v>
      </c>
      <c r="F43" s="3"/>
      <c r="G43" s="6" t="str">
        <f>IF(AND($D43="",$F43="C"),"correct","")</f>
        <v/>
      </c>
      <c r="H43" s="29">
        <f t="shared" si="3"/>
        <v>0</v>
      </c>
      <c r="I43" s="30" t="s">
        <v>88</v>
      </c>
      <c r="J43" s="30" t="s">
        <v>87</v>
      </c>
      <c r="K43" s="1"/>
      <c r="L43" s="30" t="s">
        <v>87</v>
      </c>
      <c r="M43" s="1"/>
      <c r="N43" s="1"/>
      <c r="O43" s="1"/>
      <c r="Q43" s="12"/>
      <c r="R43" s="55"/>
      <c r="S43" s="55"/>
    </row>
    <row r="44" spans="1:19" ht="40.15" customHeight="1">
      <c r="A44" s="4"/>
      <c r="B44" s="20"/>
      <c r="C44" s="73"/>
      <c r="D44" s="72"/>
      <c r="E44" s="78" t="s">
        <v>165</v>
      </c>
      <c r="F44" s="51"/>
      <c r="G44" s="33"/>
      <c r="H44" s="29"/>
      <c r="I44" s="100"/>
      <c r="J44" s="100"/>
      <c r="K44" s="5"/>
      <c r="L44" s="30"/>
      <c r="M44" s="1"/>
      <c r="N44" s="1"/>
      <c r="O44" s="1"/>
      <c r="Q44" s="12"/>
      <c r="R44" s="55"/>
      <c r="S44" s="55"/>
    </row>
    <row r="45" spans="1:19" ht="18" customHeight="1" thickBot="1">
      <c r="A45" s="4"/>
      <c r="B45" s="63" t="s">
        <v>90</v>
      </c>
      <c r="C45" s="64" t="s">
        <v>91</v>
      </c>
      <c r="D45" s="101"/>
      <c r="E45" s="64" t="s">
        <v>92</v>
      </c>
      <c r="F45" s="102"/>
      <c r="G45" s="6"/>
      <c r="H45" s="14"/>
      <c r="I45" s="100"/>
      <c r="J45" s="100"/>
      <c r="K45" s="4"/>
      <c r="L45" s="30"/>
      <c r="S45" s="55"/>
    </row>
    <row r="46" spans="1:19" ht="18" customHeight="1" thickBot="1">
      <c r="A46" s="7">
        <v>40</v>
      </c>
      <c r="B46" s="44" t="s">
        <v>93</v>
      </c>
      <c r="C46" s="18" t="str">
        <f t="shared" ref="C46:C65" si="4">I46</f>
        <v>Yes, I was a student.</v>
      </c>
      <c r="D46" s="17"/>
      <c r="E46" s="18" t="str">
        <f t="shared" ref="E46:E65" si="5">J46</f>
        <v>Yes, you were a student.</v>
      </c>
      <c r="F46" s="2"/>
      <c r="G46" s="6" t="str">
        <f>IF(AND($F46="",$D46="C"),"correct","")</f>
        <v/>
      </c>
      <c r="H46" s="14">
        <f t="shared" ref="H46:H65" si="6">IF(G46="correct",1,0)</f>
        <v>0</v>
      </c>
      <c r="I46" s="11" t="s">
        <v>95</v>
      </c>
      <c r="J46" s="11" t="s">
        <v>94</v>
      </c>
      <c r="K46"/>
      <c r="L46" s="11" t="s">
        <v>94</v>
      </c>
      <c r="S46" s="55"/>
    </row>
    <row r="47" spans="1:19" ht="18" customHeight="1" thickBot="1">
      <c r="A47" s="7">
        <f>1+A46</f>
        <v>41</v>
      </c>
      <c r="B47" s="44" t="s">
        <v>3</v>
      </c>
      <c r="C47" s="18" t="str">
        <f t="shared" si="4"/>
        <v>Yes, you were next.</v>
      </c>
      <c r="D47" s="17"/>
      <c r="E47" s="18" t="str">
        <f t="shared" si="5"/>
        <v>Yes, you was next.</v>
      </c>
      <c r="F47" s="3"/>
      <c r="G47" s="6" t="str">
        <f>IF(AND($F47="",$D47="C"),"correct","")</f>
        <v/>
      </c>
      <c r="H47" s="14">
        <f t="shared" si="6"/>
        <v>0</v>
      </c>
      <c r="I47" s="11" t="s">
        <v>97</v>
      </c>
      <c r="J47" s="11" t="s">
        <v>96</v>
      </c>
      <c r="K47"/>
      <c r="L47" s="11" t="s">
        <v>96</v>
      </c>
      <c r="S47" s="55"/>
    </row>
    <row r="48" spans="1:19" ht="18" customHeight="1" thickBot="1">
      <c r="A48" s="7">
        <f t="shared" ref="A48:A65" si="7">1+A47</f>
        <v>42</v>
      </c>
      <c r="B48" s="42" t="s">
        <v>98</v>
      </c>
      <c r="C48" s="18" t="str">
        <f t="shared" si="4"/>
        <v>Yes, was from Africa.</v>
      </c>
      <c r="D48" s="17"/>
      <c r="E48" s="18" t="str">
        <f t="shared" si="5"/>
        <v>Yes, she was from Africa.</v>
      </c>
      <c r="F48" s="3"/>
      <c r="G48" s="6" t="str">
        <f>IF(AND($D48="",$F48="C"),"correct","")</f>
        <v/>
      </c>
      <c r="H48" s="14">
        <f t="shared" si="6"/>
        <v>0</v>
      </c>
      <c r="I48" s="11" t="s">
        <v>100</v>
      </c>
      <c r="J48" s="11" t="s">
        <v>99</v>
      </c>
      <c r="K48"/>
      <c r="L48" s="11" t="s">
        <v>99</v>
      </c>
      <c r="S48" s="55"/>
    </row>
    <row r="49" spans="1:19" ht="18" customHeight="1" thickBot="1">
      <c r="A49" s="7">
        <f t="shared" si="7"/>
        <v>43</v>
      </c>
      <c r="B49" s="42" t="s">
        <v>3</v>
      </c>
      <c r="C49" s="18" t="str">
        <f t="shared" si="4"/>
        <v>Yes, I was next.</v>
      </c>
      <c r="D49" s="17"/>
      <c r="E49" s="18" t="str">
        <f t="shared" si="5"/>
        <v>Yes, you were next.</v>
      </c>
      <c r="F49" s="3"/>
      <c r="G49" s="6" t="str">
        <f>IF(AND($D49="",$F49="C"),"correct","")</f>
        <v/>
      </c>
      <c r="H49" s="14">
        <f t="shared" si="6"/>
        <v>0</v>
      </c>
      <c r="I49" s="11" t="s">
        <v>101</v>
      </c>
      <c r="J49" s="11" t="s">
        <v>97</v>
      </c>
      <c r="K49"/>
      <c r="L49" s="11" t="s">
        <v>97</v>
      </c>
      <c r="S49" s="55"/>
    </row>
    <row r="50" spans="1:19" ht="18" customHeight="1" thickBot="1">
      <c r="A50" s="7">
        <f t="shared" si="7"/>
        <v>44</v>
      </c>
      <c r="B50" s="42" t="s">
        <v>12</v>
      </c>
      <c r="C50" s="18" t="str">
        <f t="shared" si="4"/>
        <v>No, they not here.</v>
      </c>
      <c r="D50" s="17"/>
      <c r="E50" s="18" t="str">
        <f t="shared" si="5"/>
        <v>No, they were not here.</v>
      </c>
      <c r="F50" s="3"/>
      <c r="G50" s="6" t="str">
        <f>IF(AND($D50="",$F50="C"),"correct","")</f>
        <v/>
      </c>
      <c r="H50" s="14">
        <f t="shared" si="6"/>
        <v>0</v>
      </c>
      <c r="I50" s="11" t="s">
        <v>103</v>
      </c>
      <c r="J50" s="11" t="s">
        <v>102</v>
      </c>
      <c r="K50"/>
      <c r="L50" s="11" t="s">
        <v>102</v>
      </c>
      <c r="S50" s="55"/>
    </row>
    <row r="51" spans="1:19" ht="18" customHeight="1" thickBot="1">
      <c r="A51" s="7">
        <f t="shared" si="7"/>
        <v>45</v>
      </c>
      <c r="B51" s="44" t="s">
        <v>104</v>
      </c>
      <c r="C51" s="18" t="str">
        <f t="shared" si="4"/>
        <v>No, they were not in the box.</v>
      </c>
      <c r="D51" s="17"/>
      <c r="E51" s="18" t="str">
        <f t="shared" si="5"/>
        <v>No, it was not in the box.</v>
      </c>
      <c r="F51" s="3"/>
      <c r="G51" s="6" t="str">
        <f>IF(AND($F51="",$D51="C"),"correct","")</f>
        <v/>
      </c>
      <c r="H51" s="14">
        <f t="shared" si="6"/>
        <v>0</v>
      </c>
      <c r="I51" s="11" t="s">
        <v>106</v>
      </c>
      <c r="J51" s="11" t="s">
        <v>105</v>
      </c>
      <c r="K51"/>
      <c r="L51" s="11" t="s">
        <v>105</v>
      </c>
      <c r="S51" s="55"/>
    </row>
    <row r="52" spans="1:19" ht="18" customHeight="1" thickBot="1">
      <c r="A52" s="7">
        <f t="shared" si="7"/>
        <v>46</v>
      </c>
      <c r="B52" s="44" t="s">
        <v>107</v>
      </c>
      <c r="C52" s="18" t="str">
        <f t="shared" si="4"/>
        <v>Yes, we were next.</v>
      </c>
      <c r="D52" s="17"/>
      <c r="E52" s="18" t="str">
        <f t="shared" si="5"/>
        <v>Yes, we next.</v>
      </c>
      <c r="F52" s="3"/>
      <c r="G52" s="6" t="str">
        <f>IF(AND($F52="",$D52="C"),"correct","")</f>
        <v/>
      </c>
      <c r="H52" s="14">
        <f t="shared" si="6"/>
        <v>0</v>
      </c>
      <c r="I52" s="11" t="s">
        <v>109</v>
      </c>
      <c r="J52" s="11" t="s">
        <v>108</v>
      </c>
      <c r="K52"/>
      <c r="L52" s="11" t="s">
        <v>108</v>
      </c>
      <c r="S52" s="55"/>
    </row>
    <row r="53" spans="1:19" ht="18" customHeight="1" thickBot="1">
      <c r="A53" s="7">
        <f t="shared" si="7"/>
        <v>47</v>
      </c>
      <c r="B53" s="42" t="s">
        <v>110</v>
      </c>
      <c r="C53" s="18" t="str">
        <f t="shared" si="4"/>
        <v>No, she was not here.</v>
      </c>
      <c r="D53" s="17"/>
      <c r="E53" s="18" t="str">
        <f t="shared" si="5"/>
        <v>No, he was not here.</v>
      </c>
      <c r="F53" s="3"/>
      <c r="G53" s="6" t="str">
        <f>IF(AND($D53="",$F53="C"),"correct","")</f>
        <v/>
      </c>
      <c r="H53" s="14">
        <f t="shared" si="6"/>
        <v>0</v>
      </c>
      <c r="I53" s="11" t="s">
        <v>112</v>
      </c>
      <c r="J53" s="11" t="s">
        <v>111</v>
      </c>
      <c r="K53"/>
      <c r="L53" s="11" t="s">
        <v>111</v>
      </c>
      <c r="S53" s="55"/>
    </row>
    <row r="54" spans="1:19" ht="18" customHeight="1" thickBot="1">
      <c r="A54" s="7">
        <f t="shared" si="7"/>
        <v>48</v>
      </c>
      <c r="B54" s="44" t="s">
        <v>113</v>
      </c>
      <c r="C54" s="18" t="str">
        <f t="shared" si="4"/>
        <v>No, they were not sad.</v>
      </c>
      <c r="D54" s="17"/>
      <c r="E54" s="18" t="str">
        <f t="shared" si="5"/>
        <v>No, were not sad.</v>
      </c>
      <c r="F54" s="3"/>
      <c r="G54" s="6" t="str">
        <f>IF(AND($F54="",$D54="C"),"correct","")</f>
        <v/>
      </c>
      <c r="H54" s="14">
        <f t="shared" si="6"/>
        <v>0</v>
      </c>
      <c r="I54" s="11" t="s">
        <v>115</v>
      </c>
      <c r="J54" s="11" t="s">
        <v>114</v>
      </c>
      <c r="K54"/>
      <c r="L54" s="11" t="s">
        <v>114</v>
      </c>
      <c r="S54" s="55"/>
    </row>
    <row r="55" spans="1:19" ht="30" customHeight="1" thickBot="1">
      <c r="A55" s="7">
        <f t="shared" si="7"/>
        <v>49</v>
      </c>
      <c r="B55" s="44" t="s">
        <v>116</v>
      </c>
      <c r="C55" s="18" t="str">
        <f t="shared" si="4"/>
        <v>Yes, you were near the hospital.</v>
      </c>
      <c r="D55" s="17"/>
      <c r="E55" s="18" t="str">
        <f t="shared" si="5"/>
        <v>Yes, I am near the hospital.</v>
      </c>
      <c r="F55" s="3"/>
      <c r="G55" s="6" t="str">
        <f>IF(AND($F55="",$D55="C"),"correct","")</f>
        <v/>
      </c>
      <c r="H55" s="14">
        <f t="shared" si="6"/>
        <v>0</v>
      </c>
      <c r="I55" s="11" t="s">
        <v>118</v>
      </c>
      <c r="J55" s="11" t="s">
        <v>117</v>
      </c>
      <c r="K55"/>
      <c r="L55" s="11" t="s">
        <v>117</v>
      </c>
      <c r="S55" s="55"/>
    </row>
    <row r="56" spans="1:19" ht="18" customHeight="1" thickBot="1">
      <c r="A56" s="7">
        <f t="shared" si="7"/>
        <v>50</v>
      </c>
      <c r="B56" s="44" t="s">
        <v>93</v>
      </c>
      <c r="C56" s="18" t="str">
        <f t="shared" si="4"/>
        <v>Yes, I was a student.</v>
      </c>
      <c r="D56" s="17"/>
      <c r="E56" s="18" t="str">
        <f t="shared" si="5"/>
        <v>Yes, I am a student.</v>
      </c>
      <c r="F56" s="3"/>
      <c r="G56" s="6" t="str">
        <f>IF(AND($D56="",$F56="C"),"correct","")</f>
        <v/>
      </c>
      <c r="H56" s="14">
        <f t="shared" si="6"/>
        <v>0</v>
      </c>
      <c r="I56" s="11" t="s">
        <v>95</v>
      </c>
      <c r="J56" s="11" t="s">
        <v>119</v>
      </c>
      <c r="K56"/>
      <c r="L56" s="11" t="s">
        <v>119</v>
      </c>
      <c r="S56" s="55"/>
    </row>
    <row r="57" spans="1:19" ht="18" customHeight="1" thickBot="1">
      <c r="A57" s="7">
        <f t="shared" si="7"/>
        <v>51</v>
      </c>
      <c r="B57" s="42" t="s">
        <v>120</v>
      </c>
      <c r="C57" s="18" t="str">
        <f t="shared" si="4"/>
        <v>No, you were not angry.</v>
      </c>
      <c r="D57" s="17"/>
      <c r="E57" s="18" t="str">
        <f t="shared" si="5"/>
        <v>No, I was not angry.</v>
      </c>
      <c r="F57" s="3"/>
      <c r="G57" s="6" t="str">
        <f>IF(AND($D57="",$F57="C"),"correct","")</f>
        <v/>
      </c>
      <c r="H57" s="14">
        <f t="shared" si="6"/>
        <v>0</v>
      </c>
      <c r="I57" s="11" t="s">
        <v>122</v>
      </c>
      <c r="J57" s="11" t="s">
        <v>121</v>
      </c>
      <c r="K57"/>
      <c r="L57" s="11" t="s">
        <v>121</v>
      </c>
      <c r="S57" s="55"/>
    </row>
    <row r="58" spans="1:19" ht="18" customHeight="1" thickBot="1">
      <c r="A58" s="7">
        <f t="shared" si="7"/>
        <v>52</v>
      </c>
      <c r="B58" s="44" t="s">
        <v>123</v>
      </c>
      <c r="C58" s="18" t="str">
        <f t="shared" si="4"/>
        <v>Yes, she was from Africa.</v>
      </c>
      <c r="D58" s="17"/>
      <c r="E58" s="18" t="str">
        <f t="shared" si="5"/>
        <v>Yes, she is from Africa.</v>
      </c>
      <c r="F58" s="3"/>
      <c r="G58" s="6" t="str">
        <f>IF(AND($D58="",$F58="C"),"correct","")</f>
        <v/>
      </c>
      <c r="H58" s="14">
        <f t="shared" si="6"/>
        <v>0</v>
      </c>
      <c r="I58" s="11" t="s">
        <v>99</v>
      </c>
      <c r="J58" s="11" t="s">
        <v>124</v>
      </c>
      <c r="K58"/>
      <c r="L58" s="11" t="s">
        <v>124</v>
      </c>
      <c r="S58" s="55"/>
    </row>
    <row r="59" spans="1:19" ht="18" customHeight="1" thickBot="1">
      <c r="A59" s="7">
        <f t="shared" si="7"/>
        <v>53</v>
      </c>
      <c r="B59" s="42" t="s">
        <v>125</v>
      </c>
      <c r="C59" s="18" t="str">
        <f t="shared" si="4"/>
        <v xml:space="preserve">No, it was not cold outside. </v>
      </c>
      <c r="D59" s="17"/>
      <c r="E59" s="18" t="str">
        <f t="shared" si="5"/>
        <v>No, it is not cold outside.</v>
      </c>
      <c r="F59" s="3"/>
      <c r="G59" s="6" t="str">
        <f>IF(AND($D59="",$F59="C"),"correct","")</f>
        <v/>
      </c>
      <c r="H59" s="14">
        <f t="shared" si="6"/>
        <v>0</v>
      </c>
      <c r="I59" s="11" t="s">
        <v>127</v>
      </c>
      <c r="J59" s="11" t="s">
        <v>126</v>
      </c>
      <c r="K59"/>
      <c r="L59" s="11" t="s">
        <v>126</v>
      </c>
      <c r="S59" s="55"/>
    </row>
    <row r="60" spans="1:19" ht="18" customHeight="1" thickBot="1">
      <c r="A60" s="7">
        <f t="shared" si="7"/>
        <v>54</v>
      </c>
      <c r="B60" s="44" t="s">
        <v>12</v>
      </c>
      <c r="C60" s="18" t="str">
        <f t="shared" si="4"/>
        <v>No, they are not here.</v>
      </c>
      <c r="D60" s="17"/>
      <c r="E60" s="18" t="str">
        <f t="shared" si="5"/>
        <v>No, they were not here.</v>
      </c>
      <c r="F60" s="3"/>
      <c r="G60" s="6" t="str">
        <f>IF(AND($D60="",$F60="C"),"correct","")</f>
        <v/>
      </c>
      <c r="H60" s="14">
        <f t="shared" si="6"/>
        <v>0</v>
      </c>
      <c r="I60" s="11" t="s">
        <v>128</v>
      </c>
      <c r="J60" s="11" t="s">
        <v>102</v>
      </c>
      <c r="K60"/>
      <c r="L60" s="11" t="s">
        <v>102</v>
      </c>
      <c r="S60" s="55"/>
    </row>
    <row r="61" spans="1:19" s="34" customFormat="1" ht="18" customHeight="1" thickBot="1">
      <c r="A61" s="7">
        <f t="shared" si="7"/>
        <v>55</v>
      </c>
      <c r="B61" s="44" t="s">
        <v>129</v>
      </c>
      <c r="C61" s="18" t="str">
        <f t="shared" si="4"/>
        <v>Yes, it was a book.</v>
      </c>
      <c r="D61" s="17"/>
      <c r="E61" s="18" t="str">
        <f t="shared" si="5"/>
        <v>Yes, it is a book.</v>
      </c>
      <c r="F61" s="3"/>
      <c r="G61" s="6" t="str">
        <f>IF(AND($F61="",$D61="C"),"correct","")</f>
        <v/>
      </c>
      <c r="H61" s="29">
        <f t="shared" si="6"/>
        <v>0</v>
      </c>
      <c r="I61" s="11" t="s">
        <v>131</v>
      </c>
      <c r="J61" s="11" t="s">
        <v>130</v>
      </c>
      <c r="L61" s="11" t="s">
        <v>130</v>
      </c>
      <c r="S61" s="60"/>
    </row>
    <row r="62" spans="1:19" s="34" customFormat="1" ht="18" customHeight="1" thickBot="1">
      <c r="A62" s="7">
        <f t="shared" si="7"/>
        <v>56</v>
      </c>
      <c r="B62" s="44" t="s">
        <v>132</v>
      </c>
      <c r="C62" s="18" t="str">
        <f t="shared" si="4"/>
        <v>Yes, we are next.</v>
      </c>
      <c r="D62" s="17"/>
      <c r="E62" s="18" t="str">
        <f t="shared" si="5"/>
        <v>Yes, we were next.</v>
      </c>
      <c r="F62" s="3"/>
      <c r="G62" s="6" t="str">
        <f>IF(AND($F62="",$D62="C"),"correct","")</f>
        <v/>
      </c>
      <c r="H62" s="14">
        <f t="shared" si="6"/>
        <v>0</v>
      </c>
      <c r="I62" s="11" t="s">
        <v>133</v>
      </c>
      <c r="J62" s="11" t="s">
        <v>109</v>
      </c>
      <c r="L62" s="11" t="s">
        <v>109</v>
      </c>
      <c r="S62" s="60"/>
    </row>
    <row r="63" spans="1:19" s="34" customFormat="1" ht="18" customHeight="1" thickBot="1">
      <c r="A63" s="7">
        <f t="shared" si="7"/>
        <v>57</v>
      </c>
      <c r="B63" s="44" t="s">
        <v>13</v>
      </c>
      <c r="C63" s="18" t="str">
        <f t="shared" si="4"/>
        <v>No, I was not tired.</v>
      </c>
      <c r="D63" s="17"/>
      <c r="E63" s="18" t="str">
        <f t="shared" si="5"/>
        <v>No, you were not tired.</v>
      </c>
      <c r="F63" s="3"/>
      <c r="G63" s="6" t="str">
        <f>IF(AND($F63="",$D63="C"),"correct","")</f>
        <v/>
      </c>
      <c r="H63" s="14">
        <f t="shared" si="6"/>
        <v>0</v>
      </c>
      <c r="I63" s="11" t="s">
        <v>135</v>
      </c>
      <c r="J63" s="11" t="s">
        <v>134</v>
      </c>
      <c r="L63" s="11" t="s">
        <v>134</v>
      </c>
      <c r="S63" s="60"/>
    </row>
    <row r="64" spans="1:19" s="34" customFormat="1" ht="18" customHeight="1" thickBot="1">
      <c r="A64" s="7">
        <f t="shared" si="7"/>
        <v>58</v>
      </c>
      <c r="B64" s="44" t="s">
        <v>113</v>
      </c>
      <c r="C64" s="18" t="str">
        <f t="shared" si="4"/>
        <v>No, they were not sad.</v>
      </c>
      <c r="D64" s="17"/>
      <c r="E64" s="18" t="str">
        <f t="shared" si="5"/>
        <v>No, they are not sad.</v>
      </c>
      <c r="F64" s="3"/>
      <c r="G64" s="6" t="str">
        <f>IF(AND($F64="",$D64="C"),"correct","")</f>
        <v/>
      </c>
      <c r="H64" s="14">
        <f t="shared" si="6"/>
        <v>0</v>
      </c>
      <c r="I64" s="11" t="s">
        <v>115</v>
      </c>
      <c r="J64" s="11" t="s">
        <v>136</v>
      </c>
      <c r="L64" s="11" t="s">
        <v>136</v>
      </c>
      <c r="S64" s="60"/>
    </row>
    <row r="65" spans="1:20" s="34" customFormat="1" ht="18" customHeight="1" thickBot="1">
      <c r="A65" s="7">
        <f t="shared" si="7"/>
        <v>59</v>
      </c>
      <c r="B65" s="42" t="s">
        <v>137</v>
      </c>
      <c r="C65" s="18" t="str">
        <f t="shared" si="4"/>
        <v xml:space="preserve">Yes, they are students. </v>
      </c>
      <c r="D65" s="17"/>
      <c r="E65" s="18" t="str">
        <f t="shared" si="5"/>
        <v>Yes, they were students.</v>
      </c>
      <c r="F65" s="3"/>
      <c r="G65" s="6" t="str">
        <f>IF(AND($D65="",$F65="C"),"correct","")</f>
        <v/>
      </c>
      <c r="H65" s="14">
        <f t="shared" si="6"/>
        <v>0</v>
      </c>
      <c r="I65" s="11" t="s">
        <v>139</v>
      </c>
      <c r="J65" s="11" t="s">
        <v>138</v>
      </c>
      <c r="L65" s="11" t="s">
        <v>138</v>
      </c>
      <c r="S65" s="60"/>
    </row>
    <row r="66" spans="1:20" s="34" customFormat="1" ht="15.6">
      <c r="B66" s="32"/>
      <c r="C66" s="56"/>
      <c r="D66" s="57"/>
      <c r="E66" s="56"/>
      <c r="F66" s="58"/>
      <c r="G66" s="33"/>
      <c r="H66" s="25"/>
      <c r="I66" s="59"/>
      <c r="J66" s="59"/>
      <c r="S66" s="60"/>
    </row>
    <row r="67" spans="1:20" s="34" customFormat="1">
      <c r="A67" s="61"/>
      <c r="B67" s="65"/>
      <c r="C67" s="61"/>
      <c r="D67" s="27"/>
      <c r="E67" s="27"/>
      <c r="F67" s="27"/>
      <c r="G67" s="27"/>
      <c r="H67" s="26"/>
      <c r="I67" s="60"/>
      <c r="J67" s="60"/>
      <c r="K67" s="65"/>
      <c r="L67" s="66"/>
      <c r="M67" s="66"/>
      <c r="N67" s="66"/>
      <c r="O67" s="66"/>
      <c r="Q67" s="38"/>
      <c r="R67" s="60"/>
      <c r="S67" s="60"/>
    </row>
    <row r="68" spans="1:20" s="34" customFormat="1">
      <c r="A68" s="67"/>
      <c r="B68" s="68"/>
      <c r="C68" s="69"/>
      <c r="D68" s="27"/>
      <c r="E68" s="27"/>
      <c r="F68" s="27"/>
      <c r="G68" s="27"/>
      <c r="H68" s="26"/>
      <c r="I68" s="60"/>
      <c r="J68" s="60"/>
      <c r="K68" s="68"/>
      <c r="L68" s="66"/>
      <c r="M68" s="61"/>
      <c r="N68" s="61"/>
      <c r="O68" s="61"/>
      <c r="P68" s="27"/>
      <c r="Q68" s="26"/>
      <c r="R68" s="60"/>
      <c r="S68" s="60"/>
    </row>
    <row r="69" spans="1:20" s="34" customFormat="1">
      <c r="B69" s="27"/>
      <c r="C69" s="27"/>
      <c r="D69" s="27"/>
      <c r="E69" s="27"/>
      <c r="F69" s="27"/>
      <c r="G69" s="27"/>
      <c r="H69" s="26"/>
      <c r="I69" s="60"/>
      <c r="J69" s="60"/>
      <c r="K69" s="68"/>
      <c r="L69" s="66"/>
      <c r="M69" s="61"/>
      <c r="N69" s="61"/>
      <c r="O69" s="61"/>
      <c r="P69" s="27"/>
      <c r="Q69" s="26"/>
      <c r="R69" s="60"/>
      <c r="S69" s="60"/>
    </row>
    <row r="70" spans="1:20" s="34" customFormat="1" ht="18" customHeight="1">
      <c r="B70" s="27"/>
      <c r="C70" s="61"/>
      <c r="D70" s="70"/>
      <c r="E70" s="61"/>
      <c r="F70" s="61"/>
      <c r="G70" s="27"/>
      <c r="H70" s="26"/>
      <c r="I70" s="60"/>
      <c r="J70" s="60"/>
      <c r="K70" s="61"/>
      <c r="L70" s="61"/>
      <c r="M70" s="66"/>
      <c r="N70" s="61"/>
      <c r="O70" s="61"/>
      <c r="P70" s="27"/>
      <c r="Q70" s="26"/>
      <c r="R70" s="60"/>
      <c r="S70" s="60"/>
    </row>
    <row r="71" spans="1:20" s="34" customFormat="1" ht="18" customHeight="1">
      <c r="B71" s="20"/>
      <c r="C71" s="32"/>
      <c r="D71" s="57"/>
      <c r="E71" s="32"/>
      <c r="F71" s="58"/>
      <c r="G71" s="33"/>
      <c r="H71" s="25"/>
      <c r="I71" s="59"/>
      <c r="J71" s="59"/>
      <c r="K71" s="66"/>
      <c r="L71" s="66"/>
      <c r="M71" s="66"/>
      <c r="N71" s="66"/>
      <c r="O71" s="66"/>
      <c r="Q71" s="38"/>
      <c r="R71" s="60"/>
      <c r="S71" s="60"/>
    </row>
    <row r="72" spans="1:20" s="34" customFormat="1" ht="18" customHeight="1">
      <c r="B72" s="20"/>
      <c r="C72" s="32"/>
      <c r="D72" s="57"/>
      <c r="E72" s="32"/>
      <c r="F72" s="58"/>
      <c r="G72" s="33"/>
      <c r="H72" s="25"/>
      <c r="I72" s="59"/>
      <c r="J72" s="59"/>
      <c r="K72" s="66"/>
      <c r="L72" s="66"/>
      <c r="M72" s="66"/>
      <c r="N72" s="66"/>
      <c r="O72" s="66"/>
      <c r="Q72" s="38"/>
      <c r="R72" s="60"/>
      <c r="S72" s="60"/>
    </row>
    <row r="73" spans="1:20" s="34" customFormat="1" ht="18" customHeight="1">
      <c r="B73" s="20"/>
      <c r="C73" s="32"/>
      <c r="D73" s="57"/>
      <c r="E73" s="32"/>
      <c r="F73" s="58"/>
      <c r="G73" s="33"/>
      <c r="H73" s="25"/>
      <c r="I73" s="59"/>
      <c r="J73" s="59"/>
      <c r="K73" s="66"/>
      <c r="L73" s="66"/>
      <c r="M73" s="66"/>
      <c r="N73" s="66"/>
      <c r="O73" s="66"/>
      <c r="Q73" s="38"/>
      <c r="R73" s="60"/>
      <c r="S73" s="60"/>
    </row>
    <row r="74" spans="1:20" s="34" customFormat="1" ht="18" customHeight="1">
      <c r="B74" s="20"/>
      <c r="C74" s="32"/>
      <c r="D74" s="57"/>
      <c r="E74" s="32"/>
      <c r="F74" s="58"/>
      <c r="G74" s="33"/>
      <c r="H74" s="25"/>
      <c r="I74" s="59"/>
      <c r="J74" s="59"/>
      <c r="K74" s="66"/>
      <c r="L74" s="66"/>
      <c r="M74" s="66"/>
      <c r="N74" s="66"/>
      <c r="O74" s="66"/>
      <c r="Q74" s="38"/>
      <c r="R74" s="60"/>
      <c r="S74" s="60"/>
    </row>
    <row r="75" spans="1:20" s="34" customFormat="1" ht="18" customHeight="1">
      <c r="C75" s="20"/>
      <c r="D75" s="32"/>
      <c r="E75" s="57"/>
      <c r="F75" s="32"/>
      <c r="G75" s="58"/>
      <c r="H75" s="33"/>
      <c r="I75" s="25"/>
      <c r="J75" s="59"/>
      <c r="K75" s="59"/>
      <c r="L75" s="66"/>
      <c r="M75" s="66"/>
      <c r="N75" s="66"/>
      <c r="O75" s="66"/>
      <c r="P75" s="66"/>
      <c r="R75" s="38"/>
      <c r="S75" s="60"/>
      <c r="T75" s="60"/>
    </row>
    <row r="76" spans="1:20" s="34" customFormat="1" ht="15.6">
      <c r="C76" s="32"/>
      <c r="D76" s="56"/>
      <c r="E76" s="57"/>
      <c r="F76" s="56"/>
      <c r="G76" s="58"/>
      <c r="H76" s="33"/>
      <c r="I76" s="25"/>
      <c r="J76" s="59"/>
      <c r="K76" s="59"/>
    </row>
    <row r="77" spans="1:20" s="34" customFormat="1" ht="15.6">
      <c r="C77" s="32"/>
      <c r="D77" s="56"/>
      <c r="E77" s="57"/>
      <c r="F77" s="56"/>
      <c r="G77" s="58"/>
      <c r="H77" s="33"/>
      <c r="I77" s="25"/>
      <c r="J77" s="59"/>
      <c r="K77" s="59"/>
    </row>
    <row r="78" spans="1:20">
      <c r="A78" s="34"/>
      <c r="B78" s="34"/>
      <c r="C78" s="34"/>
      <c r="D78" s="34"/>
      <c r="E78" s="34"/>
      <c r="F78" s="34"/>
      <c r="G78" s="34"/>
      <c r="H78" s="34"/>
      <c r="I78" s="38"/>
      <c r="J78" s="60"/>
      <c r="K78" s="60"/>
      <c r="L78" s="61"/>
    </row>
    <row r="79" spans="1:20">
      <c r="A79" s="34"/>
      <c r="B79" s="34"/>
      <c r="C79" s="34"/>
      <c r="D79" s="34"/>
      <c r="E79" s="34"/>
      <c r="F79" s="34"/>
      <c r="G79" s="34"/>
      <c r="H79" s="34"/>
      <c r="I79" s="38"/>
      <c r="J79" s="60"/>
      <c r="K79" s="60"/>
      <c r="L79" s="61"/>
    </row>
    <row r="80" spans="1:20">
      <c r="A80" s="34"/>
      <c r="B80" s="34"/>
      <c r="C80" s="34"/>
      <c r="D80" s="34"/>
      <c r="E80" s="34"/>
      <c r="F80" s="34"/>
      <c r="G80" s="34"/>
      <c r="H80" s="34"/>
      <c r="I80" s="38"/>
      <c r="J80" s="60"/>
      <c r="K80" s="60"/>
      <c r="L80" s="61"/>
    </row>
    <row r="81" spans="1:12">
      <c r="A81" s="34"/>
      <c r="B81" s="34"/>
      <c r="C81" s="34"/>
      <c r="D81" s="34"/>
      <c r="E81" s="34"/>
      <c r="F81" s="34"/>
      <c r="G81" s="34"/>
      <c r="H81" s="34"/>
      <c r="I81" s="38"/>
      <c r="J81" s="60"/>
      <c r="K81" s="60"/>
      <c r="L81" s="61"/>
    </row>
    <row r="82" spans="1:12">
      <c r="A82" s="34"/>
      <c r="B82" s="34"/>
      <c r="C82" s="34"/>
      <c r="D82" s="34"/>
      <c r="E82" s="34"/>
      <c r="F82" s="34"/>
      <c r="G82" s="34"/>
      <c r="H82" s="34"/>
      <c r="I82" s="38"/>
      <c r="J82" s="60"/>
      <c r="K82" s="60"/>
      <c r="L82" s="61"/>
    </row>
    <row r="83" spans="1:12">
      <c r="A83" s="34"/>
      <c r="B83" s="34"/>
      <c r="C83" s="34"/>
      <c r="D83" s="34"/>
      <c r="E83" s="34"/>
      <c r="F83" s="34"/>
      <c r="G83" s="34"/>
      <c r="H83" s="34"/>
      <c r="I83" s="38"/>
      <c r="J83" s="60"/>
      <c r="K83" s="60"/>
      <c r="L83" s="61"/>
    </row>
    <row r="84" spans="1:12">
      <c r="A84" s="34"/>
      <c r="B84" s="34"/>
      <c r="C84" s="34"/>
      <c r="D84" s="34"/>
      <c r="E84" s="34"/>
      <c r="F84" s="34"/>
      <c r="G84" s="34"/>
      <c r="H84" s="34"/>
      <c r="I84" s="38"/>
      <c r="J84" s="60"/>
      <c r="K84" s="60"/>
      <c r="L84" s="61"/>
    </row>
    <row r="85" spans="1:12">
      <c r="A85" s="34"/>
      <c r="B85" s="34"/>
      <c r="C85" s="34"/>
      <c r="D85" s="34"/>
      <c r="E85" s="34"/>
      <c r="F85" s="34"/>
      <c r="G85" s="34"/>
      <c r="H85" s="34"/>
      <c r="I85" s="38"/>
      <c r="J85" s="60"/>
      <c r="K85" s="60"/>
      <c r="L85" s="61"/>
    </row>
    <row r="86" spans="1:12">
      <c r="A86" s="34"/>
      <c r="B86" s="34"/>
      <c r="C86" s="34"/>
      <c r="D86" s="34"/>
      <c r="E86" s="34"/>
      <c r="F86" s="34"/>
      <c r="G86" s="34"/>
      <c r="H86" s="34"/>
      <c r="I86" s="38"/>
      <c r="J86" s="60"/>
      <c r="K86" s="60"/>
      <c r="L86" s="61"/>
    </row>
    <row r="87" spans="1:12">
      <c r="A87" s="34"/>
      <c r="B87" s="34"/>
      <c r="C87" s="34"/>
      <c r="D87" s="34"/>
      <c r="E87" s="34"/>
      <c r="F87" s="34"/>
      <c r="G87" s="34"/>
      <c r="H87" s="34"/>
      <c r="I87" s="38"/>
      <c r="J87" s="60"/>
      <c r="K87" s="60"/>
      <c r="L87" s="61"/>
    </row>
    <row r="88" spans="1:12">
      <c r="A88" s="34"/>
      <c r="B88" s="34"/>
      <c r="C88" s="34"/>
      <c r="D88" s="34"/>
      <c r="E88" s="34"/>
      <c r="F88" s="34"/>
      <c r="G88" s="34"/>
      <c r="H88" s="34"/>
      <c r="I88" s="38"/>
      <c r="J88" s="60"/>
      <c r="K88" s="60"/>
      <c r="L88" s="61"/>
    </row>
    <row r="89" spans="1:12">
      <c r="A89" s="34"/>
      <c r="B89" s="34"/>
      <c r="C89" s="34"/>
      <c r="D89" s="34"/>
      <c r="E89" s="34"/>
      <c r="F89" s="34"/>
      <c r="G89" s="34"/>
      <c r="H89" s="34"/>
      <c r="I89" s="38"/>
      <c r="J89" s="60"/>
      <c r="K89" s="60"/>
      <c r="L89" s="61"/>
    </row>
    <row r="90" spans="1:12">
      <c r="A90" s="34"/>
      <c r="B90" s="34"/>
      <c r="C90" s="34"/>
      <c r="D90" s="34"/>
      <c r="E90" s="34"/>
      <c r="F90" s="34"/>
      <c r="G90" s="34"/>
      <c r="H90" s="34"/>
      <c r="I90" s="38"/>
      <c r="J90" s="60"/>
      <c r="K90" s="60"/>
      <c r="L90" s="61"/>
    </row>
    <row r="91" spans="1:12">
      <c r="A91" s="34"/>
      <c r="B91" s="34"/>
      <c r="C91" s="34"/>
      <c r="D91" s="34"/>
      <c r="E91" s="34"/>
      <c r="F91" s="34"/>
      <c r="G91" s="34"/>
      <c r="H91" s="34"/>
      <c r="I91" s="38"/>
      <c r="J91" s="60"/>
      <c r="K91" s="60"/>
      <c r="L91" s="61"/>
    </row>
    <row r="92" spans="1:12">
      <c r="L92" s="5"/>
    </row>
    <row r="93" spans="1:12">
      <c r="L93" s="5"/>
    </row>
    <row r="94" spans="1:12">
      <c r="L94" s="5"/>
    </row>
    <row r="95" spans="1:12">
      <c r="L95" s="5"/>
    </row>
    <row r="96" spans="1:12">
      <c r="L96" s="5"/>
    </row>
    <row r="97" spans="12:12">
      <c r="L97" s="5"/>
    </row>
    <row r="98" spans="12:12">
      <c r="L98" s="5"/>
    </row>
    <row r="99" spans="12:12">
      <c r="L99" s="5"/>
    </row>
    <row r="100" spans="12:12">
      <c r="L100" s="5"/>
    </row>
    <row r="101" spans="12:12">
      <c r="L101" s="5"/>
    </row>
    <row r="102" spans="12:12">
      <c r="L102" s="5"/>
    </row>
    <row r="103" spans="12:12">
      <c r="L103" s="5"/>
    </row>
    <row r="104" spans="12:12">
      <c r="L104" s="5"/>
    </row>
    <row r="105" spans="12:12">
      <c r="L105" s="5"/>
    </row>
    <row r="106" spans="12:12">
      <c r="L106" s="5"/>
    </row>
    <row r="107" spans="12:12">
      <c r="L107" s="5"/>
    </row>
    <row r="108" spans="12:12">
      <c r="L108" s="5"/>
    </row>
    <row r="109" spans="12:12">
      <c r="L109" s="5"/>
    </row>
    <row r="110" spans="12:12">
      <c r="L110" s="5"/>
    </row>
    <row r="111" spans="12:12">
      <c r="L111" s="5"/>
    </row>
    <row r="112" spans="12:12">
      <c r="L112" s="5"/>
    </row>
    <row r="113" spans="12:12">
      <c r="L113" s="5"/>
    </row>
    <row r="114" spans="12:12">
      <c r="L114" s="5"/>
    </row>
    <row r="115" spans="12:12">
      <c r="L115" s="5"/>
    </row>
    <row r="116" spans="12:12">
      <c r="L116" s="5"/>
    </row>
    <row r="117" spans="12:12">
      <c r="L117" s="5"/>
    </row>
    <row r="118" spans="12:12">
      <c r="L118" s="5"/>
    </row>
    <row r="119" spans="12:12">
      <c r="L119" s="5"/>
    </row>
    <row r="120" spans="12:12">
      <c r="L120" s="5"/>
    </row>
    <row r="121" spans="12:12">
      <c r="L121" s="5"/>
    </row>
    <row r="122" spans="12:12">
      <c r="L122" s="5"/>
    </row>
    <row r="123" spans="12:12">
      <c r="L123" s="5"/>
    </row>
    <row r="124" spans="12:12">
      <c r="L124" s="5"/>
    </row>
    <row r="125" spans="12:12">
      <c r="L125" s="5"/>
    </row>
    <row r="126" spans="12:12">
      <c r="L126" s="5"/>
    </row>
    <row r="127" spans="12:12">
      <c r="L127" s="5"/>
    </row>
    <row r="128" spans="12:12">
      <c r="L128" s="5"/>
    </row>
    <row r="129" spans="12:12">
      <c r="L129" s="5"/>
    </row>
    <row r="130" spans="12:12">
      <c r="L130" s="5"/>
    </row>
    <row r="131" spans="12:12">
      <c r="L131" s="5"/>
    </row>
    <row r="132" spans="12:12">
      <c r="L132" s="5"/>
    </row>
    <row r="133" spans="12:12">
      <c r="L133" s="5"/>
    </row>
    <row r="134" spans="12:12">
      <c r="L134" s="5"/>
    </row>
    <row r="135" spans="12:12">
      <c r="L135" s="5"/>
    </row>
    <row r="136" spans="12:12">
      <c r="L136" s="5"/>
    </row>
    <row r="137" spans="12:12">
      <c r="L137" s="5"/>
    </row>
    <row r="138" spans="12:12">
      <c r="L138" s="5"/>
    </row>
    <row r="139" spans="12:12">
      <c r="L139" s="5"/>
    </row>
    <row r="140" spans="12:12">
      <c r="L140" s="5"/>
    </row>
    <row r="141" spans="12:12">
      <c r="L141" s="5"/>
    </row>
    <row r="142" spans="12:12">
      <c r="L142" s="5"/>
    </row>
    <row r="143" spans="12:12">
      <c r="L143" s="5"/>
    </row>
    <row r="144" spans="12:12">
      <c r="L144" s="5"/>
    </row>
    <row r="145" spans="12:12">
      <c r="L145" s="5"/>
    </row>
    <row r="146" spans="12:12">
      <c r="L146" s="5"/>
    </row>
    <row r="147" spans="12:12">
      <c r="L147" s="5"/>
    </row>
    <row r="148" spans="12:12">
      <c r="L148" s="5"/>
    </row>
    <row r="149" spans="12:12">
      <c r="L149" s="5"/>
    </row>
    <row r="150" spans="12:12">
      <c r="L150" s="5"/>
    </row>
    <row r="151" spans="12:12">
      <c r="L151" s="5"/>
    </row>
    <row r="152" spans="12:12">
      <c r="L152" s="5"/>
    </row>
    <row r="153" spans="12:12">
      <c r="L153" s="5"/>
    </row>
    <row r="154" spans="12:12">
      <c r="L154" s="5"/>
    </row>
    <row r="155" spans="12:12">
      <c r="L155" s="5"/>
    </row>
    <row r="156" spans="12:12">
      <c r="L156" s="5"/>
    </row>
    <row r="157" spans="12:12">
      <c r="L157" s="5"/>
    </row>
    <row r="158" spans="12:12">
      <c r="L158" s="5"/>
    </row>
    <row r="159" spans="12:12">
      <c r="L159" s="5"/>
    </row>
    <row r="160" spans="12:12">
      <c r="L160" s="5"/>
    </row>
    <row r="161" spans="12:12">
      <c r="L161" s="5"/>
    </row>
    <row r="162" spans="12:12">
      <c r="L162" s="5"/>
    </row>
    <row r="163" spans="12:12">
      <c r="L163" s="5"/>
    </row>
    <row r="164" spans="12:12">
      <c r="L164" s="5"/>
    </row>
    <row r="165" spans="12:12">
      <c r="L165" s="5"/>
    </row>
    <row r="166" spans="12:12">
      <c r="L166" s="5"/>
    </row>
    <row r="167" spans="12:12">
      <c r="L167" s="5"/>
    </row>
    <row r="168" spans="12:12">
      <c r="L168" s="5"/>
    </row>
    <row r="169" spans="12:12">
      <c r="L169" s="5"/>
    </row>
    <row r="170" spans="12:12">
      <c r="L170" s="5"/>
    </row>
    <row r="171" spans="12:12">
      <c r="L171" s="5"/>
    </row>
    <row r="172" spans="12:12">
      <c r="L172" s="5"/>
    </row>
    <row r="173" spans="12:12">
      <c r="L173" s="5"/>
    </row>
    <row r="174" spans="12:12">
      <c r="L174" s="5"/>
    </row>
    <row r="175" spans="12:12">
      <c r="L175" s="5"/>
    </row>
    <row r="176" spans="12:12">
      <c r="L176" s="5"/>
    </row>
    <row r="177" spans="12:12">
      <c r="L177" s="5"/>
    </row>
    <row r="178" spans="12:12">
      <c r="L178" s="5"/>
    </row>
    <row r="179" spans="12:12">
      <c r="L179" s="5"/>
    </row>
    <row r="180" spans="12:12">
      <c r="L180" s="5"/>
    </row>
    <row r="181" spans="12:12">
      <c r="L181" s="5"/>
    </row>
    <row r="182" spans="12:12">
      <c r="L182" s="5"/>
    </row>
    <row r="183" spans="12:12">
      <c r="L183" s="5"/>
    </row>
    <row r="184" spans="12:12">
      <c r="L184" s="5"/>
    </row>
    <row r="185" spans="12:12">
      <c r="L185" s="5"/>
    </row>
    <row r="186" spans="12:12">
      <c r="L186" s="5"/>
    </row>
    <row r="187" spans="12:12">
      <c r="L187" s="5"/>
    </row>
    <row r="188" spans="12:12">
      <c r="L188" s="5"/>
    </row>
    <row r="189" spans="12:12">
      <c r="L189" s="5"/>
    </row>
    <row r="190" spans="12:12">
      <c r="L190" s="5"/>
    </row>
    <row r="191" spans="12:12">
      <c r="L191" s="5"/>
    </row>
    <row r="192" spans="12:12">
      <c r="L192" s="5"/>
    </row>
    <row r="193" spans="12:12">
      <c r="L193" s="5"/>
    </row>
    <row r="194" spans="12:12">
      <c r="L194" s="5"/>
    </row>
    <row r="195" spans="12:12">
      <c r="L195" s="5"/>
    </row>
    <row r="196" spans="12:12">
      <c r="L196" s="5"/>
    </row>
    <row r="197" spans="12:12">
      <c r="L197" s="5"/>
    </row>
    <row r="198" spans="12:12">
      <c r="L198" s="5"/>
    </row>
    <row r="199" spans="12:12">
      <c r="L199" s="5"/>
    </row>
    <row r="200" spans="12:12">
      <c r="L200" s="5"/>
    </row>
    <row r="201" spans="12:12">
      <c r="L201" s="5"/>
    </row>
    <row r="202" spans="12:12">
      <c r="L202" s="5"/>
    </row>
    <row r="203" spans="12:12">
      <c r="L203" s="5"/>
    </row>
    <row r="204" spans="12:12">
      <c r="L204" s="5"/>
    </row>
    <row r="205" spans="12:12">
      <c r="L205" s="5"/>
    </row>
    <row r="206" spans="12:12">
      <c r="L206" s="5"/>
    </row>
    <row r="207" spans="12:12">
      <c r="L207" s="5"/>
    </row>
    <row r="208" spans="12:12">
      <c r="L208" s="5"/>
    </row>
    <row r="209" spans="12:12">
      <c r="L209" s="5"/>
    </row>
    <row r="210" spans="12:12">
      <c r="L210" s="5"/>
    </row>
    <row r="211" spans="12:12">
      <c r="L211" s="5"/>
    </row>
    <row r="212" spans="12:12">
      <c r="L212" s="5"/>
    </row>
    <row r="213" spans="12:12">
      <c r="L213" s="5"/>
    </row>
    <row r="214" spans="12:12">
      <c r="L214" s="5"/>
    </row>
    <row r="215" spans="12:12">
      <c r="L215" s="5"/>
    </row>
    <row r="216" spans="12:12">
      <c r="L216" s="5"/>
    </row>
    <row r="217" spans="12:12">
      <c r="L217" s="5"/>
    </row>
    <row r="218" spans="12:12">
      <c r="L218" s="5"/>
    </row>
    <row r="219" spans="12:12">
      <c r="L219" s="5"/>
    </row>
    <row r="220" spans="12:12">
      <c r="L220" s="5"/>
    </row>
    <row r="221" spans="12:12">
      <c r="L221" s="5"/>
    </row>
    <row r="222" spans="12:12">
      <c r="L222" s="5"/>
    </row>
    <row r="223" spans="12:12">
      <c r="L223" s="5"/>
    </row>
    <row r="224" spans="12:12">
      <c r="L224" s="5"/>
    </row>
    <row r="225" spans="12:12">
      <c r="L225" s="5"/>
    </row>
  </sheetData>
  <sheetProtection sheet="1" objects="1" scenarios="1" selectLockedCells="1"/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3"/>
  <sheetViews>
    <sheetView showGridLines="0" workbookViewId="0" xr3:uid="{F9CF3CF3-643B-5BE6-8B46-32C596A47465}">
      <selection sqref="A1:H13"/>
    </sheetView>
  </sheetViews>
  <sheetFormatPr defaultRowHeight="14.45"/>
  <cols>
    <col min="1" max="1" width="25.140625" style="1" customWidth="1"/>
    <col min="2" max="2" width="16.28515625" customWidth="1"/>
    <col min="3" max="3" width="32.140625" customWidth="1"/>
  </cols>
  <sheetData>
    <row r="1" spans="1:8" ht="18">
      <c r="A1" s="91"/>
      <c r="B1" s="92" t="s">
        <v>166</v>
      </c>
      <c r="C1" s="93"/>
      <c r="D1" s="4"/>
      <c r="E1" s="4"/>
      <c r="F1" s="4"/>
      <c r="G1" s="4"/>
      <c r="H1" s="4"/>
    </row>
    <row r="2" spans="1:8" ht="18">
      <c r="A2" s="94" t="s">
        <v>167</v>
      </c>
      <c r="B2" s="95">
        <f ca="1">'2X.3'!A2</f>
        <v>43582</v>
      </c>
      <c r="C2" s="96"/>
      <c r="D2" s="4"/>
      <c r="E2" s="4"/>
      <c r="F2" s="4"/>
      <c r="G2" s="4"/>
      <c r="H2" s="4"/>
    </row>
    <row r="3" spans="1:8" ht="18">
      <c r="A3" s="5">
        <f>'2X.1'!B1</f>
        <v>0</v>
      </c>
      <c r="B3" s="97">
        <f>'2X.1'!B2</f>
        <v>0</v>
      </c>
      <c r="C3" s="98" t="str">
        <f>'2X.1'!C2</f>
        <v>Unit 1X.1 Short sentences and questions</v>
      </c>
      <c r="D3" s="4"/>
      <c r="E3" s="4"/>
      <c r="F3" s="4"/>
      <c r="G3" s="4"/>
      <c r="H3" s="4"/>
    </row>
    <row r="4" spans="1:8" ht="18">
      <c r="A4" s="5">
        <f>'2X.2'!B1</f>
        <v>0</v>
      </c>
      <c r="B4" s="97">
        <f>'2X.2'!B2</f>
        <v>0</v>
      </c>
      <c r="C4" s="98" t="str">
        <f>'2X.2'!C2</f>
        <v>Unit 2X.1 Some longer sentences and questions</v>
      </c>
      <c r="D4" s="4"/>
      <c r="E4" s="4"/>
      <c r="F4" s="4"/>
      <c r="G4" s="4"/>
      <c r="H4" s="4"/>
    </row>
    <row r="5" spans="1:8" ht="18">
      <c r="A5" s="5">
        <f>'2X.3'!B1</f>
        <v>0</v>
      </c>
      <c r="B5" s="97">
        <f>'2X.3'!B2</f>
        <v>0</v>
      </c>
      <c r="C5" s="98" t="str">
        <f>'2X.3'!C2</f>
        <v>Unit 1X.3 "Be" Conversations</v>
      </c>
      <c r="D5" s="4"/>
      <c r="E5" s="4"/>
      <c r="F5" s="4"/>
      <c r="G5" s="4"/>
      <c r="H5" s="4"/>
    </row>
    <row r="6" spans="1:8" ht="18">
      <c r="A6" s="5">
        <f>'2X.C'!B1</f>
        <v>0</v>
      </c>
      <c r="B6" s="97">
        <f>'2X.C'!B2</f>
        <v>0</v>
      </c>
      <c r="C6" s="98" t="str">
        <f>'2X.C'!C2</f>
        <v>Cumulative test ("X" for Wrong)</v>
      </c>
      <c r="D6" s="4"/>
      <c r="E6" s="4"/>
      <c r="F6" s="4"/>
      <c r="G6" s="4"/>
      <c r="H6" s="4"/>
    </row>
    <row r="7" spans="1:8" ht="18">
      <c r="A7" s="5">
        <f>'2C.C'!B1</f>
        <v>0</v>
      </c>
      <c r="B7" s="97">
        <f>'2C.C'!B2</f>
        <v>0</v>
      </c>
      <c r="C7" s="98" t="str">
        <f>'2C.C'!D2</f>
        <v>Cumulative test ("C" for Correct)</v>
      </c>
      <c r="D7" s="4"/>
      <c r="E7" s="4"/>
      <c r="F7" s="4"/>
      <c r="G7" s="4"/>
      <c r="H7" s="4"/>
    </row>
    <row r="8" spans="1:8" ht="18">
      <c r="A8" s="5"/>
      <c r="B8" s="97"/>
      <c r="C8" s="98"/>
      <c r="D8" s="4"/>
      <c r="E8" s="4"/>
      <c r="F8" s="4"/>
      <c r="G8" s="4"/>
      <c r="H8" s="4"/>
    </row>
    <row r="9" spans="1:8" ht="18">
      <c r="A9" s="5"/>
      <c r="B9" s="89" t="s">
        <v>168</v>
      </c>
      <c r="C9" s="89"/>
      <c r="D9" s="4"/>
      <c r="E9" s="4"/>
      <c r="F9" s="4"/>
      <c r="G9" s="4"/>
      <c r="H9" s="4"/>
    </row>
    <row r="10" spans="1:8" ht="18">
      <c r="A10" s="5"/>
      <c r="B10" s="89" t="s">
        <v>169</v>
      </c>
      <c r="C10" s="89"/>
      <c r="D10" s="4"/>
      <c r="E10" s="4"/>
      <c r="F10" s="4"/>
      <c r="G10" s="4"/>
      <c r="H10" s="4"/>
    </row>
    <row r="11" spans="1:8" ht="18">
      <c r="A11" s="5"/>
      <c r="B11" s="89" t="s">
        <v>170</v>
      </c>
      <c r="C11" s="89"/>
      <c r="D11" s="4"/>
      <c r="E11" s="4"/>
      <c r="F11" s="4"/>
      <c r="G11" s="4"/>
      <c r="H11" s="4"/>
    </row>
    <row r="12" spans="1:8">
      <c r="A12" s="5"/>
      <c r="B12" s="4"/>
      <c r="C12" s="4"/>
      <c r="D12" s="4"/>
      <c r="E12" s="4"/>
      <c r="F12" s="4"/>
      <c r="G12" s="4"/>
      <c r="H12" s="4"/>
    </row>
    <row r="13" spans="1:8">
      <c r="A13" s="5"/>
      <c r="B13" s="4"/>
      <c r="C13" s="4"/>
      <c r="D13" s="4"/>
      <c r="E13" s="4"/>
      <c r="F13" s="4"/>
      <c r="G13" s="4"/>
      <c r="H13" s="4"/>
    </row>
  </sheetData>
  <sheetProtection sheet="1" objects="1" scenarios="1" selectLockedCells="1" selectUnlockedCells="1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/>
  <cp:revision/>
  <dcterms:created xsi:type="dcterms:W3CDTF">2019-04-14T16:03:47Z</dcterms:created>
  <dcterms:modified xsi:type="dcterms:W3CDTF">2019-04-27T16:44:26Z</dcterms:modified>
  <cp:category/>
  <cp:contentStatus/>
</cp:coreProperties>
</file>