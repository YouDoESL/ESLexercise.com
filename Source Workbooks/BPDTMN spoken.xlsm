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8FD40C1E-DA1A-41C9-A0E6-2CBD768AC49D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BPDTMN spoken" sheetId="1" r:id="rId1"/>
    <sheet name="Short-long pairs aeiou" sheetId="2" r:id="rId2"/>
    <sheet name="BPDTMN US Female" sheetId="3" r:id="rId3"/>
    <sheet name="error counting" sheetId="4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" i="2" l="1"/>
  <c r="B40" i="2"/>
  <c r="B39" i="2"/>
  <c r="B38" i="2"/>
  <c r="B36" i="2"/>
  <c r="B34" i="2"/>
  <c r="B32" i="2"/>
  <c r="B31" i="2"/>
  <c r="B30" i="2"/>
  <c r="B29" i="2"/>
  <c r="B28" i="2"/>
  <c r="B27" i="2"/>
  <c r="B25" i="2"/>
  <c r="B24" i="2"/>
  <c r="B23" i="2"/>
  <c r="B22" i="2"/>
  <c r="B21" i="2"/>
  <c r="B20" i="2"/>
  <c r="B19" i="2"/>
  <c r="B18" i="2"/>
  <c r="B16" i="2"/>
  <c r="B15" i="2"/>
  <c r="B14" i="2"/>
  <c r="B13" i="2"/>
  <c r="B12" i="2"/>
  <c r="B11" i="2"/>
  <c r="B10" i="2"/>
  <c r="B9" i="2"/>
  <c r="B8" i="2"/>
  <c r="B7" i="2"/>
  <c r="B6" i="2"/>
  <c r="J37" i="4" l="1"/>
  <c r="J35" i="4"/>
  <c r="J33" i="4"/>
  <c r="J26" i="4"/>
  <c r="J17" i="4"/>
  <c r="N3" i="4"/>
  <c r="H36" i="4"/>
  <c r="I16" i="4"/>
  <c r="I39" i="4"/>
  <c r="I19" i="4"/>
  <c r="H41" i="4"/>
  <c r="I14" i="4"/>
  <c r="H18" i="4"/>
  <c r="H20" i="4"/>
  <c r="H27" i="4"/>
  <c r="I9" i="4"/>
  <c r="H39" i="4"/>
  <c r="I22" i="4"/>
  <c r="H23" i="4"/>
  <c r="H14" i="4"/>
  <c r="I15" i="4"/>
  <c r="I20" i="4"/>
  <c r="I31" i="4"/>
  <c r="H12" i="4"/>
  <c r="H8" i="4"/>
  <c r="I34" i="4"/>
  <c r="I41" i="4"/>
  <c r="I24" i="4"/>
  <c r="I13" i="4"/>
  <c r="I29" i="4"/>
  <c r="H28" i="4"/>
  <c r="I10" i="4"/>
  <c r="I38" i="4"/>
  <c r="H29" i="4"/>
  <c r="I6" i="4"/>
  <c r="H21" i="4"/>
  <c r="H16" i="4"/>
  <c r="I7" i="4"/>
  <c r="I25" i="4"/>
  <c r="H11" i="4"/>
  <c r="H30" i="4"/>
  <c r="H19" i="4"/>
  <c r="H40" i="4"/>
  <c r="H22" i="4"/>
  <c r="I30" i="4"/>
  <c r="I28" i="4"/>
  <c r="I23" i="4"/>
  <c r="I40" i="4"/>
  <c r="H9" i="4"/>
  <c r="H32" i="4"/>
  <c r="H7" i="4"/>
  <c r="I21" i="4"/>
  <c r="H13" i="4"/>
  <c r="H38" i="4"/>
  <c r="I18" i="4"/>
  <c r="H31" i="4"/>
  <c r="H24" i="4"/>
  <c r="H10" i="4"/>
  <c r="I27" i="4"/>
  <c r="I12" i="4"/>
  <c r="H15" i="4"/>
  <c r="I36" i="4"/>
  <c r="H25" i="4"/>
  <c r="H6" i="4"/>
  <c r="I32" i="4"/>
  <c r="I11" i="4"/>
  <c r="I8" i="4"/>
  <c r="H34" i="4"/>
  <c r="M31" i="4" l="1"/>
  <c r="L3" i="4"/>
  <c r="M33" i="4"/>
  <c r="L35" i="4"/>
  <c r="L36" i="4"/>
  <c r="L37" i="4"/>
  <c r="L38" i="4"/>
  <c r="M3" i="4"/>
  <c r="L6" i="4"/>
  <c r="L9" i="4"/>
  <c r="L11" i="4"/>
  <c r="L12" i="4"/>
  <c r="L13" i="4"/>
  <c r="M35" i="4"/>
  <c r="M36" i="4"/>
  <c r="M37" i="4"/>
  <c r="M38" i="4"/>
  <c r="M4" i="4"/>
  <c r="M5" i="4"/>
  <c r="M6" i="4"/>
  <c r="M7" i="4"/>
  <c r="M8" i="4"/>
  <c r="M9" i="4"/>
  <c r="M10" i="4"/>
  <c r="M11" i="4"/>
  <c r="M12" i="4"/>
  <c r="M13" i="4"/>
  <c r="L15" i="4"/>
  <c r="L16" i="4"/>
  <c r="L17" i="4"/>
  <c r="L18" i="4"/>
  <c r="L19" i="4"/>
  <c r="L20" i="4"/>
  <c r="L21" i="4"/>
  <c r="L22" i="4"/>
  <c r="L4" i="4"/>
  <c r="J7" i="4" s="1"/>
  <c r="K4" i="4" s="1"/>
  <c r="L8" i="4"/>
  <c r="L26" i="4"/>
  <c r="L5" i="4"/>
  <c r="L7" i="4"/>
  <c r="L10" i="4"/>
  <c r="M15" i="4"/>
  <c r="M16" i="4"/>
  <c r="M17" i="4"/>
  <c r="M18" i="4"/>
  <c r="M19" i="4"/>
  <c r="M20" i="4"/>
  <c r="M21" i="4"/>
  <c r="M22" i="4"/>
  <c r="L24" i="4"/>
  <c r="L25" i="4"/>
  <c r="L27" i="4"/>
  <c r="L28" i="4"/>
  <c r="L29" i="4"/>
  <c r="M24" i="4"/>
  <c r="M25" i="4"/>
  <c r="M26" i="4"/>
  <c r="M27" i="4"/>
  <c r="M28" i="4"/>
  <c r="M29" i="4"/>
  <c r="L31" i="4"/>
  <c r="J34" i="4" s="1"/>
  <c r="K31" i="4" s="1"/>
  <c r="L33" i="4"/>
  <c r="J17" i="2"/>
  <c r="H15" i="3"/>
  <c r="I9" i="3"/>
  <c r="I15" i="3"/>
  <c r="H9" i="3"/>
  <c r="I12" i="3"/>
  <c r="I6" i="3"/>
  <c r="I16" i="3"/>
  <c r="O1" i="3"/>
  <c r="I7" i="3"/>
  <c r="H6" i="3"/>
  <c r="H10" i="3"/>
  <c r="I13" i="3"/>
  <c r="I8" i="3"/>
  <c r="H8" i="3"/>
  <c r="H17" i="3"/>
  <c r="I14" i="3"/>
  <c r="H14" i="3"/>
  <c r="H16" i="3"/>
  <c r="H7" i="3"/>
  <c r="I10" i="3"/>
  <c r="H12" i="3"/>
  <c r="H11" i="3"/>
  <c r="H13" i="3"/>
  <c r="I17" i="3"/>
  <c r="I11" i="3"/>
  <c r="J10" i="4" l="1"/>
  <c r="K7" i="4" s="1"/>
  <c r="J39" i="4"/>
  <c r="K36" i="4" s="1"/>
  <c r="J27" i="4"/>
  <c r="K24" i="4" s="1"/>
  <c r="J29" i="4"/>
  <c r="K26" i="4" s="1"/>
  <c r="J40" i="4"/>
  <c r="K37" i="4" s="1"/>
  <c r="J36" i="4"/>
  <c r="K33" i="4" s="1"/>
  <c r="J22" i="4"/>
  <c r="K19" i="4" s="1"/>
  <c r="J32" i="4"/>
  <c r="K29" i="4" s="1"/>
  <c r="J30" i="4"/>
  <c r="K27" i="4" s="1"/>
  <c r="J11" i="4"/>
  <c r="K8" i="4" s="1"/>
  <c r="J21" i="4"/>
  <c r="K18" i="4" s="1"/>
  <c r="J16" i="4"/>
  <c r="K13" i="4" s="1"/>
  <c r="J41" i="4"/>
  <c r="K38" i="4" s="1"/>
  <c r="J6" i="4"/>
  <c r="K3" i="4" s="1"/>
  <c r="J15" i="4"/>
  <c r="K12" i="4" s="1"/>
  <c r="J13" i="4"/>
  <c r="K10" i="4" s="1"/>
  <c r="J19" i="4"/>
  <c r="K16" i="4" s="1"/>
  <c r="J14" i="4"/>
  <c r="K11" i="4" s="1"/>
  <c r="J24" i="4"/>
  <c r="K21" i="4" s="1"/>
  <c r="J18" i="4"/>
  <c r="K15" i="4" s="1"/>
  <c r="J12" i="4"/>
  <c r="K9" i="4" s="1"/>
  <c r="J38" i="4"/>
  <c r="K35" i="4" s="1"/>
  <c r="J20" i="4"/>
  <c r="K17" i="4" s="1"/>
  <c r="J31" i="4"/>
  <c r="K28" i="4" s="1"/>
  <c r="J25" i="4"/>
  <c r="K22" i="4" s="1"/>
  <c r="J28" i="4"/>
  <c r="K25" i="4" s="1"/>
  <c r="J8" i="4"/>
  <c r="K5" i="4" s="1"/>
  <c r="J23" i="4"/>
  <c r="K20" i="4" s="1"/>
  <c r="J9" i="4"/>
  <c r="K6" i="4" s="1"/>
  <c r="B6" i="3"/>
  <c r="B8" i="3"/>
  <c r="B14" i="3"/>
  <c r="B9" i="3"/>
  <c r="B15" i="3"/>
  <c r="B10" i="3"/>
  <c r="B16" i="3"/>
  <c r="B11" i="3"/>
  <c r="B12" i="3"/>
  <c r="B13" i="3"/>
  <c r="B17" i="3"/>
  <c r="B7" i="3"/>
  <c r="L17" i="3"/>
  <c r="M17" i="3"/>
  <c r="M6" i="3"/>
  <c r="L7" i="3"/>
  <c r="L8" i="3"/>
  <c r="L9" i="3"/>
  <c r="L10" i="3"/>
  <c r="L11" i="3"/>
  <c r="L12" i="3"/>
  <c r="L13" i="3"/>
  <c r="L14" i="3"/>
  <c r="L15" i="3"/>
  <c r="L16" i="3"/>
  <c r="M7" i="3"/>
  <c r="M8" i="3"/>
  <c r="M9" i="3"/>
  <c r="M10" i="3"/>
  <c r="M11" i="3"/>
  <c r="M12" i="3"/>
  <c r="M13" i="3"/>
  <c r="M14" i="3"/>
  <c r="M15" i="3"/>
  <c r="M16" i="3"/>
  <c r="L6" i="3"/>
  <c r="J37" i="2"/>
  <c r="J35" i="2"/>
  <c r="J33" i="2"/>
  <c r="J26" i="2"/>
  <c r="I18" i="2"/>
  <c r="I16" i="2"/>
  <c r="I40" i="2"/>
  <c r="H28" i="2"/>
  <c r="H34" i="2"/>
  <c r="I32" i="2"/>
  <c r="I14" i="2"/>
  <c r="H23" i="2"/>
  <c r="H21" i="2"/>
  <c r="I34" i="2"/>
  <c r="I29" i="2"/>
  <c r="H38" i="2"/>
  <c r="I11" i="2"/>
  <c r="I12" i="2"/>
  <c r="H14" i="2"/>
  <c r="H18" i="2"/>
  <c r="I21" i="2"/>
  <c r="I39" i="2"/>
  <c r="I28" i="2"/>
  <c r="I22" i="2"/>
  <c r="I10" i="2"/>
  <c r="H36" i="2"/>
  <c r="I8" i="2"/>
  <c r="H22" i="2"/>
  <c r="I20" i="2"/>
  <c r="I23" i="2"/>
  <c r="H40" i="2"/>
  <c r="H27" i="2"/>
  <c r="I9" i="2"/>
  <c r="I38" i="2"/>
  <c r="H7" i="2"/>
  <c r="H39" i="2"/>
  <c r="I31" i="2"/>
  <c r="H20" i="2"/>
  <c r="H9" i="2"/>
  <c r="H29" i="2"/>
  <c r="I27" i="2"/>
  <c r="H10" i="2"/>
  <c r="I30" i="2"/>
  <c r="H41" i="2"/>
  <c r="H12" i="2"/>
  <c r="H16" i="2"/>
  <c r="H6" i="2"/>
  <c r="H19" i="2"/>
  <c r="H30" i="2"/>
  <c r="I15" i="2"/>
  <c r="H11" i="2"/>
  <c r="I36" i="2"/>
  <c r="H15" i="2"/>
  <c r="H31" i="2"/>
  <c r="I24" i="2"/>
  <c r="I6" i="2"/>
  <c r="I7" i="2"/>
  <c r="H24" i="2"/>
  <c r="I19" i="2"/>
  <c r="H25" i="2"/>
  <c r="I13" i="2"/>
  <c r="H8" i="2"/>
  <c r="H32" i="2"/>
  <c r="I41" i="2"/>
  <c r="H13" i="2"/>
  <c r="I25" i="2"/>
  <c r="M15" i="2" l="1"/>
  <c r="M14" i="2"/>
  <c r="M20" i="2"/>
  <c r="M38" i="2"/>
  <c r="M29" i="2"/>
  <c r="M25" i="2"/>
  <c r="M23" i="2"/>
  <c r="M27" i="2"/>
  <c r="M9" i="2"/>
  <c r="M18" i="2"/>
  <c r="M31" i="2"/>
  <c r="M7" i="2"/>
  <c r="M10" i="2"/>
  <c r="M41" i="2"/>
  <c r="M19" i="2"/>
  <c r="M40" i="2"/>
  <c r="M6" i="2"/>
  <c r="M16" i="2"/>
  <c r="M30" i="2"/>
  <c r="M36" i="2"/>
  <c r="M11" i="2"/>
  <c r="M22" i="2"/>
  <c r="M32" i="2"/>
  <c r="M21" i="2"/>
  <c r="M39" i="2"/>
  <c r="M24" i="2"/>
  <c r="M34" i="2"/>
  <c r="M28" i="2"/>
  <c r="M12" i="2"/>
  <c r="M13" i="2"/>
  <c r="M8" i="2"/>
  <c r="J6" i="3"/>
  <c r="K6" i="3" s="1"/>
  <c r="J15" i="3"/>
  <c r="K15" i="3" s="1"/>
  <c r="J14" i="3"/>
  <c r="K14" i="3" s="1"/>
  <c r="J9" i="3"/>
  <c r="K9" i="3" s="1"/>
  <c r="J8" i="3"/>
  <c r="K8" i="3" s="1"/>
  <c r="J17" i="3"/>
  <c r="K17" i="3" s="1"/>
  <c r="J11" i="3"/>
  <c r="K11" i="3" s="1"/>
  <c r="J16" i="3"/>
  <c r="K16" i="3" s="1"/>
  <c r="J10" i="3"/>
  <c r="K10" i="3" s="1"/>
  <c r="J13" i="3"/>
  <c r="K13" i="3" s="1"/>
  <c r="J7" i="3"/>
  <c r="K7" i="3" s="1"/>
  <c r="J12" i="3"/>
  <c r="K12" i="3" s="1"/>
  <c r="K9" i="2"/>
  <c r="K15" i="2"/>
  <c r="K22" i="2"/>
  <c r="K29" i="2"/>
  <c r="K38" i="2"/>
  <c r="K10" i="2"/>
  <c r="K16" i="2"/>
  <c r="K23" i="2"/>
  <c r="K30" i="2"/>
  <c r="K39" i="2"/>
  <c r="K11" i="2"/>
  <c r="K18" i="2"/>
  <c r="K24" i="2"/>
  <c r="K31" i="2"/>
  <c r="K40" i="2"/>
  <c r="K12" i="2"/>
  <c r="K19" i="2"/>
  <c r="K25" i="2"/>
  <c r="K32" i="2"/>
  <c r="K41" i="2"/>
  <c r="K7" i="2"/>
  <c r="K13" i="2"/>
  <c r="K20" i="2"/>
  <c r="K27" i="2"/>
  <c r="K34" i="2"/>
  <c r="K14" i="2"/>
  <c r="K21" i="2"/>
  <c r="K28" i="2"/>
  <c r="K36" i="2"/>
  <c r="K6" i="2"/>
  <c r="L30" i="2"/>
  <c r="L16" i="2"/>
  <c r="L39" i="2"/>
  <c r="L12" i="2"/>
  <c r="L7" i="2"/>
  <c r="L13" i="2"/>
  <c r="L20" i="2"/>
  <c r="L27" i="2"/>
  <c r="L34" i="2"/>
  <c r="L14" i="2"/>
  <c r="L21" i="2"/>
  <c r="L28" i="2"/>
  <c r="L36" i="2"/>
  <c r="L9" i="2"/>
  <c r="L15" i="2"/>
  <c r="L22" i="2"/>
  <c r="L29" i="2"/>
  <c r="L38" i="2"/>
  <c r="L23" i="2"/>
  <c r="L11" i="2"/>
  <c r="L18" i="2"/>
  <c r="L24" i="2"/>
  <c r="L31" i="2"/>
  <c r="L40" i="2"/>
  <c r="L10" i="2"/>
  <c r="L19" i="2"/>
  <c r="L25" i="2"/>
  <c r="L32" i="2"/>
  <c r="L41" i="2"/>
  <c r="L6" i="2"/>
  <c r="K8" i="2"/>
  <c r="L8" i="2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G7" i="1"/>
  <c r="E13" i="1"/>
  <c r="E9" i="1"/>
  <c r="E17" i="1"/>
  <c r="G16" i="1"/>
  <c r="G12" i="1"/>
  <c r="E8" i="1"/>
  <c r="G15" i="1"/>
  <c r="G13" i="1"/>
  <c r="E14" i="1"/>
  <c r="E15" i="1"/>
  <c r="E11" i="1"/>
  <c r="G10" i="1"/>
  <c r="E10" i="1"/>
  <c r="E12" i="1"/>
  <c r="G6" i="1"/>
  <c r="G17" i="1"/>
  <c r="G14" i="1"/>
  <c r="G9" i="1"/>
  <c r="E16" i="1"/>
  <c r="E6" i="1"/>
  <c r="G11" i="1"/>
  <c r="G8" i="1"/>
  <c r="E7" i="1"/>
  <c r="J38" i="2" l="1"/>
  <c r="J28" i="2"/>
  <c r="J7" i="2"/>
  <c r="J30" i="2"/>
  <c r="J31" i="2"/>
  <c r="J41" i="2"/>
  <c r="J40" i="2"/>
  <c r="J29" i="2"/>
  <c r="J39" i="2"/>
  <c r="J21" i="2"/>
  <c r="J23" i="2"/>
  <c r="J13" i="2"/>
  <c r="J12" i="2"/>
  <c r="J22" i="2"/>
  <c r="J14" i="2"/>
  <c r="J15" i="2"/>
  <c r="J8" i="2"/>
  <c r="J34" i="2"/>
  <c r="J32" i="2"/>
  <c r="J24" i="2"/>
  <c r="J16" i="2"/>
  <c r="J9" i="2"/>
  <c r="J6" i="2"/>
  <c r="J27" i="2"/>
  <c r="J25" i="2"/>
  <c r="J18" i="2"/>
  <c r="J10" i="2"/>
  <c r="J36" i="2"/>
  <c r="J20" i="2"/>
  <c r="J19" i="2"/>
  <c r="J11" i="2"/>
  <c r="I8" i="1"/>
  <c r="L8" i="1" s="1"/>
  <c r="I14" i="1"/>
  <c r="L14" i="1" s="1"/>
  <c r="I9" i="1"/>
  <c r="L9" i="1" s="1"/>
  <c r="I15" i="1"/>
  <c r="L15" i="1" s="1"/>
  <c r="I10" i="1"/>
  <c r="L10" i="1" s="1"/>
  <c r="I16" i="1"/>
  <c r="L16" i="1" s="1"/>
  <c r="I11" i="1"/>
  <c r="L11" i="1" s="1"/>
  <c r="I17" i="1"/>
  <c r="L17" i="1" s="1"/>
  <c r="I12" i="1"/>
  <c r="L12" i="1" s="1"/>
  <c r="I7" i="1"/>
  <c r="L7" i="1" s="1"/>
  <c r="I13" i="1"/>
  <c r="L13" i="1" s="1"/>
  <c r="I6" i="1"/>
  <c r="L6" i="1" s="1"/>
  <c r="E21" i="1" l="1"/>
  <c r="I20" i="1"/>
  <c r="G20" i="1"/>
  <c r="E22" i="1"/>
  <c r="I21" i="1"/>
  <c r="G21" i="1"/>
  <c r="E20" i="1"/>
  <c r="C19" i="1"/>
  <c r="G22" i="1"/>
  <c r="I22" i="1"/>
</calcChain>
</file>

<file path=xl/sharedStrings.xml><?xml version="1.0" encoding="utf-8"?>
<sst xmlns="http://schemas.openxmlformats.org/spreadsheetml/2006/main" count="362" uniqueCount="108">
  <si>
    <t>BAM</t>
  </si>
  <si>
    <t>BAN</t>
  </si>
  <si>
    <t>BAD</t>
  </si>
  <si>
    <t>BAT</t>
  </si>
  <si>
    <t>PAD</t>
  </si>
  <si>
    <t>PAT</t>
  </si>
  <si>
    <t>PAN</t>
  </si>
  <si>
    <t>PAM</t>
  </si>
  <si>
    <t>bat</t>
  </si>
  <si>
    <t>pat</t>
  </si>
  <si>
    <t>pan</t>
  </si>
  <si>
    <t>bam</t>
  </si>
  <si>
    <t>bad</t>
  </si>
  <si>
    <t>Check the one you hear:</t>
  </si>
  <si>
    <t>#end</t>
  </si>
  <si>
    <t>Speaker says:</t>
  </si>
  <si>
    <t>NAP</t>
  </si>
  <si>
    <t>MAP</t>
  </si>
  <si>
    <t>DAB</t>
  </si>
  <si>
    <t>TAB</t>
  </si>
  <si>
    <t>TAN</t>
  </si>
  <si>
    <t>DAN</t>
  </si>
  <si>
    <t>MN</t>
  </si>
  <si>
    <t>DT</t>
  </si>
  <si>
    <t>BP</t>
  </si>
  <si>
    <t>TAP</t>
  </si>
  <si>
    <t>MAT</t>
  </si>
  <si>
    <t>NAT</t>
  </si>
  <si>
    <t>NAB</t>
  </si>
  <si>
    <t>nab</t>
  </si>
  <si>
    <t>map</t>
  </si>
  <si>
    <t>tab</t>
  </si>
  <si>
    <t>nat</t>
  </si>
  <si>
    <t>tan</t>
  </si>
  <si>
    <t>initial</t>
  </si>
  <si>
    <t>final</t>
  </si>
  <si>
    <t>total</t>
  </si>
  <si>
    <t>B vs P</t>
  </si>
  <si>
    <t>D vs T</t>
  </si>
  <si>
    <t>M vs N</t>
  </si>
  <si>
    <t>correct!</t>
  </si>
  <si>
    <t>pane</t>
  </si>
  <si>
    <t>app</t>
  </si>
  <si>
    <t>ape</t>
  </si>
  <si>
    <t>ate</t>
  </si>
  <si>
    <t>at</t>
  </si>
  <si>
    <t>nape</t>
  </si>
  <si>
    <t>nap</t>
  </si>
  <si>
    <t>bane</t>
  </si>
  <si>
    <t>ban</t>
  </si>
  <si>
    <t>dam</t>
  </si>
  <si>
    <t>dame</t>
  </si>
  <si>
    <t>mane</t>
  </si>
  <si>
    <t>man</t>
  </si>
  <si>
    <t>ad</t>
  </si>
  <si>
    <t>ade</t>
  </si>
  <si>
    <t>tap</t>
  </si>
  <si>
    <t>tape</t>
  </si>
  <si>
    <t>mad</t>
  </si>
  <si>
    <t>made</t>
  </si>
  <si>
    <t>hat</t>
  </si>
  <si>
    <t>hate</t>
  </si>
  <si>
    <t>bit</t>
  </si>
  <si>
    <t>bite</t>
  </si>
  <si>
    <t>pip</t>
  </si>
  <si>
    <t>pipe</t>
  </si>
  <si>
    <t>pine</t>
  </si>
  <si>
    <t>pin</t>
  </si>
  <si>
    <t>jibe</t>
  </si>
  <si>
    <t>jib</t>
  </si>
  <si>
    <t>bid</t>
  </si>
  <si>
    <t>bide</t>
  </si>
  <si>
    <t>dine</t>
  </si>
  <si>
    <t>din</t>
  </si>
  <si>
    <t>dim</t>
  </si>
  <si>
    <t>dime</t>
  </si>
  <si>
    <t>hide</t>
  </si>
  <si>
    <t>hid</t>
  </si>
  <si>
    <t>dot</t>
  </si>
  <si>
    <t>dote</t>
  </si>
  <si>
    <t>odd</t>
  </si>
  <si>
    <t>ode</t>
  </si>
  <si>
    <t>hop</t>
  </si>
  <si>
    <t>hope</t>
  </si>
  <si>
    <t>note</t>
  </si>
  <si>
    <t>not</t>
  </si>
  <si>
    <t>node</t>
  </si>
  <si>
    <t>nod</t>
  </si>
  <si>
    <t>tote</t>
  </si>
  <si>
    <t>tot</t>
  </si>
  <si>
    <t>mutt</t>
  </si>
  <si>
    <t>mute</t>
  </si>
  <si>
    <t>tub</t>
  </si>
  <si>
    <t>tube</t>
  </si>
  <si>
    <t>meet</t>
  </si>
  <si>
    <t>met</t>
  </si>
  <si>
    <t>beet</t>
  </si>
  <si>
    <t>bet</t>
  </si>
  <si>
    <t>ten</t>
  </si>
  <si>
    <t>teen</t>
  </si>
  <si>
    <t>pep</t>
  </si>
  <si>
    <t>peep</t>
  </si>
  <si>
    <t>.</t>
  </si>
  <si>
    <t>Sound file is here:</t>
  </si>
  <si>
    <t>BPDTMN US Female Voice</t>
  </si>
  <si>
    <t>or here:</t>
  </si>
  <si>
    <t>BPDTMN US Male Voice</t>
  </si>
  <si>
    <t>&lt;audio controls&gt;&lt;source src="/BPDTMN_US_Female.mp4"&gt;&lt;/audio&gt;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</si>
</sst>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24"/>
      <color rgb="FF000000"/>
      <name val="Times New Roman"/>
      <family val="1"/>
    </font>
    <font>
      <sz val="18"/>
      <color theme="0"/>
      <name val="Calibri"/>
      <family val="2"/>
      <scheme val="minor"/>
    </font>
    <font>
      <sz val="18"/>
      <color rgb="FF000000"/>
      <name val="Times New Roman"/>
      <family val="1"/>
    </font>
    <font>
      <sz val="24"/>
      <color theme="1"/>
      <name val="Calibri"/>
      <family val="2"/>
      <scheme val="minor"/>
    </font>
    <font>
      <sz val="18"/>
      <color theme="0"/>
      <name val="Times New Roman"/>
      <family val="1"/>
    </font>
    <font>
      <sz val="18"/>
      <color theme="1"/>
      <name val="Times New Roman"/>
      <family val="1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rgb="FF454545"/>
      <name val="Fixed"/>
      <family val="3"/>
    </font>
    <font>
      <sz val="10"/>
      <color rgb="FF454545"/>
      <name val="Courier New"/>
      <family val="3"/>
    </font>
    <font>
      <sz val="12.75"/>
      <name val="Fixed"/>
      <family val="3"/>
    </font>
    <font>
      <sz val="24"/>
      <color rgb="FFFF0000"/>
      <name val="Times New Roman"/>
      <family val="1"/>
    </font>
    <font>
      <sz val="11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5CB9"/>
      </left>
      <right style="medium">
        <color rgb="FF005CB9"/>
      </right>
      <top style="medium">
        <color rgb="FF005CB9"/>
      </top>
      <bottom style="medium">
        <color rgb="FF005CB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4" fillId="0" borderId="0" xfId="1"/>
    <xf numFmtId="0" fontId="5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9" fontId="0" fillId="0" borderId="2" xfId="0" applyNumberFormat="1" applyBorder="1"/>
    <xf numFmtId="0" fontId="0" fillId="0" borderId="3" xfId="0" applyFont="1" applyBorder="1" applyAlignment="1">
      <alignment horizontal="left"/>
    </xf>
    <xf numFmtId="0" fontId="7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8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0" fillId="0" borderId="0" xfId="0" applyFont="1" applyAlignment="1">
      <alignment horizontal="right" vertical="center" wrapText="1"/>
    </xf>
    <xf numFmtId="0" fontId="12" fillId="0" borderId="0" xfId="0" applyFont="1" applyAlignment="1">
      <alignment horizontal="right" vertical="center" wrapText="1"/>
    </xf>
    <xf numFmtId="0" fontId="3" fillId="0" borderId="0" xfId="0" applyFont="1" applyAlignment="1">
      <alignment vertical="center"/>
    </xf>
    <xf numFmtId="0" fontId="13" fillId="0" borderId="0" xfId="0" quotePrefix="1" applyFont="1" applyAlignment="1">
      <alignment horizontal="left" vertical="center" wrapText="1"/>
    </xf>
    <xf numFmtId="0" fontId="13" fillId="0" borderId="0" xfId="0" applyFont="1" applyAlignment="1">
      <alignment horizontal="right" vertical="center" wrapText="1"/>
    </xf>
    <xf numFmtId="0" fontId="14" fillId="0" borderId="0" xfId="0" applyFont="1" applyAlignment="1">
      <alignment vertical="center"/>
    </xf>
    <xf numFmtId="0" fontId="0" fillId="0" borderId="0" xfId="0" applyFont="1"/>
    <xf numFmtId="0" fontId="15" fillId="0" borderId="0" xfId="0" applyFont="1"/>
    <xf numFmtId="0" fontId="0" fillId="0" borderId="0" xfId="0" applyAlignment="1">
      <alignment horizontal="right"/>
    </xf>
    <xf numFmtId="0" fontId="4" fillId="0" borderId="0" xfId="1" applyAlignment="1">
      <alignment horizontal="center" wrapText="1"/>
    </xf>
    <xf numFmtId="0" fontId="16" fillId="0" borderId="4" xfId="0" applyFont="1" applyBorder="1" applyAlignment="1">
      <alignment horizontal="left" vertical="center" indent="2"/>
    </xf>
    <xf numFmtId="0" fontId="16" fillId="0" borderId="0" xfId="0" applyFont="1" applyBorder="1" applyAlignment="1">
      <alignment horizontal="left" vertical="center" indent="2"/>
    </xf>
    <xf numFmtId="0" fontId="17" fillId="0" borderId="0" xfId="0" applyFont="1" applyAlignment="1">
      <alignment vertical="center"/>
    </xf>
    <xf numFmtId="0" fontId="18" fillId="0" borderId="0" xfId="0" applyFont="1" applyBorder="1" applyAlignment="1">
      <alignment horizontal="left" vertical="center" indent="2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vertical="center" wrapText="1"/>
    </xf>
    <xf numFmtId="0" fontId="20" fillId="0" borderId="0" xfId="0" applyFont="1"/>
    <xf numFmtId="0" fontId="21" fillId="0" borderId="0" xfId="0" applyFont="1"/>
    <xf numFmtId="0" fontId="22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  <xf numFmtId="0" fontId="4" fillId="2" borderId="5" xfId="1" applyFill="1" applyBorder="1" applyAlignment="1">
      <alignment horizontal="center"/>
    </xf>
    <xf numFmtId="0" fontId="4" fillId="0" borderId="0" xfId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F7" lockText="1"/>
</file>

<file path=xl/ctrlProps/ctrlProp2.xml><?xml version="1.0" encoding="utf-8"?>
<formControlPr xmlns="http://schemas.microsoft.com/office/spreadsheetml/2009/9/main" objectType="CheckBox" fmlaLink="F9" lockText="1"/>
</file>

<file path=xl/ctrlProps/ctrlProp3.xml><?xml version="1.0" encoding="utf-8"?>
<formControlPr xmlns="http://schemas.microsoft.com/office/spreadsheetml/2009/9/main" objectType="CheckBox" fmlaLink="F10" lockText="1"/>
</file>

<file path=xl/ctrlProps/ctrlProp4.xml><?xml version="1.0" encoding="utf-8"?>
<formControlPr xmlns="http://schemas.microsoft.com/office/spreadsheetml/2009/9/main" objectType="CheckBox" fmlaLink="F11" lockText="1"/>
</file>

<file path=xl/ctrlProps/ctrlProp5.xml><?xml version="1.0" encoding="utf-8"?>
<formControlPr xmlns="http://schemas.microsoft.com/office/spreadsheetml/2009/9/main" objectType="CheckBox" fmlaLink="F12" lockText="1"/>
</file>

<file path=xl/ctrlProps/ctrlProp6.xml><?xml version="1.0" encoding="utf-8"?>
<formControlPr xmlns="http://schemas.microsoft.com/office/spreadsheetml/2009/9/main" objectType="CheckBox" fmlaLink="F13" lockText="1"/>
</file>

<file path=xl/ctrlProps/ctrlProp7.xml><?xml version="1.0" encoding="utf-8"?>
<formControlPr xmlns="http://schemas.microsoft.com/office/spreadsheetml/2009/9/main" objectType="CheckBox" fmlaLink="F14" lockText="1"/>
</file>

<file path=xl/ctrlProps/ctrlProp8.xml><?xml version="1.0" encoding="utf-8"?>
<formControlPr xmlns="http://schemas.microsoft.com/office/spreadsheetml/2009/9/main" objectType="CheckBox" fmlaLink="F16" lockText="1"/>
</file>

<file path=xl/ctrlProps/ctrlProp9.xml><?xml version="1.0" encoding="utf-8"?>
<formControlPr xmlns="http://schemas.microsoft.com/office/spreadsheetml/2009/9/main" objectType="CheckBox" fmlaLink="F17" lockText="1"/>
</file>

<file path=xl/ctrlProps/ctrlProp10.xml><?xml version="1.0" encoding="utf-8"?>
<formControlPr xmlns="http://schemas.microsoft.com/office/spreadsheetml/2009/9/main" objectType="CheckBox" fmlaLink="F15" lockText="1"/>
</file>

<file path=xl/ctrlProps/ctrlProp11.xml><?xml version="1.0" encoding="utf-8"?>
<formControlPr xmlns="http://schemas.microsoft.com/office/spreadsheetml/2009/9/main" objectType="CheckBox" fmlaLink="F8" lockText="1"/>
</file>

<file path=xl/ctrlProps/ctrlProp12.xml><?xml version="1.0" encoding="utf-8"?>
<formControlPr xmlns="http://schemas.microsoft.com/office/spreadsheetml/2009/9/main" objectType="CheckBox" fmlaLink="H7" lockText="1"/>
</file>

<file path=xl/ctrlProps/ctrlProp13.xml><?xml version="1.0" encoding="utf-8"?>
<formControlPr xmlns="http://schemas.microsoft.com/office/spreadsheetml/2009/9/main" objectType="CheckBox" fmlaLink="H9" lockText="1"/>
</file>

<file path=xl/ctrlProps/ctrlProp14.xml><?xml version="1.0" encoding="utf-8"?>
<formControlPr xmlns="http://schemas.microsoft.com/office/spreadsheetml/2009/9/main" objectType="CheckBox" fmlaLink="H10" lockText="1"/>
</file>

<file path=xl/ctrlProps/ctrlProp15.xml><?xml version="1.0" encoding="utf-8"?>
<formControlPr xmlns="http://schemas.microsoft.com/office/spreadsheetml/2009/9/main" objectType="CheckBox" fmlaLink="H11" lockText="1"/>
</file>

<file path=xl/ctrlProps/ctrlProp16.xml><?xml version="1.0" encoding="utf-8"?>
<formControlPr xmlns="http://schemas.microsoft.com/office/spreadsheetml/2009/9/main" objectType="CheckBox" fmlaLink="H12" lockText="1"/>
</file>

<file path=xl/ctrlProps/ctrlProp17.xml><?xml version="1.0" encoding="utf-8"?>
<formControlPr xmlns="http://schemas.microsoft.com/office/spreadsheetml/2009/9/main" objectType="CheckBox" fmlaLink="H13" lockText="1"/>
</file>

<file path=xl/ctrlProps/ctrlProp18.xml><?xml version="1.0" encoding="utf-8"?>
<formControlPr xmlns="http://schemas.microsoft.com/office/spreadsheetml/2009/9/main" objectType="CheckBox" fmlaLink="H14" lockText="1"/>
</file>

<file path=xl/ctrlProps/ctrlProp19.xml><?xml version="1.0" encoding="utf-8"?>
<formControlPr xmlns="http://schemas.microsoft.com/office/spreadsheetml/2009/9/main" objectType="CheckBox" fmlaLink="H16" lockText="1"/>
</file>

<file path=xl/ctrlProps/ctrlProp20.xml><?xml version="1.0" encoding="utf-8"?>
<formControlPr xmlns="http://schemas.microsoft.com/office/spreadsheetml/2009/9/main" objectType="CheckBox" fmlaLink="H17" lockText="1"/>
</file>

<file path=xl/ctrlProps/ctrlProp21.xml><?xml version="1.0" encoding="utf-8"?>
<formControlPr xmlns="http://schemas.microsoft.com/office/spreadsheetml/2009/9/main" objectType="CheckBox" fmlaLink="H15" lockText="1"/>
</file>

<file path=xl/ctrlProps/ctrlProp22.xml><?xml version="1.0" encoding="utf-8"?>
<formControlPr xmlns="http://schemas.microsoft.com/office/spreadsheetml/2009/9/main" objectType="CheckBox" fmlaLink="H8" lockText="1"/>
</file>

<file path=xl/ctrlProps/ctrlProp23.xml><?xml version="1.0" encoding="utf-8"?>
<formControlPr xmlns="http://schemas.microsoft.com/office/spreadsheetml/2009/9/main" objectType="CheckBox" checked="Checked" fmlaLink="F6" lockText="1"/>
</file>

<file path=xl/ctrlProps/ctrlProp24.xml><?xml version="1.0" encoding="utf-8"?>
<formControlPr xmlns="http://schemas.microsoft.com/office/spreadsheetml/2009/9/main" objectType="CheckBox" checked="Checked" fmlaLink="F6" lockText="1"/>
</file>

<file path=xl/ctrlProps/ctrlProp25.xml><?xml version="1.0" encoding="utf-8"?>
<formControlPr xmlns="http://schemas.microsoft.com/office/spreadsheetml/2009/9/main" objectType="CheckBox" checked="Checked" fmlaLink="F6" lockText="1"/>
</file>

<file path=xl/ctrlProps/ctrlProp26.xml><?xml version="1.0" encoding="utf-8"?>
<formControlPr xmlns="http://schemas.microsoft.com/office/spreadsheetml/2009/9/main" objectType="CheckBox" checked="Checked" fmlaLink="F6" lockText="1"/>
</file>

<file path=xl/ctrlProps/ctrlProp27.xml><?xml version="1.0" encoding="utf-8"?>
<formControlPr xmlns="http://schemas.microsoft.com/office/spreadsheetml/2009/9/main" objectType="CheckBox" checked="Checked" fmlaLink="F6" lockText="1"/>
</file>

<file path=xl/ctrlProps/ctrlProp28.xml><?xml version="1.0" encoding="utf-8"?>
<formControlPr xmlns="http://schemas.microsoft.com/office/spreadsheetml/2009/9/main" objectType="CheckBox" checked="Checked" fmlaLink="F6" lockText="1"/>
</file>

<file path=xl/ctrlProps/ctrlProp29.xml><?xml version="1.0" encoding="utf-8"?>
<formControlPr xmlns="http://schemas.microsoft.com/office/spreadsheetml/2009/9/main" objectType="CheckBox" checked="Checked" fmlaLink="F6" lockText="1"/>
</file>

<file path=xl/ctrlProps/ctrlProp30.xml><?xml version="1.0" encoding="utf-8"?>
<formControlPr xmlns="http://schemas.microsoft.com/office/spreadsheetml/2009/9/main" objectType="CheckBox" checked="Checked" fmlaLink="F6" lockText="1"/>
</file>

<file path=xl/ctrlProps/ctrlProp31.xml><?xml version="1.0" encoding="utf-8"?>
<formControlPr xmlns="http://schemas.microsoft.com/office/spreadsheetml/2009/9/main" objectType="CheckBox" checked="Checked" fmlaLink="F6" lockText="1"/>
</file>

<file path=xl/ctrlProps/ctrlProp32.xml><?xml version="1.0" encoding="utf-8"?>
<formControlPr xmlns="http://schemas.microsoft.com/office/spreadsheetml/2009/9/main" objectType="CheckBox" checked="Checked" fmlaLink="F6" lockText="1"/>
</file>

<file path=xl/ctrlProps/ctrlProp33.xml><?xml version="1.0" encoding="utf-8"?>
<formControlPr xmlns="http://schemas.microsoft.com/office/spreadsheetml/2009/9/main" objectType="CheckBox" checked="Checked" fmlaLink="F6" lockText="1"/>
</file>

<file path=xl/ctrlProps/ctrlProp34.xml><?xml version="1.0" encoding="utf-8"?>
<formControlPr xmlns="http://schemas.microsoft.com/office/spreadsheetml/2009/9/main" objectType="CheckBox" checked="Checked" fmlaLink="H6" lockText="1"/>
</file>

<file path=xl/ctrlProps/ctrlProp35.xml><?xml version="1.0" encoding="utf-8"?>
<formControlPr xmlns="http://schemas.microsoft.com/office/spreadsheetml/2009/9/main" objectType="CheckBox" checked="Checked" fmlaLink="H6" lockText="1"/>
</file>

<file path=xl/ctrlProps/ctrlProp36.xml><?xml version="1.0" encoding="utf-8"?>
<formControlPr xmlns="http://schemas.microsoft.com/office/spreadsheetml/2009/9/main" objectType="CheckBox" checked="Checked" fmlaLink="H6" lockText="1"/>
</file>

<file path=xl/ctrlProps/ctrlProp37.xml><?xml version="1.0" encoding="utf-8"?>
<formControlPr xmlns="http://schemas.microsoft.com/office/spreadsheetml/2009/9/main" objectType="CheckBox" checked="Checked" fmlaLink="H6" lockText="1"/>
</file>

<file path=xl/ctrlProps/ctrlProp38.xml><?xml version="1.0" encoding="utf-8"?>
<formControlPr xmlns="http://schemas.microsoft.com/office/spreadsheetml/2009/9/main" objectType="CheckBox" checked="Checked" fmlaLink="H6" lockText="1"/>
</file>

<file path=xl/ctrlProps/ctrlProp39.xml><?xml version="1.0" encoding="utf-8"?>
<formControlPr xmlns="http://schemas.microsoft.com/office/spreadsheetml/2009/9/main" objectType="CheckBox" checked="Checked" fmlaLink="H6" lockText="1"/>
</file>

<file path=xl/ctrlProps/ctrlProp40.xml><?xml version="1.0" encoding="utf-8"?>
<formControlPr xmlns="http://schemas.microsoft.com/office/spreadsheetml/2009/9/main" objectType="CheckBox" checked="Checked" fmlaLink="H6" lockText="1"/>
</file>

<file path=xl/ctrlProps/ctrlProp41.xml><?xml version="1.0" encoding="utf-8"?>
<formControlPr xmlns="http://schemas.microsoft.com/office/spreadsheetml/2009/9/main" objectType="CheckBox" checked="Checked" fmlaLink="H6" lockText="1"/>
</file>

<file path=xl/ctrlProps/ctrlProp42.xml><?xml version="1.0" encoding="utf-8"?>
<formControlPr xmlns="http://schemas.microsoft.com/office/spreadsheetml/2009/9/main" objectType="CheckBox" checked="Checked" fmlaLink="H6" lockText="1"/>
</file>

<file path=xl/ctrlProps/ctrlProp43.xml><?xml version="1.0" encoding="utf-8"?>
<formControlPr xmlns="http://schemas.microsoft.com/office/spreadsheetml/2009/9/main" objectType="CheckBox" checked="Checked" fmlaLink="H6" lockText="1"/>
</file>

<file path=xl/ctrlProps/ctrlProp44.xml><?xml version="1.0" encoding="utf-8"?>
<formControlPr xmlns="http://schemas.microsoft.com/office/spreadsheetml/2009/9/main" objectType="CheckBox" checked="Checked" fmlaLink="H6" lockText="1"/>
</file>

<file path=xl/ctrlProps/ctrlProp45.xml><?xml version="1.0" encoding="utf-8"?>
<formControlPr xmlns="http://schemas.microsoft.com/office/spreadsheetml/2009/9/main" objectType="CheckBox" checked="Checked" fmlaLink="F6" lockText="1"/>
</file>

<file path=xl/ctrlProps/ctrlProp46.xml><?xml version="1.0" encoding="utf-8"?>
<formControlPr xmlns="http://schemas.microsoft.com/office/spreadsheetml/2009/9/main" objectType="CheckBox" checked="Checked" fmlaLink="F6" lockText="1"/>
</file>

<file path=xl/ctrlProps/ctrlProp47.xml><?xml version="1.0" encoding="utf-8"?>
<formControlPr xmlns="http://schemas.microsoft.com/office/spreadsheetml/2009/9/main" objectType="CheckBox" checked="Checked" fmlaLink="F6" lockText="1"/>
</file>

<file path=xl/ctrlProps/ctrlProp48.xml><?xml version="1.0" encoding="utf-8"?>
<formControlPr xmlns="http://schemas.microsoft.com/office/spreadsheetml/2009/9/main" objectType="CheckBox" checked="Checked" fmlaLink="F6" lockText="1"/>
</file>

<file path=xl/ctrlProps/ctrlProp49.xml><?xml version="1.0" encoding="utf-8"?>
<formControlPr xmlns="http://schemas.microsoft.com/office/spreadsheetml/2009/9/main" objectType="CheckBox" checked="Checked" fmlaLink="F6" lockText="1"/>
</file>

<file path=xl/ctrlProps/ctrlProp50.xml><?xml version="1.0" encoding="utf-8"?>
<formControlPr xmlns="http://schemas.microsoft.com/office/spreadsheetml/2009/9/main" objectType="CheckBox" checked="Checked" fmlaLink="F6" lockText="1"/>
</file>

<file path=xl/ctrlProps/ctrlProp51.xml><?xml version="1.0" encoding="utf-8"?>
<formControlPr xmlns="http://schemas.microsoft.com/office/spreadsheetml/2009/9/main" objectType="CheckBox" checked="Checked" fmlaLink="F6" lockText="1"/>
</file>

<file path=xl/ctrlProps/ctrlProp52.xml><?xml version="1.0" encoding="utf-8"?>
<formControlPr xmlns="http://schemas.microsoft.com/office/spreadsheetml/2009/9/main" objectType="CheckBox" checked="Checked" fmlaLink="F6" lockText="1"/>
</file>

<file path=xl/ctrlProps/ctrlProp53.xml><?xml version="1.0" encoding="utf-8"?>
<formControlPr xmlns="http://schemas.microsoft.com/office/spreadsheetml/2009/9/main" objectType="CheckBox" checked="Checked" fmlaLink="F6" lockText="1"/>
</file>

<file path=xl/ctrlProps/ctrlProp54.xml><?xml version="1.0" encoding="utf-8"?>
<formControlPr xmlns="http://schemas.microsoft.com/office/spreadsheetml/2009/9/main" objectType="CheckBox" checked="Checked" fmlaLink="F6" lockText="1"/>
</file>

<file path=xl/ctrlProps/ctrlProp55.xml><?xml version="1.0" encoding="utf-8"?>
<formControlPr xmlns="http://schemas.microsoft.com/office/spreadsheetml/2009/9/main" objectType="CheckBox" checked="Checked" fmlaLink="H6" lockText="1"/>
</file>

<file path=xl/ctrlProps/ctrlProp56.xml><?xml version="1.0" encoding="utf-8"?>
<formControlPr xmlns="http://schemas.microsoft.com/office/spreadsheetml/2009/9/main" objectType="CheckBox" checked="Checked" fmlaLink="H6" lockText="1"/>
</file>

<file path=xl/ctrlProps/ctrlProp57.xml><?xml version="1.0" encoding="utf-8"?>
<formControlPr xmlns="http://schemas.microsoft.com/office/spreadsheetml/2009/9/main" objectType="CheckBox" checked="Checked" fmlaLink="H6" lockText="1"/>
</file>

<file path=xl/ctrlProps/ctrlProp58.xml><?xml version="1.0" encoding="utf-8"?>
<formControlPr xmlns="http://schemas.microsoft.com/office/spreadsheetml/2009/9/main" objectType="CheckBox" checked="Checked" fmlaLink="H6" lockText="1"/>
</file>

<file path=xl/ctrlProps/ctrlProp59.xml><?xml version="1.0" encoding="utf-8"?>
<formControlPr xmlns="http://schemas.microsoft.com/office/spreadsheetml/2009/9/main" objectType="CheckBox" checked="Checked" fmlaLink="H6" lockText="1"/>
</file>

<file path=xl/ctrlProps/ctrlProp60.xml><?xml version="1.0" encoding="utf-8"?>
<formControlPr xmlns="http://schemas.microsoft.com/office/spreadsheetml/2009/9/main" objectType="CheckBox" checked="Checked" fmlaLink="H6" lockText="1"/>
</file>

<file path=xl/ctrlProps/ctrlProp61.xml><?xml version="1.0" encoding="utf-8"?>
<formControlPr xmlns="http://schemas.microsoft.com/office/spreadsheetml/2009/9/main" objectType="CheckBox" checked="Checked" fmlaLink="H6" lockText="1"/>
</file>

<file path=xl/ctrlProps/ctrlProp62.xml><?xml version="1.0" encoding="utf-8"?>
<formControlPr xmlns="http://schemas.microsoft.com/office/spreadsheetml/2009/9/main" objectType="CheckBox" checked="Checked" fmlaLink="H6" lockText="1"/>
</file>

<file path=xl/ctrlProps/ctrlProp63.xml><?xml version="1.0" encoding="utf-8"?>
<formControlPr xmlns="http://schemas.microsoft.com/office/spreadsheetml/2009/9/main" objectType="CheckBox" checked="Checked" fmlaLink="H6" lockText="1"/>
</file>

<file path=xl/ctrlProps/ctrlProp64.xml><?xml version="1.0" encoding="utf-8"?>
<formControlPr xmlns="http://schemas.microsoft.com/office/spreadsheetml/2009/9/main" objectType="CheckBox" checked="Checked" fmlaLink="H6" lockText="1"/>
</file>

<file path=xl/ctrlProps/ctrlProp65.xml><?xml version="1.0" encoding="utf-8"?>
<formControlPr xmlns="http://schemas.microsoft.com/office/spreadsheetml/2009/9/main" objectType="CheckBox" checked="Checked" fmlaLink="H6" lockText="1"/>
</file>

<file path=xl/ctrlProps/ctrlProp66.xml><?xml version="1.0" encoding="utf-8"?>
<formControlPr xmlns="http://schemas.microsoft.com/office/spreadsheetml/2009/9/main" objectType="CheckBox" checked="Checked" fmlaLink="F6" lockText="1"/>
</file>

<file path=xl/ctrlProps/ctrlProp67.xml><?xml version="1.0" encoding="utf-8"?>
<formControlPr xmlns="http://schemas.microsoft.com/office/spreadsheetml/2009/9/main" objectType="CheckBox" checked="Checked" fmlaLink="F6" lockText="1"/>
</file>

<file path=xl/ctrlProps/ctrlProp68.xml><?xml version="1.0" encoding="utf-8"?>
<formControlPr xmlns="http://schemas.microsoft.com/office/spreadsheetml/2009/9/main" objectType="CheckBox" checked="Checked" fmlaLink="F6" lockText="1"/>
</file>

<file path=xl/ctrlProps/ctrlProp69.xml><?xml version="1.0" encoding="utf-8"?>
<formControlPr xmlns="http://schemas.microsoft.com/office/spreadsheetml/2009/9/main" objectType="CheckBox" checked="Checked" fmlaLink="F6" lockText="1"/>
</file>

<file path=xl/ctrlProps/ctrlProp70.xml><?xml version="1.0" encoding="utf-8"?>
<formControlPr xmlns="http://schemas.microsoft.com/office/spreadsheetml/2009/9/main" objectType="CheckBox" checked="Checked" fmlaLink="F6" lockText="1"/>
</file>

<file path=xl/ctrlProps/ctrlProp71.xml><?xml version="1.0" encoding="utf-8"?>
<formControlPr xmlns="http://schemas.microsoft.com/office/spreadsheetml/2009/9/main" objectType="CheckBox" checked="Checked" fmlaLink="F6" lockText="1"/>
</file>

<file path=xl/ctrlProps/ctrlProp72.xml><?xml version="1.0" encoding="utf-8"?>
<formControlPr xmlns="http://schemas.microsoft.com/office/spreadsheetml/2009/9/main" objectType="CheckBox" checked="Checked" fmlaLink="F6" lockText="1"/>
</file>

<file path=xl/ctrlProps/ctrlProp73.xml><?xml version="1.0" encoding="utf-8"?>
<formControlPr xmlns="http://schemas.microsoft.com/office/spreadsheetml/2009/9/main" objectType="CheckBox" checked="Checked" fmlaLink="F6" lockText="1"/>
</file>

<file path=xl/ctrlProps/ctrlProp74.xml><?xml version="1.0" encoding="utf-8"?>
<formControlPr xmlns="http://schemas.microsoft.com/office/spreadsheetml/2009/9/main" objectType="CheckBox" checked="Checked" fmlaLink="F6" lockText="1"/>
</file>

<file path=xl/ctrlProps/ctrlProp75.xml><?xml version="1.0" encoding="utf-8"?>
<formControlPr xmlns="http://schemas.microsoft.com/office/spreadsheetml/2009/9/main" objectType="CheckBox" checked="Checked" fmlaLink="F6" lockText="1"/>
</file>

<file path=xl/ctrlProps/ctrlProp76.xml><?xml version="1.0" encoding="utf-8"?>
<formControlPr xmlns="http://schemas.microsoft.com/office/spreadsheetml/2009/9/main" objectType="CheckBox" fmlaLink="H7" lockText="1"/>
</file>

<file path=xl/ctrlProps/ctrlProp77.xml><?xml version="1.0" encoding="utf-8"?>
<formControlPr xmlns="http://schemas.microsoft.com/office/spreadsheetml/2009/9/main" objectType="CheckBox" fmlaLink="H8" lockText="1"/>
</file>

<file path=xl/ctrlProps/ctrlProp78.xml><?xml version="1.0" encoding="utf-8"?>
<formControlPr xmlns="http://schemas.microsoft.com/office/spreadsheetml/2009/9/main" objectType="CheckBox" fmlaLink="H9" lockText="1"/>
</file>

<file path=xl/ctrlProps/ctrlProp79.xml><?xml version="1.0" encoding="utf-8"?>
<formControlPr xmlns="http://schemas.microsoft.com/office/spreadsheetml/2009/9/main" objectType="CheckBox" fmlaLink="H10" lockText="1"/>
</file>

<file path=xl/ctrlProps/ctrlProp80.xml><?xml version="1.0" encoding="utf-8"?>
<formControlPr xmlns="http://schemas.microsoft.com/office/spreadsheetml/2009/9/main" objectType="CheckBox" checked="Checked" fmlaLink="H6" lockText="1"/>
</file>

<file path=xl/ctrlProps/ctrlProp81.xml><?xml version="1.0" encoding="utf-8"?>
<formControlPr xmlns="http://schemas.microsoft.com/office/spreadsheetml/2009/9/main" objectType="CheckBox" checked="Checked" fmlaLink="H6" lockText="1"/>
</file>

<file path=xl/ctrlProps/ctrlProp82.xml><?xml version="1.0" encoding="utf-8"?>
<formControlPr xmlns="http://schemas.microsoft.com/office/spreadsheetml/2009/9/main" objectType="CheckBox" checked="Checked" fmlaLink="H6" lockText="1"/>
</file>

<file path=xl/ctrlProps/ctrlProp83.xml><?xml version="1.0" encoding="utf-8"?>
<formControlPr xmlns="http://schemas.microsoft.com/office/spreadsheetml/2009/9/main" objectType="CheckBox" checked="Checked" fmlaLink="H6" lockText="1"/>
</file>

<file path=xl/ctrlProps/ctrlProp84.xml><?xml version="1.0" encoding="utf-8"?>
<formControlPr xmlns="http://schemas.microsoft.com/office/spreadsheetml/2009/9/main" objectType="CheckBox" checked="Checked" fmlaLink="H6" lockText="1"/>
</file>

<file path=xl/ctrlProps/ctrlProp85.xml><?xml version="1.0" encoding="utf-8"?>
<formControlPr xmlns="http://schemas.microsoft.com/office/spreadsheetml/2009/9/main" objectType="CheckBox" checked="Checked" fmlaLink="H6" lockText="1"/>
</file>

<file path=xl/ctrlProps/ctrlProp86.xml><?xml version="1.0" encoding="utf-8"?>
<formControlPr xmlns="http://schemas.microsoft.com/office/spreadsheetml/2009/9/main" objectType="CheckBox" checked="Checked" fmlaLink="H6" lockText="1"/>
</file>

<file path=xl/ctrlProps/ctrlProp87.xml><?xml version="1.0" encoding="utf-8"?>
<formControlPr xmlns="http://schemas.microsoft.com/office/spreadsheetml/2009/9/main" objectType="CheckBox" checked="Checked" fmlaLink="F6" lockText="1"/>
</file>

<file path=xl/ctrlProps/ctrlProp88.xml><?xml version="1.0" encoding="utf-8"?>
<formControlPr xmlns="http://schemas.microsoft.com/office/spreadsheetml/2009/9/main" objectType="CheckBox" checked="Checked" fmlaLink="F6" lockText="1"/>
</file>

<file path=xl/ctrlProps/ctrlProp89.xml><?xml version="1.0" encoding="utf-8"?>
<formControlPr xmlns="http://schemas.microsoft.com/office/spreadsheetml/2009/9/main" objectType="CheckBox" checked="Checked" fmlaLink="F6" lockText="1"/>
</file>

<file path=xl/ctrlProps/ctrlProp90.xml><?xml version="1.0" encoding="utf-8"?>
<formControlPr xmlns="http://schemas.microsoft.com/office/spreadsheetml/2009/9/main" objectType="CheckBox" checked="Checked" fmlaLink="F6" lockText="1"/>
</file>

<file path=xl/ctrlProps/ctrlProp91.xml><?xml version="1.0" encoding="utf-8"?>
<formControlPr xmlns="http://schemas.microsoft.com/office/spreadsheetml/2009/9/main" objectType="CheckBox" checked="Checked" fmlaLink="F6" lockText="1"/>
</file>

<file path=xl/ctrlProps/ctrlProp92.xml><?xml version="1.0" encoding="utf-8"?>
<formControlPr xmlns="http://schemas.microsoft.com/office/spreadsheetml/2009/9/main" objectType="CheckBox" checked="Checked" fmlaLink="F6" lockText="1"/>
</file>

<file path=xl/ctrlProps/ctrlProp93.xml><?xml version="1.0" encoding="utf-8"?>
<formControlPr xmlns="http://schemas.microsoft.com/office/spreadsheetml/2009/9/main" objectType="CheckBox" checked="Checked" fmlaLink="F6" lockText="1"/>
</file>

<file path=xl/ctrlProps/ctrlProp94.xml><?xml version="1.0" encoding="utf-8"?>
<formControlPr xmlns="http://schemas.microsoft.com/office/spreadsheetml/2009/9/main" objectType="CheckBox" checked="Checked" fmlaLink="F6" lockText="1"/>
</file>

<file path=xl/ctrlProps/ctrlProp95.xml><?xml version="1.0" encoding="utf-8"?>
<formControlPr xmlns="http://schemas.microsoft.com/office/spreadsheetml/2009/9/main" objectType="CheckBox" checked="Checked" fmlaLink="F6" lockText="1"/>
</file>

<file path=xl/ctrlProps/ctrlProp96.xml><?xml version="1.0" encoding="utf-8"?>
<formControlPr xmlns="http://schemas.microsoft.com/office/spreadsheetml/2009/9/main" objectType="CheckBox" checked="Checked" fmlaLink="F6" lockText="1"/>
</file>

<file path=xl/ctrlProps/ctrlProp97.xml><?xml version="1.0" encoding="utf-8"?>
<formControlPr xmlns="http://schemas.microsoft.com/office/spreadsheetml/2009/9/main" objectType="CheckBox" checked="Checked" fmlaLink="F6" lockText="1"/>
</file>

<file path=xl/ctrlProps/ctrlProp98.xml><?xml version="1.0" encoding="utf-8"?>
<formControlPr xmlns="http://schemas.microsoft.com/office/spreadsheetml/2009/9/main" objectType="CheckBox" checked="Checked" fmlaLink="F6" lockText="1"/>
</file>

<file path=xl/ctrlProps/ctrlProp99.xml><?xml version="1.0" encoding="utf-8"?>
<formControlPr xmlns="http://schemas.microsoft.com/office/spreadsheetml/2009/9/main" objectType="CheckBox" checked="Checked" fmlaLink="F6" lockText="1"/>
</file>

<file path=xl/ctrlProps/ctrlProp100.xml><?xml version="1.0" encoding="utf-8"?>
<formControlPr xmlns="http://schemas.microsoft.com/office/spreadsheetml/2009/9/main" objectType="CheckBox" checked="Checked" fmlaLink="F6" lockText="1"/>
</file>

<file path=xl/ctrlProps/ctrlProp101.xml><?xml version="1.0" encoding="utf-8"?>
<formControlPr xmlns="http://schemas.microsoft.com/office/spreadsheetml/2009/9/main" objectType="CheckBox" checked="Checked" fmlaLink="F6" lockText="1"/>
</file>

<file path=xl/ctrlProps/ctrlProp102.xml><?xml version="1.0" encoding="utf-8"?>
<formControlPr xmlns="http://schemas.microsoft.com/office/spreadsheetml/2009/9/main" objectType="CheckBox" checked="Checked" fmlaLink="F6" lockText="1"/>
</file>

<file path=xl/ctrlProps/ctrlProp103.xml><?xml version="1.0" encoding="utf-8"?>
<formControlPr xmlns="http://schemas.microsoft.com/office/spreadsheetml/2009/9/main" objectType="CheckBox" checked="Checked" fmlaLink="F6" lockText="1"/>
</file>

<file path=xl/ctrlProps/ctrlProp104.xml><?xml version="1.0" encoding="utf-8"?>
<formControlPr xmlns="http://schemas.microsoft.com/office/spreadsheetml/2009/9/main" objectType="CheckBox" checked="Checked" fmlaLink="F6" lockText="1"/>
</file>

<file path=xl/ctrlProps/ctrlProp105.xml><?xml version="1.0" encoding="utf-8"?>
<formControlPr xmlns="http://schemas.microsoft.com/office/spreadsheetml/2009/9/main" objectType="CheckBox" checked="Checked" fmlaLink="F6" lockText="1"/>
</file>

<file path=xl/ctrlProps/ctrlProp106.xml><?xml version="1.0" encoding="utf-8"?>
<formControlPr xmlns="http://schemas.microsoft.com/office/spreadsheetml/2009/9/main" objectType="CheckBox" checked="Checked" fmlaLink="F6" lockText="1"/>
</file>

<file path=xl/ctrlProps/ctrlProp107.xml><?xml version="1.0" encoding="utf-8"?>
<formControlPr xmlns="http://schemas.microsoft.com/office/spreadsheetml/2009/9/main" objectType="CheckBox" checked="Checked" fmlaLink="F6" lockText="1"/>
</file>

<file path=xl/ctrlProps/ctrlProp108.xml><?xml version="1.0" encoding="utf-8"?>
<formControlPr xmlns="http://schemas.microsoft.com/office/spreadsheetml/2009/9/main" objectType="CheckBox" checked="Checked" fmlaLink="F6" lockText="1"/>
</file>

<file path=xl/ctrlProps/ctrlProp109.xml><?xml version="1.0" encoding="utf-8"?>
<formControlPr xmlns="http://schemas.microsoft.com/office/spreadsheetml/2009/9/main" objectType="CheckBox" checked="Checked" fmlaLink="F6" lockText="1"/>
</file>

<file path=xl/ctrlProps/ctrlProp110.xml><?xml version="1.0" encoding="utf-8"?>
<formControlPr xmlns="http://schemas.microsoft.com/office/spreadsheetml/2009/9/main" objectType="CheckBox" checked="Checked" fmlaLink="F6" lockText="1"/>
</file>

<file path=xl/ctrlProps/ctrlProp111.xml><?xml version="1.0" encoding="utf-8"?>
<formControlPr xmlns="http://schemas.microsoft.com/office/spreadsheetml/2009/9/main" objectType="CheckBox" checked="Checked" fmlaLink="F6" lockText="1"/>
</file>

<file path=xl/ctrlProps/ctrlProp112.xml><?xml version="1.0" encoding="utf-8"?>
<formControlPr xmlns="http://schemas.microsoft.com/office/spreadsheetml/2009/9/main" objectType="CheckBox" checked="Checked" fmlaLink="F6" lockText="1"/>
</file>

<file path=xl/ctrlProps/ctrlProp113.xml><?xml version="1.0" encoding="utf-8"?>
<formControlPr xmlns="http://schemas.microsoft.com/office/spreadsheetml/2009/9/main" objectType="CheckBox" checked="Checked" fmlaLink="F6" lockText="1"/>
</file>

<file path=xl/ctrlProps/ctrlProp114.xml><?xml version="1.0" encoding="utf-8"?>
<formControlPr xmlns="http://schemas.microsoft.com/office/spreadsheetml/2009/9/main" objectType="CheckBox" checked="Checked" fmlaLink="F6" lockText="1"/>
</file>

<file path=xl/ctrlProps/ctrlProp115.xml><?xml version="1.0" encoding="utf-8"?>
<formControlPr xmlns="http://schemas.microsoft.com/office/spreadsheetml/2009/9/main" objectType="CheckBox" checked="Checked" fmlaLink="F6" lockText="1"/>
</file>

<file path=xl/ctrlProps/ctrlProp116.xml><?xml version="1.0" encoding="utf-8"?>
<formControlPr xmlns="http://schemas.microsoft.com/office/spreadsheetml/2009/9/main" objectType="CheckBox" checked="Checked" fmlaLink="F6" lockText="1"/>
</file>

<file path=xl/ctrlProps/ctrlProp117.xml><?xml version="1.0" encoding="utf-8"?>
<formControlPr xmlns="http://schemas.microsoft.com/office/spreadsheetml/2009/9/main" objectType="CheckBox" checked="Checked" fmlaLink="F6" lockText="1"/>
</file>

<file path=xl/ctrlProps/ctrlProp118.xml><?xml version="1.0" encoding="utf-8"?>
<formControlPr xmlns="http://schemas.microsoft.com/office/spreadsheetml/2009/9/main" objectType="CheckBox" checked="Checked" fmlaLink="F6" lockText="1"/>
</file>

<file path=xl/ctrlProps/ctrlProp119.xml><?xml version="1.0" encoding="utf-8"?>
<formControlPr xmlns="http://schemas.microsoft.com/office/spreadsheetml/2009/9/main" objectType="CheckBox" checked="Checked" fmlaLink="F6" lockText="1"/>
</file>

<file path=xl/ctrlProps/ctrlProp120.xml><?xml version="1.0" encoding="utf-8"?>
<formControlPr xmlns="http://schemas.microsoft.com/office/spreadsheetml/2009/9/main" objectType="CheckBox" checked="Checked" fmlaLink="F6" lockText="1"/>
</file>

<file path=xl/ctrlProps/ctrlProp121.xml><?xml version="1.0" encoding="utf-8"?>
<formControlPr xmlns="http://schemas.microsoft.com/office/spreadsheetml/2009/9/main" objectType="CheckBox" checked="Checked" fmlaLink="F6" lockText="1"/>
</file>

<file path=xl/ctrlProps/ctrlProp122.xml><?xml version="1.0" encoding="utf-8"?>
<formControlPr xmlns="http://schemas.microsoft.com/office/spreadsheetml/2009/9/main" objectType="CheckBox" checked="Checked" fmlaLink="F6" lockText="1"/>
</file>

<file path=xl/ctrlProps/ctrlProp123.xml><?xml version="1.0" encoding="utf-8"?>
<formControlPr xmlns="http://schemas.microsoft.com/office/spreadsheetml/2009/9/main" objectType="CheckBox" checked="Checked" fmlaLink="F6" lockText="1"/>
</file>

<file path=xl/ctrlProps/ctrlProp124.xml><?xml version="1.0" encoding="utf-8"?>
<formControlPr xmlns="http://schemas.microsoft.com/office/spreadsheetml/2009/9/main" objectType="CheckBox" checked="Checked" fmlaLink="F6" lockText="1"/>
</file>

<file path=xl/ctrlProps/ctrlProp125.xml><?xml version="1.0" encoding="utf-8"?>
<formControlPr xmlns="http://schemas.microsoft.com/office/spreadsheetml/2009/9/main" objectType="CheckBox" checked="Checked" fmlaLink="F6" lockText="1"/>
</file>

<file path=xl/ctrlProps/ctrlProp126.xml><?xml version="1.0" encoding="utf-8"?>
<formControlPr xmlns="http://schemas.microsoft.com/office/spreadsheetml/2009/9/main" objectType="CheckBox" checked="Checked" fmlaLink="F6" lockText="1"/>
</file>

<file path=xl/ctrlProps/ctrlProp127.xml><?xml version="1.0" encoding="utf-8"?>
<formControlPr xmlns="http://schemas.microsoft.com/office/spreadsheetml/2009/9/main" objectType="CheckBox" checked="Checked" fmlaLink="F6" lockText="1"/>
</file>

<file path=xl/ctrlProps/ctrlProp128.xml><?xml version="1.0" encoding="utf-8"?>
<formControlPr xmlns="http://schemas.microsoft.com/office/spreadsheetml/2009/9/main" objectType="CheckBox" checked="Checked" fmlaLink="F6" lockText="1"/>
</file>

<file path=xl/ctrlProps/ctrlProp129.xml><?xml version="1.0" encoding="utf-8"?>
<formControlPr xmlns="http://schemas.microsoft.com/office/spreadsheetml/2009/9/main" objectType="CheckBox" checked="Checked" fmlaLink="F6" lockText="1"/>
</file>

<file path=xl/ctrlProps/ctrlProp130.xml><?xml version="1.0" encoding="utf-8"?>
<formControlPr xmlns="http://schemas.microsoft.com/office/spreadsheetml/2009/9/main" objectType="CheckBox" checked="Checked" fmlaLink="F6" lockText="1"/>
</file>

<file path=xl/ctrlProps/ctrlProp131.xml><?xml version="1.0" encoding="utf-8"?>
<formControlPr xmlns="http://schemas.microsoft.com/office/spreadsheetml/2009/9/main" objectType="CheckBox" fmlaLink="F7" lockText="1"/>
</file>

<file path=xl/ctrlProps/ctrlProp132.xml><?xml version="1.0" encoding="utf-8"?>
<formControlPr xmlns="http://schemas.microsoft.com/office/spreadsheetml/2009/9/main" objectType="CheckBox" fmlaLink="F8" lockText="1"/>
</file>

<file path=xl/ctrlProps/ctrlProp133.xml><?xml version="1.0" encoding="utf-8"?>
<formControlPr xmlns="http://schemas.microsoft.com/office/spreadsheetml/2009/9/main" objectType="CheckBox" fmlaLink="F9" lockText="1"/>
</file>

<file path=xl/ctrlProps/ctrlProp134.xml><?xml version="1.0" encoding="utf-8"?>
<formControlPr xmlns="http://schemas.microsoft.com/office/spreadsheetml/2009/9/main" objectType="CheckBox" checked="Checked" fmlaLink="F6" lockText="1"/>
</file>

<file path=xl/ctrlProps/ctrlProp135.xml><?xml version="1.0" encoding="utf-8"?>
<formControlPr xmlns="http://schemas.microsoft.com/office/spreadsheetml/2009/9/main" objectType="CheckBox" checked="Checked" fmlaLink="F6" lockText="1"/>
</file>

<file path=xl/ctrlProps/ctrlProp136.xml><?xml version="1.0" encoding="utf-8"?>
<formControlPr xmlns="http://schemas.microsoft.com/office/spreadsheetml/2009/9/main" objectType="CheckBox" checked="Checked" fmlaLink="F6" lockText="1"/>
</file>

<file path=xl/ctrlProps/ctrlProp137.xml><?xml version="1.0" encoding="utf-8"?>
<formControlPr xmlns="http://schemas.microsoft.com/office/spreadsheetml/2009/9/main" objectType="CheckBox" checked="Checked" fmlaLink="F6" lockText="1"/>
</file>

<file path=xl/ctrlProps/ctrlProp138.xml><?xml version="1.0" encoding="utf-8"?>
<formControlPr xmlns="http://schemas.microsoft.com/office/spreadsheetml/2009/9/main" objectType="CheckBox" checked="Checked" fmlaLink="F6" lockText="1"/>
</file>

<file path=xl/ctrlProps/ctrlProp139.xml><?xml version="1.0" encoding="utf-8"?>
<formControlPr xmlns="http://schemas.microsoft.com/office/spreadsheetml/2009/9/main" objectType="CheckBox" checked="Checked" fmlaLink="F6" lockText="1"/>
</file>

<file path=xl/ctrlProps/ctrlProp140.xml><?xml version="1.0" encoding="utf-8"?>
<formControlPr xmlns="http://schemas.microsoft.com/office/spreadsheetml/2009/9/main" objectType="CheckBox" checked="Checked" fmlaLink="F6" lockText="1"/>
</file>

<file path=xl/ctrlProps/ctrlProp141.xml><?xml version="1.0" encoding="utf-8"?>
<formControlPr xmlns="http://schemas.microsoft.com/office/spreadsheetml/2009/9/main" objectType="CheckBox" checked="Checked" fmlaLink="F6" lockText="1"/>
</file>

<file path=xl/ctrlProps/ctrlProp142.xml><?xml version="1.0" encoding="utf-8"?>
<formControlPr xmlns="http://schemas.microsoft.com/office/spreadsheetml/2009/9/main" objectType="CheckBox" checked="Checked" fmlaLink="F6" lockText="1"/>
</file>

<file path=xl/ctrlProps/ctrlProp143.xml><?xml version="1.0" encoding="utf-8"?>
<formControlPr xmlns="http://schemas.microsoft.com/office/spreadsheetml/2009/9/main" objectType="CheckBox" checked="Checked" fmlaLink="H6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5</xdr:row>
          <xdr:rowOff>68580</xdr:rowOff>
        </xdr:from>
        <xdr:to>
          <xdr:col>4</xdr:col>
          <xdr:colOff>922020</xdr:colOff>
          <xdr:row>5</xdr:row>
          <xdr:rowOff>289560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5</xdr:row>
          <xdr:rowOff>68580</xdr:rowOff>
        </xdr:from>
        <xdr:to>
          <xdr:col>8</xdr:col>
          <xdr:colOff>68580</xdr:colOff>
          <xdr:row>5</xdr:row>
          <xdr:rowOff>289560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60960</xdr:rowOff>
        </xdr:from>
        <xdr:to>
          <xdr:col>4</xdr:col>
          <xdr:colOff>922020</xdr:colOff>
          <xdr:row>6</xdr:row>
          <xdr:rowOff>281940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aye.com/HACC/BPDTMN_US_Female.mp4" TargetMode="External"/><Relationship Id="rId2" Type="http://schemas.openxmlformats.org/officeDocument/2006/relationships/hyperlink" Target="http://www.kaye.com/HACC/BPDTMN%20US%20Male.m4a" TargetMode="External"/><Relationship Id="rId1" Type="http://schemas.openxmlformats.org/officeDocument/2006/relationships/hyperlink" Target="http://www.kaye.com/HACC/BPDTMN%20US%20Female.mp4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file:///D:\Documents\Sound%20recordings\BPDTMN_US_Male.mp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showGridLines="0" zoomScale="150" zoomScaleNormal="150" workbookViewId="0">
      <selection activeCell="D2" sqref="D2:E4"/>
    </sheetView>
  </sheetViews>
  <sheetFormatPr defaultRowHeight="14.4"/>
  <cols>
    <col min="4" max="4" width="8.88671875" style="2"/>
    <col min="5" max="5" width="14.44140625" customWidth="1"/>
    <col min="6" max="6" width="1.44140625" style="4" customWidth="1"/>
    <col min="7" max="7" width="11.109375" customWidth="1"/>
    <col min="8" max="8" width="1.33203125" style="4" customWidth="1"/>
    <col min="10" max="10" width="2.77734375" style="3" customWidth="1"/>
    <col min="11" max="11" width="2.77734375" style="8" customWidth="1"/>
    <col min="12" max="12" width="2.77734375" customWidth="1"/>
  </cols>
  <sheetData>
    <row r="1" spans="1:13">
      <c r="D1" s="3"/>
      <c r="E1" s="3"/>
      <c r="F1" s="3"/>
      <c r="G1" s="3"/>
    </row>
    <row r="2" spans="1:13" ht="14.4" customHeight="1">
      <c r="B2" s="40"/>
      <c r="C2" s="40"/>
      <c r="D2" s="41"/>
      <c r="E2" s="41"/>
      <c r="F2" s="3"/>
      <c r="G2" s="41"/>
      <c r="H2" s="41"/>
      <c r="I2" s="41"/>
    </row>
    <row r="3" spans="1:13">
      <c r="B3" s="40"/>
      <c r="C3" s="40"/>
      <c r="D3" s="41"/>
      <c r="E3" s="41"/>
      <c r="F3" s="3"/>
      <c r="G3" s="41"/>
      <c r="H3" s="41"/>
      <c r="I3" s="41"/>
    </row>
    <row r="4" spans="1:13">
      <c r="B4" s="40"/>
      <c r="C4" s="40"/>
      <c r="D4" s="41"/>
      <c r="E4" s="41"/>
      <c r="F4" s="3"/>
      <c r="G4" s="41"/>
      <c r="H4" s="41"/>
      <c r="I4" s="41"/>
    </row>
    <row r="5" spans="1:13" ht="27.6">
      <c r="C5" s="5"/>
      <c r="D5" s="6" t="s">
        <v>15</v>
      </c>
      <c r="E5" s="39" t="s">
        <v>13</v>
      </c>
      <c r="F5" s="39"/>
      <c r="G5" s="39"/>
      <c r="J5" s="7">
        <v>1</v>
      </c>
      <c r="K5" s="7">
        <v>3</v>
      </c>
      <c r="M5" s="15"/>
    </row>
    <row r="6" spans="1:13" ht="24.6" customHeight="1">
      <c r="A6">
        <v>1</v>
      </c>
      <c r="B6" s="8" t="s">
        <v>0</v>
      </c>
      <c r="C6" s="8" t="s">
        <v>1</v>
      </c>
      <c r="D6" s="8" t="s">
        <v>11</v>
      </c>
      <c r="E6" s="1" t="str">
        <f>[1]!wwsCheckBox(B6,F6,A6)</f>
        <v>BAM</v>
      </c>
      <c r="F6" s="1" t="b">
        <v>1</v>
      </c>
      <c r="G6" s="1" t="str">
        <f>[1]!wwsCheckBox(C6,H6,A6)</f>
        <v>BAN</v>
      </c>
      <c r="H6" s="1" t="b">
        <v>1</v>
      </c>
      <c r="I6" t="str">
        <f>IF(OR(AND(B6=E6,F6=TRUE),AND(B6=G6,H6=TRUE)),"GOOD",IF(OR(F6=TRUE,H6=TRUE),"Wrong",""))</f>
        <v>GOOD</v>
      </c>
      <c r="J6" s="7"/>
      <c r="K6" s="7" t="s">
        <v>22</v>
      </c>
      <c r="L6" s="4">
        <f t="shared" ref="L6:L7" si="0">IF(I6="GOOD",1,0)</f>
        <v>1</v>
      </c>
      <c r="M6" s="15"/>
    </row>
    <row r="7" spans="1:13" ht="23.4">
      <c r="A7">
        <f>1+A6</f>
        <v>2</v>
      </c>
      <c r="B7" s="8" t="s">
        <v>2</v>
      </c>
      <c r="C7" s="8" t="s">
        <v>3</v>
      </c>
      <c r="D7" s="8" t="s">
        <v>8</v>
      </c>
      <c r="E7" s="1" t="str">
        <f>[1]!wwsCheckBox(B7,F7,A7)</f>
        <v>BAD</v>
      </c>
      <c r="F7" s="1" t="b">
        <v>0</v>
      </c>
      <c r="G7" s="1" t="str">
        <f>[1]!wwsCheckBox(C7,H7,A7)</f>
        <v>BAT</v>
      </c>
      <c r="H7" s="1" t="b">
        <v>0</v>
      </c>
      <c r="I7" t="str">
        <f t="shared" ref="I7:I17" si="1">IF(OR(AND(B7=E7,F7=TRUE),AND(B7=G7,H7=TRUE)),"GOOD",IF(OR(F7=TRUE,H7=TRUE),"Wrong",""))</f>
        <v/>
      </c>
      <c r="J7" s="7"/>
      <c r="K7" s="7" t="s">
        <v>23</v>
      </c>
      <c r="L7" s="4">
        <f t="shared" si="0"/>
        <v>0</v>
      </c>
      <c r="M7" s="15"/>
    </row>
    <row r="8" spans="1:13" ht="23.4">
      <c r="A8">
        <f t="shared" ref="A8:A17" si="2">1+A7</f>
        <v>3</v>
      </c>
      <c r="B8" s="8" t="s">
        <v>28</v>
      </c>
      <c r="C8" s="8" t="s">
        <v>16</v>
      </c>
      <c r="D8" s="8" t="s">
        <v>29</v>
      </c>
      <c r="E8" s="1" t="str">
        <f>[1]!wwsCheckBox(B8,F8,A8)</f>
        <v>NAB</v>
      </c>
      <c r="F8" s="1" t="b">
        <v>0</v>
      </c>
      <c r="G8" s="1" t="str">
        <f>[1]!wwsCheckBox(C8,H8,A8)</f>
        <v>NAP</v>
      </c>
      <c r="H8" s="1" t="b">
        <v>0</v>
      </c>
      <c r="I8" t="str">
        <f t="shared" si="1"/>
        <v/>
      </c>
      <c r="J8" s="7"/>
      <c r="K8" s="7" t="s">
        <v>24</v>
      </c>
      <c r="L8" s="4">
        <f>IF(I8="GOOD",1,0)</f>
        <v>0</v>
      </c>
      <c r="M8" s="15"/>
    </row>
    <row r="9" spans="1:13" ht="23.4">
      <c r="A9">
        <f t="shared" si="2"/>
        <v>4</v>
      </c>
      <c r="B9" s="8" t="s">
        <v>4</v>
      </c>
      <c r="C9" s="8" t="s">
        <v>5</v>
      </c>
      <c r="D9" s="8" t="s">
        <v>9</v>
      </c>
      <c r="E9" s="1" t="str">
        <f>[1]!wwsCheckBox(B9,F9,A9)</f>
        <v>PAD</v>
      </c>
      <c r="F9" s="1" t="b">
        <v>0</v>
      </c>
      <c r="G9" s="1" t="str">
        <f>[1]!wwsCheckBox(C9,H9,A9)</f>
        <v>PAT</v>
      </c>
      <c r="H9" s="1" t="b">
        <v>0</v>
      </c>
      <c r="I9" t="str">
        <f t="shared" si="1"/>
        <v/>
      </c>
      <c r="J9" s="7"/>
      <c r="K9" s="7" t="s">
        <v>23</v>
      </c>
      <c r="L9" s="4">
        <f t="shared" ref="L9:L17" si="3">IF(I9="GOOD",1,0)</f>
        <v>0</v>
      </c>
      <c r="M9" s="4"/>
    </row>
    <row r="10" spans="1:13" ht="23.4">
      <c r="A10">
        <f t="shared" si="2"/>
        <v>5</v>
      </c>
      <c r="B10" s="8" t="s">
        <v>2</v>
      </c>
      <c r="C10" s="8" t="s">
        <v>4</v>
      </c>
      <c r="D10" s="8" t="s">
        <v>12</v>
      </c>
      <c r="E10" s="1" t="str">
        <f>[1]!wwsCheckBox(B10,F10,A10)</f>
        <v>BAD</v>
      </c>
      <c r="F10" s="1" t="b">
        <v>0</v>
      </c>
      <c r="G10" s="1" t="str">
        <f>[1]!wwsCheckBox(C10,H10,A10)</f>
        <v>PAD</v>
      </c>
      <c r="H10" s="1" t="b">
        <v>0</v>
      </c>
      <c r="I10" t="str">
        <f t="shared" si="1"/>
        <v/>
      </c>
      <c r="J10" s="7" t="s">
        <v>24</v>
      </c>
      <c r="K10" s="7"/>
      <c r="L10" s="4">
        <f t="shared" si="3"/>
        <v>0</v>
      </c>
      <c r="M10" s="4"/>
    </row>
    <row r="11" spans="1:13" ht="23.4">
      <c r="A11">
        <f t="shared" si="2"/>
        <v>6</v>
      </c>
      <c r="B11" s="8" t="s">
        <v>6</v>
      </c>
      <c r="C11" s="8" t="s">
        <v>7</v>
      </c>
      <c r="D11" s="8" t="s">
        <v>10</v>
      </c>
      <c r="E11" s="1" t="str">
        <f>[1]!wwsCheckBox(B11,F11,A11)</f>
        <v>PAN</v>
      </c>
      <c r="F11" s="1" t="b">
        <v>0</v>
      </c>
      <c r="G11" s="1" t="str">
        <f>[1]!wwsCheckBox(C11,H11,A11)</f>
        <v>PAM</v>
      </c>
      <c r="H11" s="1" t="b">
        <v>0</v>
      </c>
      <c r="I11" t="str">
        <f t="shared" si="1"/>
        <v/>
      </c>
      <c r="J11" s="7"/>
      <c r="K11" s="7" t="s">
        <v>22</v>
      </c>
      <c r="L11" s="4">
        <f t="shared" si="3"/>
        <v>0</v>
      </c>
      <c r="M11" s="4"/>
    </row>
    <row r="12" spans="1:13" ht="23.4">
      <c r="A12">
        <f t="shared" si="2"/>
        <v>7</v>
      </c>
      <c r="B12" s="8" t="s">
        <v>1</v>
      </c>
      <c r="C12" s="8" t="s">
        <v>6</v>
      </c>
      <c r="D12" s="8" t="s">
        <v>10</v>
      </c>
      <c r="E12" s="1" t="str">
        <f>[1]!wwsCheckBox(B12,F12,A12)</f>
        <v>BAN</v>
      </c>
      <c r="F12" s="1" t="b">
        <v>0</v>
      </c>
      <c r="G12" s="1" t="str">
        <f>[1]!wwsCheckBox(C12,H12,A12)</f>
        <v>PAN</v>
      </c>
      <c r="H12" s="1" t="b">
        <v>0</v>
      </c>
      <c r="I12" t="str">
        <f t="shared" si="1"/>
        <v/>
      </c>
      <c r="J12" s="7" t="s">
        <v>24</v>
      </c>
      <c r="K12" s="7"/>
      <c r="L12" s="4">
        <f t="shared" si="3"/>
        <v>0</v>
      </c>
      <c r="M12" s="4"/>
    </row>
    <row r="13" spans="1:13" ht="23.4">
      <c r="A13">
        <f t="shared" si="2"/>
        <v>8</v>
      </c>
      <c r="B13" s="8" t="s">
        <v>16</v>
      </c>
      <c r="C13" s="8" t="s">
        <v>17</v>
      </c>
      <c r="D13" s="8" t="s">
        <v>30</v>
      </c>
      <c r="E13" s="1" t="str">
        <f>[1]!wwsCheckBox(B13,F13,A13)</f>
        <v>NAP</v>
      </c>
      <c r="F13" s="1" t="b">
        <v>0</v>
      </c>
      <c r="G13" s="1" t="str">
        <f>[1]!wwsCheckBox(C13,H13,A13)</f>
        <v>MAP</v>
      </c>
      <c r="H13" s="1" t="b">
        <v>0</v>
      </c>
      <c r="I13" t="str">
        <f t="shared" si="1"/>
        <v/>
      </c>
      <c r="J13" s="7" t="s">
        <v>22</v>
      </c>
      <c r="K13" s="7"/>
      <c r="L13" s="4">
        <f t="shared" si="3"/>
        <v>0</v>
      </c>
      <c r="M13" s="4"/>
    </row>
    <row r="14" spans="1:13" ht="23.4">
      <c r="A14">
        <f t="shared" si="2"/>
        <v>9</v>
      </c>
      <c r="B14" s="8" t="s">
        <v>18</v>
      </c>
      <c r="C14" s="8" t="s">
        <v>19</v>
      </c>
      <c r="D14" s="8" t="s">
        <v>31</v>
      </c>
      <c r="E14" s="1" t="str">
        <f>[1]!wwsCheckBox(B14,F14,A14)</f>
        <v>DAB</v>
      </c>
      <c r="F14" s="1" t="b">
        <v>0</v>
      </c>
      <c r="G14" s="1" t="str">
        <f>[1]!wwsCheckBox(C14,H14,A14)</f>
        <v>TAB</v>
      </c>
      <c r="H14" s="1" t="b">
        <v>0</v>
      </c>
      <c r="I14" t="str">
        <f t="shared" si="1"/>
        <v/>
      </c>
      <c r="J14" s="7" t="s">
        <v>23</v>
      </c>
      <c r="K14" s="7"/>
      <c r="L14" s="4">
        <f t="shared" si="3"/>
        <v>0</v>
      </c>
      <c r="M14" s="4"/>
    </row>
    <row r="15" spans="1:13" ht="23.4">
      <c r="A15">
        <f t="shared" si="2"/>
        <v>10</v>
      </c>
      <c r="B15" s="8" t="s">
        <v>26</v>
      </c>
      <c r="C15" s="8" t="s">
        <v>27</v>
      </c>
      <c r="D15" s="8" t="s">
        <v>32</v>
      </c>
      <c r="E15" s="1" t="str">
        <f>[1]!wwsCheckBox(B15,F15,A15)</f>
        <v>MAT</v>
      </c>
      <c r="F15" s="1" t="b">
        <v>0</v>
      </c>
      <c r="G15" s="1" t="str">
        <f>[1]!wwsCheckBox(C15,H15,A15)</f>
        <v>NAT</v>
      </c>
      <c r="H15" s="1" t="b">
        <v>0</v>
      </c>
      <c r="I15" t="str">
        <f t="shared" si="1"/>
        <v/>
      </c>
      <c r="J15" s="7" t="s">
        <v>22</v>
      </c>
      <c r="K15" s="7"/>
      <c r="L15" s="4">
        <f t="shared" si="3"/>
        <v>0</v>
      </c>
      <c r="M15" s="4"/>
    </row>
    <row r="16" spans="1:13" ht="23.4">
      <c r="A16">
        <f t="shared" si="2"/>
        <v>11</v>
      </c>
      <c r="B16" s="8" t="s">
        <v>20</v>
      </c>
      <c r="C16" s="8" t="s">
        <v>21</v>
      </c>
      <c r="D16" s="8" t="s">
        <v>33</v>
      </c>
      <c r="E16" s="1" t="str">
        <f>[1]!wwsCheckBox(B16,F16,A16)</f>
        <v>TAN</v>
      </c>
      <c r="F16" s="1" t="b">
        <v>0</v>
      </c>
      <c r="G16" s="1" t="str">
        <f>[1]!wwsCheckBox(C16,H16,A16)</f>
        <v>DAN</v>
      </c>
      <c r="H16" s="1" t="b">
        <v>0</v>
      </c>
      <c r="I16" t="str">
        <f t="shared" si="1"/>
        <v/>
      </c>
      <c r="J16" s="7" t="s">
        <v>23</v>
      </c>
      <c r="K16" s="7"/>
      <c r="L16" s="4">
        <f t="shared" si="3"/>
        <v>0</v>
      </c>
      <c r="M16" s="4"/>
    </row>
    <row r="17" spans="1:13" ht="23.4">
      <c r="A17">
        <f t="shared" si="2"/>
        <v>12</v>
      </c>
      <c r="B17" s="8" t="s">
        <v>19</v>
      </c>
      <c r="C17" s="8" t="s">
        <v>25</v>
      </c>
      <c r="D17" s="8" t="s">
        <v>31</v>
      </c>
      <c r="E17" s="1" t="str">
        <f>[1]!wwsCheckBox(B17,F17,A17)</f>
        <v>TAB</v>
      </c>
      <c r="F17" s="1" t="b">
        <v>0</v>
      </c>
      <c r="G17" s="1" t="str">
        <f>[1]!wwsCheckBox(C17,H17,A17)</f>
        <v>TAP</v>
      </c>
      <c r="H17" s="1" t="b">
        <v>0</v>
      </c>
      <c r="I17" t="str">
        <f t="shared" si="1"/>
        <v/>
      </c>
      <c r="J17" s="7"/>
      <c r="K17" s="7" t="s">
        <v>24</v>
      </c>
      <c r="L17" s="4">
        <f t="shared" si="3"/>
        <v>0</v>
      </c>
      <c r="M17" s="4"/>
    </row>
    <row r="18" spans="1:13" ht="15" thickBot="1"/>
    <row r="19" spans="1:13" ht="15" thickBot="1">
      <c r="C19" s="11">
        <f>SUM(L6:L17)/12</f>
        <v>8.3333333333333329E-2</v>
      </c>
      <c r="D19" s="12" t="s">
        <v>40</v>
      </c>
      <c r="E19" s="10" t="s">
        <v>34</v>
      </c>
      <c r="F19" s="13"/>
      <c r="G19" s="10" t="s">
        <v>35</v>
      </c>
      <c r="H19" s="13"/>
      <c r="I19" s="10" t="s">
        <v>36</v>
      </c>
    </row>
    <row r="20" spans="1:13">
      <c r="D20" s="8" t="s">
        <v>37</v>
      </c>
      <c r="E20" s="9">
        <f>SUM(L10,L12)/2</f>
        <v>0</v>
      </c>
      <c r="F20" s="14"/>
      <c r="G20" s="9">
        <f>SUM(L8,L17)/2</f>
        <v>0</v>
      </c>
      <c r="H20" s="14"/>
      <c r="I20" s="9">
        <f>SUM(L8,L10,L12,L17)/4</f>
        <v>0</v>
      </c>
      <c r="J20" s="8"/>
    </row>
    <row r="21" spans="1:13">
      <c r="D21" s="8" t="s">
        <v>38</v>
      </c>
      <c r="E21" s="9">
        <f>SUM(L14,L16)/2</f>
        <v>0</v>
      </c>
      <c r="F21" s="14"/>
      <c r="G21" s="9">
        <f>SUM(L7,L9)/2</f>
        <v>0</v>
      </c>
      <c r="H21" s="14"/>
      <c r="I21" s="9">
        <f>SUM(L7,L9,L14,L16)/4</f>
        <v>0</v>
      </c>
      <c r="J21" s="8"/>
    </row>
    <row r="22" spans="1:13">
      <c r="D22" s="8" t="s">
        <v>39</v>
      </c>
      <c r="E22" s="9">
        <f>SUM(L13,L15)/2</f>
        <v>0</v>
      </c>
      <c r="F22" s="14"/>
      <c r="G22" s="9">
        <f>SUM(L6,L11)/2</f>
        <v>0.5</v>
      </c>
      <c r="H22" s="14"/>
      <c r="I22" s="9">
        <f>SUM(L6,L11,L13,L15)/4</f>
        <v>0.25</v>
      </c>
      <c r="J22" s="8"/>
    </row>
    <row r="23" spans="1:13">
      <c r="M23" s="8" t="s">
        <v>14</v>
      </c>
    </row>
  </sheetData>
  <mergeCells count="4">
    <mergeCell ref="E5:G5"/>
    <mergeCell ref="B2:C4"/>
    <mergeCell ref="D2:E4"/>
    <mergeCell ref="G2:I4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heck Box 10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Check Box 2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Check Box 2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2" name="Check Box 24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Check Box 29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5" name="Check Box 5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6" name="Check Box 7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7" name="Check Box 9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Check Box 13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Check Box 23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Check Box 25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4" name="Check Box 27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6" name="Check Box 61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7" name="Check Box 62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8" name="Check Box 63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9" name="Check Box 64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30" name="Check Box 65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1" name="Check Box 66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2" name="Check Box 67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3" name="Check Box 68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34" name="Check Box 69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35" name="Check Box 70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6" name="Check Box 71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37" name="Check Box 72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38" name="Check Box 73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9" name="Check Box 74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40" name="Check Box 75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1" name="Check Box 76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42" name="Check Box 77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43" name="Check Box 78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44" name="Check Box 79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45" name="Check Box 80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46" name="Check Box 81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7" name="Check Box 82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8" name="Check Box 84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9" name="Check Box 85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50" name="Check Box 86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51" name="Check Box 87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52" name="Check Box 88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53" name="Check Box 89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54" name="Check Box 9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55" name="Check Box 91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56" name="Check Box 9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57" name="Check Box 93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58" name="Check Box 94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59" name="Check Box 95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60" name="Check Box 96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61" name="Check Box 97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62" name="Check Box 98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63" name="Check Box 99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4" name="Check Box 100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5" name="Check Box 101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6" name="Check Box 102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7" name="Check Box 103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68" name="Check Box 104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69" name="Check Box 107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70" name="Check Box 108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71" name="Check Box 109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72" name="Check Box 110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3" name="Check Box 111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74" name="Check Box 112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5" name="Check Box 113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6" name="Check Box 114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77" name="Check Box 115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78" name="Check Box 116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79" name="Check Box 117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0" name="Check Box 118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1" name="Check Box 119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2" name="Check Box 120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3" name="Check Box 121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4" name="Check Box 122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5" name="Check Box 123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86" name="Check Box 124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87" name="Check Box 125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88" name="Check Box 126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89" name="Check Box 127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0" name="Check Box 129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1" name="Check Box 130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2" name="Check Box 131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3" name="Check Box 132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4" name="Check Box 133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95" name="Check Box 134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96" name="Check Box 135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97" name="Check Box 136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98" name="Check Box 137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99" name="Check Box 138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0" name="Check Box 139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1" name="Check Box 140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02" name="Check Box 141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3" name="Check Box 142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4" name="Check Box 143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5" name="Check Box 144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06" name="Check Box 145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7" name="Check Box 146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08" name="Check Box 147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9" name="Check Box 148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0" name="Check Box 149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1" name="Check Box 150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2" name="Check Box 151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3" name="Check Box 152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4" name="Check Box 153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5" name="Check Box 154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16" name="Check Box 155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17" name="Check Box 156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18" name="Check Box 157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19" name="Check Box 158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0" name="Check Box 159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1" name="Check Box 160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2" name="Check Box 161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3" name="Check Box 162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4" name="Check Box 163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5" name="Check Box 164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26" name="Check Box 165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27" name="Check Box 166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28" name="Check Box 167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29" name="Check Box 168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30" name="Check Box 169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31" name="Check Box 170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32" name="Check Box 171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33" name="Check Box 172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34" name="Check Box 173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60960</xdr:rowOff>
                  </from>
                  <to>
                    <xdr:col>4</xdr:col>
                    <xdr:colOff>922020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35" name="Check Box 174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36" name="Check Box 175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37" name="Check Box 176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8" name="Check Box 177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9" name="Check Box 178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0" name="Check Box 179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1" name="Check Box 18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2" name="Check Box 181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3" name="Check Box 18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4" name="Check Box 183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45" name="Check Box 1">
              <controlPr defaultSize="0" autoFill="0" autoLine="0" autoPict="0">
                <anchor moveWithCells="1">
                  <from>
                    <xdr:col>4</xdr:col>
                    <xdr:colOff>548640</xdr:colOff>
                    <xdr:row>5</xdr:row>
                    <xdr:rowOff>68580</xdr:rowOff>
                  </from>
                  <to>
                    <xdr:col>4</xdr:col>
                    <xdr:colOff>922020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46" name="Check Box 3">
              <controlPr defaultSize="0" autoFill="0" autoLine="0" autoPict="0">
                <anchor moveWithCells="1">
                  <from>
                    <xdr:col>6</xdr:col>
                    <xdr:colOff>548640</xdr:colOff>
                    <xdr:row>5</xdr:row>
                    <xdr:rowOff>68580</xdr:rowOff>
                  </from>
                  <to>
                    <xdr:col>8</xdr:col>
                    <xdr:colOff>68580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6D3D4-FCC2-46D9-85A0-F7B6960CE32F}">
  <sheetPr codeName="Sheet2"/>
  <dimension ref="B6:N42"/>
  <sheetViews>
    <sheetView showGridLines="0" tabSelected="1" zoomScale="70" zoomScaleNormal="70" workbookViewId="0">
      <selection activeCell="I6" sqref="I6"/>
    </sheetView>
  </sheetViews>
  <sheetFormatPr defaultRowHeight="31.2"/>
  <cols>
    <col min="6" max="6" width="5.33203125" style="21" customWidth="1"/>
    <col min="7" max="7" width="3.88671875" style="21" customWidth="1"/>
    <col min="8" max="9" width="14.109375" style="18" customWidth="1"/>
    <col min="10" max="10" width="10.77734375" style="18" customWidth="1"/>
  </cols>
  <sheetData>
    <row r="6" spans="2:14" ht="30" customHeight="1">
      <c r="B6" s="36" t="str">
        <f>IF(C6=E6,D6,IF(D6=E6,C6))</f>
        <v>pane</v>
      </c>
      <c r="C6" s="36" t="s">
        <v>41</v>
      </c>
      <c r="D6" s="36" t="s">
        <v>10</v>
      </c>
      <c r="E6" s="36" t="s">
        <v>10</v>
      </c>
      <c r="F6" s="19">
        <v>1</v>
      </c>
      <c r="G6" s="22" t="s">
        <v>102</v>
      </c>
      <c r="H6" s="16" t="str">
        <f>[1]!wwsCheckBox(C6,1,FALSE)</f>
        <v>pane</v>
      </c>
      <c r="I6" s="16" t="str">
        <f>[1]!wwsCheckBox(D6,1,FALSE)</f>
        <v>pan</v>
      </c>
      <c r="J6" s="18" t="str">
        <f>IF(K6+L6=1,"YES","")</f>
        <v>YES</v>
      </c>
      <c r="K6" s="36">
        <f t="shared" ref="K6:K16" si="0">IF(E6=H6,1,0)</f>
        <v>0</v>
      </c>
      <c r="L6" s="36">
        <f t="shared" ref="L6:L16" si="1">IF(E6=I6,1,0)</f>
        <v>1</v>
      </c>
      <c r="M6" s="36">
        <f t="shared" ref="M6:M16" si="2">IF(OR(B6=H6,B6=I6),1,)</f>
        <v>1</v>
      </c>
      <c r="N6" s="15"/>
    </row>
    <row r="7" spans="2:14" ht="30" customHeight="1">
      <c r="B7" s="36" t="str">
        <f t="shared" ref="B7:B41" si="3">IF(C7=E7,D7,IF(D7=E7,C7))</f>
        <v>app</v>
      </c>
      <c r="C7" s="36" t="s">
        <v>42</v>
      </c>
      <c r="D7" s="36" t="s">
        <v>43</v>
      </c>
      <c r="E7" s="36" t="s">
        <v>43</v>
      </c>
      <c r="F7" s="19">
        <v>2</v>
      </c>
      <c r="G7" s="22" t="s">
        <v>102</v>
      </c>
      <c r="H7" s="16" t="str">
        <f>[1]!wwsCheckBox(C7,2,FALSE)</f>
        <v>app</v>
      </c>
      <c r="I7" s="16" t="str">
        <f>[1]!wwsCheckBox(D7,2,FALSE)</f>
        <v>ape</v>
      </c>
      <c r="J7" s="18" t="str">
        <f t="shared" ref="J7:J41" si="4">IF(K7+L7=1,"YES","")</f>
        <v>YES</v>
      </c>
      <c r="K7" s="36">
        <f t="shared" si="0"/>
        <v>0</v>
      </c>
      <c r="L7" s="36">
        <f t="shared" si="1"/>
        <v>1</v>
      </c>
      <c r="M7" s="36">
        <f t="shared" si="2"/>
        <v>1</v>
      </c>
    </row>
    <row r="8" spans="2:14" ht="30" customHeight="1">
      <c r="B8" s="36" t="str">
        <f t="shared" si="3"/>
        <v>at</v>
      </c>
      <c r="C8" s="36" t="s">
        <v>44</v>
      </c>
      <c r="D8" s="36" t="s">
        <v>45</v>
      </c>
      <c r="E8" s="36" t="s">
        <v>44</v>
      </c>
      <c r="F8" s="19">
        <v>3</v>
      </c>
      <c r="G8" s="22" t="s">
        <v>102</v>
      </c>
      <c r="H8" s="16" t="str">
        <f>[1]!wwsCheckBox(C8,3,FALSE)</f>
        <v>ate</v>
      </c>
      <c r="I8" s="16" t="str">
        <f>[1]!wwsCheckBox(D8,3,FALSE)</f>
        <v>at</v>
      </c>
      <c r="J8" s="18" t="str">
        <f t="shared" si="4"/>
        <v>YES</v>
      </c>
      <c r="K8" s="36">
        <f t="shared" si="0"/>
        <v>1</v>
      </c>
      <c r="L8" s="36">
        <f t="shared" si="1"/>
        <v>0</v>
      </c>
      <c r="M8" s="36">
        <f t="shared" si="2"/>
        <v>1</v>
      </c>
    </row>
    <row r="9" spans="2:14" ht="30" customHeight="1">
      <c r="B9" s="36" t="str">
        <f t="shared" si="3"/>
        <v>nape</v>
      </c>
      <c r="C9" s="36" t="s">
        <v>46</v>
      </c>
      <c r="D9" s="36" t="s">
        <v>47</v>
      </c>
      <c r="E9" s="36" t="s">
        <v>47</v>
      </c>
      <c r="F9" s="19">
        <v>4</v>
      </c>
      <c r="G9" s="22" t="s">
        <v>102</v>
      </c>
      <c r="H9" s="16" t="str">
        <f>[1]!wwsCheckBox(C9,4,FALSE)</f>
        <v>nape</v>
      </c>
      <c r="I9" s="16" t="str">
        <f>[1]!wwsCheckBox(D9,4,FALSE)</f>
        <v>nap</v>
      </c>
      <c r="J9" s="18" t="str">
        <f t="shared" si="4"/>
        <v>YES</v>
      </c>
      <c r="K9" s="36">
        <f t="shared" si="0"/>
        <v>0</v>
      </c>
      <c r="L9" s="36">
        <f t="shared" si="1"/>
        <v>1</v>
      </c>
      <c r="M9" s="36">
        <f t="shared" si="2"/>
        <v>1</v>
      </c>
    </row>
    <row r="10" spans="2:14" ht="30" customHeight="1">
      <c r="B10" s="36" t="str">
        <f t="shared" si="3"/>
        <v>ban</v>
      </c>
      <c r="C10" s="36" t="s">
        <v>48</v>
      </c>
      <c r="D10" s="36" t="s">
        <v>49</v>
      </c>
      <c r="E10" s="36" t="s">
        <v>48</v>
      </c>
      <c r="F10" s="19">
        <v>5</v>
      </c>
      <c r="G10" s="22" t="s">
        <v>102</v>
      </c>
      <c r="H10" s="16" t="str">
        <f>[1]!wwsCheckBox(C10,5,FALSE)</f>
        <v>bane</v>
      </c>
      <c r="I10" s="16" t="str">
        <f>[1]!wwsCheckBox(D10,5,FALSE)</f>
        <v>ban</v>
      </c>
      <c r="J10" s="18" t="str">
        <f t="shared" si="4"/>
        <v>YES</v>
      </c>
      <c r="K10" s="36">
        <f t="shared" si="0"/>
        <v>1</v>
      </c>
      <c r="L10" s="36">
        <f t="shared" si="1"/>
        <v>0</v>
      </c>
      <c r="M10" s="36">
        <f t="shared" si="2"/>
        <v>1</v>
      </c>
    </row>
    <row r="11" spans="2:14" ht="30" customHeight="1">
      <c r="B11" s="36" t="str">
        <f t="shared" si="3"/>
        <v>dame</v>
      </c>
      <c r="C11" s="36" t="s">
        <v>50</v>
      </c>
      <c r="D11" s="36" t="s">
        <v>51</v>
      </c>
      <c r="E11" s="36" t="s">
        <v>50</v>
      </c>
      <c r="F11" s="19">
        <v>6</v>
      </c>
      <c r="G11" s="22" t="s">
        <v>102</v>
      </c>
      <c r="H11" s="16" t="str">
        <f>[1]!wwsCheckBox(C11,6,FALSE)</f>
        <v>dam</v>
      </c>
      <c r="I11" s="16" t="str">
        <f>[1]!wwsCheckBox(D11,6,FALSE)</f>
        <v>dame</v>
      </c>
      <c r="J11" s="18" t="str">
        <f t="shared" si="4"/>
        <v>YES</v>
      </c>
      <c r="K11" s="36">
        <f t="shared" si="0"/>
        <v>1</v>
      </c>
      <c r="L11" s="36">
        <f t="shared" si="1"/>
        <v>0</v>
      </c>
      <c r="M11" s="36">
        <f t="shared" si="2"/>
        <v>1</v>
      </c>
    </row>
    <row r="12" spans="2:14" ht="30" customHeight="1">
      <c r="B12" s="36" t="str">
        <f t="shared" si="3"/>
        <v>man</v>
      </c>
      <c r="C12" s="36" t="s">
        <v>52</v>
      </c>
      <c r="D12" s="36" t="s">
        <v>53</v>
      </c>
      <c r="E12" s="36" t="s">
        <v>52</v>
      </c>
      <c r="F12" s="19">
        <v>7</v>
      </c>
      <c r="G12" s="22" t="s">
        <v>102</v>
      </c>
      <c r="H12" s="16" t="str">
        <f>[1]!wwsCheckBox(C12,7,FALSE)</f>
        <v>mane</v>
      </c>
      <c r="I12" s="16" t="str">
        <f>[1]!wwsCheckBox(D12,7,FALSE)</f>
        <v>man</v>
      </c>
      <c r="J12" s="18" t="str">
        <f t="shared" si="4"/>
        <v>YES</v>
      </c>
      <c r="K12" s="36">
        <f t="shared" si="0"/>
        <v>1</v>
      </c>
      <c r="L12" s="36">
        <f t="shared" si="1"/>
        <v>0</v>
      </c>
      <c r="M12" s="36">
        <f t="shared" si="2"/>
        <v>1</v>
      </c>
    </row>
    <row r="13" spans="2:14" ht="30" customHeight="1">
      <c r="B13" s="36" t="str">
        <f t="shared" si="3"/>
        <v>ade</v>
      </c>
      <c r="C13" s="36" t="s">
        <v>54</v>
      </c>
      <c r="D13" s="36" t="s">
        <v>55</v>
      </c>
      <c r="E13" s="36" t="s">
        <v>54</v>
      </c>
      <c r="F13" s="19">
        <v>8</v>
      </c>
      <c r="G13" s="22" t="s">
        <v>102</v>
      </c>
      <c r="H13" s="16" t="str">
        <f>[1]!wwsCheckBox(C13,8,FALSE)</f>
        <v>ad</v>
      </c>
      <c r="I13" s="16" t="str">
        <f>[1]!wwsCheckBox(D13,8,FALSE)</f>
        <v>ade</v>
      </c>
      <c r="J13" s="18" t="str">
        <f t="shared" si="4"/>
        <v>YES</v>
      </c>
      <c r="K13" s="36">
        <f t="shared" si="0"/>
        <v>1</v>
      </c>
      <c r="L13" s="36">
        <f t="shared" si="1"/>
        <v>0</v>
      </c>
      <c r="M13" s="36">
        <f t="shared" si="2"/>
        <v>1</v>
      </c>
    </row>
    <row r="14" spans="2:14" ht="30" customHeight="1">
      <c r="B14" s="36" t="str">
        <f t="shared" si="3"/>
        <v>tape</v>
      </c>
      <c r="C14" s="36" t="s">
        <v>56</v>
      </c>
      <c r="D14" s="36" t="s">
        <v>57</v>
      </c>
      <c r="E14" s="36" t="s">
        <v>56</v>
      </c>
      <c r="F14" s="19">
        <v>9</v>
      </c>
      <c r="G14" s="22" t="s">
        <v>102</v>
      </c>
      <c r="H14" s="16" t="str">
        <f>[1]!wwsCheckBox(C14,9,FALSE)</f>
        <v>tap</v>
      </c>
      <c r="I14" s="16" t="str">
        <f>[1]!wwsCheckBox(D14,9,FALSE)</f>
        <v>tape</v>
      </c>
      <c r="J14" s="18" t="str">
        <f t="shared" si="4"/>
        <v>YES</v>
      </c>
      <c r="K14" s="36">
        <f t="shared" si="0"/>
        <v>1</v>
      </c>
      <c r="L14" s="36">
        <f t="shared" si="1"/>
        <v>0</v>
      </c>
      <c r="M14" s="36">
        <f t="shared" si="2"/>
        <v>1</v>
      </c>
    </row>
    <row r="15" spans="2:14" ht="30" customHeight="1">
      <c r="B15" s="36" t="str">
        <f t="shared" si="3"/>
        <v>made</v>
      </c>
      <c r="C15" s="36" t="s">
        <v>58</v>
      </c>
      <c r="D15" s="36" t="s">
        <v>59</v>
      </c>
      <c r="E15" s="36" t="s">
        <v>58</v>
      </c>
      <c r="F15" s="19">
        <v>10</v>
      </c>
      <c r="G15" s="22" t="s">
        <v>102</v>
      </c>
      <c r="H15" s="16" t="str">
        <f>[1]!wwsCheckBox(C15,10,FALSE)</f>
        <v>mad</v>
      </c>
      <c r="I15" s="16" t="str">
        <f>[1]!wwsCheckBox(D15,10,FALSE)</f>
        <v>made</v>
      </c>
      <c r="J15" s="18" t="str">
        <f t="shared" si="4"/>
        <v>YES</v>
      </c>
      <c r="K15" s="36">
        <f t="shared" si="0"/>
        <v>1</v>
      </c>
      <c r="L15" s="36">
        <f t="shared" si="1"/>
        <v>0</v>
      </c>
      <c r="M15" s="36">
        <f t="shared" si="2"/>
        <v>1</v>
      </c>
    </row>
    <row r="16" spans="2:14" ht="30" customHeight="1">
      <c r="B16" s="36" t="str">
        <f t="shared" si="3"/>
        <v>hat</v>
      </c>
      <c r="C16" s="36" t="s">
        <v>60</v>
      </c>
      <c r="D16" s="36" t="s">
        <v>61</v>
      </c>
      <c r="E16" s="36" t="s">
        <v>61</v>
      </c>
      <c r="F16" s="19">
        <v>11</v>
      </c>
      <c r="G16" s="22" t="s">
        <v>102</v>
      </c>
      <c r="H16" s="16" t="str">
        <f>[1]!wwsCheckBox(C16,11,FALSE)</f>
        <v>hat</v>
      </c>
      <c r="I16" s="16" t="str">
        <f>[1]!wwsCheckBox(D16,11,FALSE)</f>
        <v>hate</v>
      </c>
      <c r="J16" s="18" t="str">
        <f t="shared" si="4"/>
        <v>YES</v>
      </c>
      <c r="K16" s="36">
        <f t="shared" si="0"/>
        <v>0</v>
      </c>
      <c r="L16" s="36">
        <f t="shared" si="1"/>
        <v>1</v>
      </c>
      <c r="M16" s="36">
        <f t="shared" si="2"/>
        <v>1</v>
      </c>
    </row>
    <row r="17" spans="2:13" ht="12.6" customHeight="1">
      <c r="B17" s="36"/>
      <c r="C17" s="36"/>
      <c r="D17" s="36"/>
      <c r="E17" s="36"/>
      <c r="F17" s="20"/>
      <c r="G17" s="23"/>
      <c r="H17" s="16"/>
      <c r="I17" s="16"/>
      <c r="J17" s="18" t="str">
        <f t="shared" si="4"/>
        <v/>
      </c>
      <c r="K17" s="36"/>
      <c r="L17" s="36"/>
      <c r="M17" s="36"/>
    </row>
    <row r="18" spans="2:13" ht="30" customHeight="1">
      <c r="B18" s="36" t="str">
        <f t="shared" si="3"/>
        <v>bite</v>
      </c>
      <c r="C18" s="36" t="s">
        <v>62</v>
      </c>
      <c r="D18" s="36" t="s">
        <v>63</v>
      </c>
      <c r="E18" s="36" t="s">
        <v>62</v>
      </c>
      <c r="F18" s="19">
        <v>12</v>
      </c>
      <c r="G18" s="22" t="s">
        <v>102</v>
      </c>
      <c r="H18" s="16" t="str">
        <f>[1]!wwsCheckBox(C18,13,FALSE)</f>
        <v>bit</v>
      </c>
      <c r="I18" s="16" t="str">
        <f>[1]!wwsCheckBox(D18,13,FALSE)</f>
        <v>bite</v>
      </c>
      <c r="J18" s="18" t="str">
        <f t="shared" si="4"/>
        <v>YES</v>
      </c>
      <c r="K18" s="36">
        <f t="shared" ref="K18:K25" si="5">IF(E18=H18,1,0)</f>
        <v>1</v>
      </c>
      <c r="L18" s="36">
        <f t="shared" ref="L18:L25" si="6">IF(E18=I18,1,0)</f>
        <v>0</v>
      </c>
      <c r="M18" s="36">
        <f t="shared" ref="M18:M25" si="7">IF(OR(B18=H18,B18=I18),1,)</f>
        <v>1</v>
      </c>
    </row>
    <row r="19" spans="2:13" ht="30" customHeight="1">
      <c r="B19" s="36" t="str">
        <f t="shared" si="3"/>
        <v>pip</v>
      </c>
      <c r="C19" s="36" t="s">
        <v>64</v>
      </c>
      <c r="D19" s="36" t="s">
        <v>65</v>
      </c>
      <c r="E19" s="36" t="s">
        <v>65</v>
      </c>
      <c r="F19" s="19">
        <v>13</v>
      </c>
      <c r="G19" s="22" t="s">
        <v>102</v>
      </c>
      <c r="H19" s="16" t="str">
        <f>[1]!wwsCheckBox(C19,14,FALSE)</f>
        <v>pip</v>
      </c>
      <c r="I19" s="16" t="str">
        <f>[1]!wwsCheckBox(D19,14,FALSE)</f>
        <v>pipe</v>
      </c>
      <c r="J19" s="18" t="str">
        <f t="shared" si="4"/>
        <v>YES</v>
      </c>
      <c r="K19" s="36">
        <f t="shared" si="5"/>
        <v>0</v>
      </c>
      <c r="L19" s="36">
        <f t="shared" si="6"/>
        <v>1</v>
      </c>
      <c r="M19" s="36">
        <f t="shared" si="7"/>
        <v>1</v>
      </c>
    </row>
    <row r="20" spans="2:13" ht="30" customHeight="1">
      <c r="B20" s="36" t="str">
        <f t="shared" si="3"/>
        <v>pine</v>
      </c>
      <c r="C20" s="36" t="s">
        <v>66</v>
      </c>
      <c r="D20" s="36" t="s">
        <v>67</v>
      </c>
      <c r="E20" s="36" t="s">
        <v>67</v>
      </c>
      <c r="F20" s="19">
        <v>14</v>
      </c>
      <c r="G20" s="22" t="s">
        <v>102</v>
      </c>
      <c r="H20" s="16" t="str">
        <f>[1]!wwsCheckBox(C20,15,FALSE)</f>
        <v>pine</v>
      </c>
      <c r="I20" s="16" t="str">
        <f>[1]!wwsCheckBox(D20,15,FALSE)</f>
        <v>pin</v>
      </c>
      <c r="J20" s="18" t="str">
        <f t="shared" si="4"/>
        <v>YES</v>
      </c>
      <c r="K20" s="36">
        <f t="shared" si="5"/>
        <v>0</v>
      </c>
      <c r="L20" s="36">
        <f t="shared" si="6"/>
        <v>1</v>
      </c>
      <c r="M20" s="36">
        <f t="shared" si="7"/>
        <v>1</v>
      </c>
    </row>
    <row r="21" spans="2:13" ht="30" customHeight="1">
      <c r="B21" s="36" t="str">
        <f t="shared" si="3"/>
        <v>jib</v>
      </c>
      <c r="C21" s="36" t="s">
        <v>68</v>
      </c>
      <c r="D21" s="36" t="s">
        <v>69</v>
      </c>
      <c r="E21" s="36" t="s">
        <v>68</v>
      </c>
      <c r="F21" s="19">
        <v>15</v>
      </c>
      <c r="G21" s="22" t="s">
        <v>102</v>
      </c>
      <c r="H21" s="16" t="str">
        <f>[1]!wwsCheckBox(C21,16,FALSE)</f>
        <v>jibe</v>
      </c>
      <c r="I21" s="16" t="str">
        <f>[1]!wwsCheckBox(D21,16,FALSE)</f>
        <v>jib</v>
      </c>
      <c r="J21" s="18" t="str">
        <f t="shared" si="4"/>
        <v>YES</v>
      </c>
      <c r="K21" s="36">
        <f t="shared" si="5"/>
        <v>1</v>
      </c>
      <c r="L21" s="36">
        <f t="shared" si="6"/>
        <v>0</v>
      </c>
      <c r="M21" s="36">
        <f t="shared" si="7"/>
        <v>1</v>
      </c>
    </row>
    <row r="22" spans="2:13" ht="30" customHeight="1">
      <c r="B22" s="36" t="str">
        <f t="shared" si="3"/>
        <v>bid</v>
      </c>
      <c r="C22" s="36" t="s">
        <v>70</v>
      </c>
      <c r="D22" s="36" t="s">
        <v>71</v>
      </c>
      <c r="E22" s="36" t="s">
        <v>71</v>
      </c>
      <c r="F22" s="19">
        <v>16</v>
      </c>
      <c r="G22" s="22" t="s">
        <v>102</v>
      </c>
      <c r="H22" s="16" t="str">
        <f>[1]!wwsCheckBox(C22,17,FALSE)</f>
        <v>bid</v>
      </c>
      <c r="I22" s="16" t="str">
        <f>[1]!wwsCheckBox(D22,17,FALSE)</f>
        <v>bide</v>
      </c>
      <c r="J22" s="18" t="str">
        <f t="shared" si="4"/>
        <v>YES</v>
      </c>
      <c r="K22" s="36">
        <f t="shared" si="5"/>
        <v>0</v>
      </c>
      <c r="L22" s="36">
        <f t="shared" si="6"/>
        <v>1</v>
      </c>
      <c r="M22" s="36">
        <f t="shared" si="7"/>
        <v>1</v>
      </c>
    </row>
    <row r="23" spans="2:13" ht="30" customHeight="1">
      <c r="B23" s="36" t="str">
        <f t="shared" si="3"/>
        <v>dine</v>
      </c>
      <c r="C23" s="36" t="s">
        <v>72</v>
      </c>
      <c r="D23" s="36" t="s">
        <v>73</v>
      </c>
      <c r="E23" s="36" t="s">
        <v>73</v>
      </c>
      <c r="F23" s="19">
        <v>17</v>
      </c>
      <c r="G23" s="22" t="s">
        <v>102</v>
      </c>
      <c r="H23" s="16" t="str">
        <f>[1]!wwsCheckBox(C23,18,FALSE)</f>
        <v>dine</v>
      </c>
      <c r="I23" s="16" t="str">
        <f>[1]!wwsCheckBox(D23,18,FALSE)</f>
        <v>din</v>
      </c>
      <c r="J23" s="18" t="str">
        <f t="shared" si="4"/>
        <v>YES</v>
      </c>
      <c r="K23" s="36">
        <f t="shared" si="5"/>
        <v>0</v>
      </c>
      <c r="L23" s="36">
        <f t="shared" si="6"/>
        <v>1</v>
      </c>
      <c r="M23" s="36">
        <f t="shared" si="7"/>
        <v>1</v>
      </c>
    </row>
    <row r="24" spans="2:13" ht="30" customHeight="1">
      <c r="B24" s="36" t="str">
        <f t="shared" si="3"/>
        <v>dime</v>
      </c>
      <c r="C24" s="36" t="s">
        <v>74</v>
      </c>
      <c r="D24" s="36" t="s">
        <v>75</v>
      </c>
      <c r="E24" s="36" t="s">
        <v>74</v>
      </c>
      <c r="F24" s="19">
        <v>18</v>
      </c>
      <c r="G24" s="22" t="s">
        <v>102</v>
      </c>
      <c r="H24" s="16" t="str">
        <f>[1]!wwsCheckBox(C24,19,FALSE)</f>
        <v>dim</v>
      </c>
      <c r="I24" s="16" t="str">
        <f>[1]!wwsCheckBox(D24,19,FALSE)</f>
        <v>dime</v>
      </c>
      <c r="J24" s="18" t="str">
        <f t="shared" si="4"/>
        <v>YES</v>
      </c>
      <c r="K24" s="36">
        <f t="shared" si="5"/>
        <v>1</v>
      </c>
      <c r="L24" s="36">
        <f t="shared" si="6"/>
        <v>0</v>
      </c>
      <c r="M24" s="36">
        <f t="shared" si="7"/>
        <v>1</v>
      </c>
    </row>
    <row r="25" spans="2:13" ht="30" customHeight="1">
      <c r="B25" s="36" t="str">
        <f t="shared" si="3"/>
        <v>hid</v>
      </c>
      <c r="C25" s="36" t="s">
        <v>76</v>
      </c>
      <c r="D25" s="36" t="s">
        <v>77</v>
      </c>
      <c r="E25" s="36" t="s">
        <v>76</v>
      </c>
      <c r="F25" s="19">
        <v>19</v>
      </c>
      <c r="G25" s="22" t="s">
        <v>102</v>
      </c>
      <c r="H25" s="16" t="str">
        <f>[1]!wwsCheckBox(C25,20,FALSE)</f>
        <v>hide</v>
      </c>
      <c r="I25" s="16" t="str">
        <f>[1]!wwsCheckBox(D25,20,FALSE)</f>
        <v>hid</v>
      </c>
      <c r="J25" s="18" t="str">
        <f t="shared" si="4"/>
        <v>YES</v>
      </c>
      <c r="K25" s="36">
        <f t="shared" si="5"/>
        <v>1</v>
      </c>
      <c r="L25" s="36">
        <f t="shared" si="6"/>
        <v>0</v>
      </c>
      <c r="M25" s="36">
        <f t="shared" si="7"/>
        <v>1</v>
      </c>
    </row>
    <row r="26" spans="2:13" ht="12.6" customHeight="1">
      <c r="B26" s="36"/>
      <c r="C26" s="36"/>
      <c r="D26" s="36"/>
      <c r="E26" s="36"/>
      <c r="F26" s="20"/>
      <c r="G26" s="23"/>
      <c r="H26" s="16"/>
      <c r="I26" s="16"/>
      <c r="J26" s="18" t="str">
        <f t="shared" si="4"/>
        <v/>
      </c>
      <c r="K26" s="36"/>
      <c r="L26" s="36"/>
      <c r="M26" s="36"/>
    </row>
    <row r="27" spans="2:13" ht="30" customHeight="1">
      <c r="B27" s="36" t="str">
        <f t="shared" si="3"/>
        <v>dot</v>
      </c>
      <c r="C27" s="36" t="s">
        <v>78</v>
      </c>
      <c r="D27" s="36" t="s">
        <v>79</v>
      </c>
      <c r="E27" s="36" t="s">
        <v>79</v>
      </c>
      <c r="F27" s="19">
        <v>20</v>
      </c>
      <c r="G27" s="22" t="s">
        <v>102</v>
      </c>
      <c r="H27" s="16" t="str">
        <f>[1]!wwsCheckBox(C27,21,FALSE)</f>
        <v>dot</v>
      </c>
      <c r="I27" s="16" t="str">
        <f>[1]!wwsCheckBox(D27,21,FALSE)</f>
        <v>dote</v>
      </c>
      <c r="J27" s="18" t="str">
        <f t="shared" si="4"/>
        <v>YES</v>
      </c>
      <c r="K27" s="36">
        <f t="shared" ref="K27:K32" si="8">IF(E27=H27,1,0)</f>
        <v>0</v>
      </c>
      <c r="L27" s="36">
        <f t="shared" ref="L27:L32" si="9">IF(E27=I27,1,0)</f>
        <v>1</v>
      </c>
      <c r="M27" s="36">
        <f t="shared" ref="M27:M32" si="10">IF(OR(B27=H27,B27=I27),1,)</f>
        <v>1</v>
      </c>
    </row>
    <row r="28" spans="2:13" ht="30" customHeight="1">
      <c r="B28" s="36" t="str">
        <f t="shared" si="3"/>
        <v>ode</v>
      </c>
      <c r="C28" s="36" t="s">
        <v>80</v>
      </c>
      <c r="D28" s="36" t="s">
        <v>81</v>
      </c>
      <c r="E28" s="36" t="s">
        <v>80</v>
      </c>
      <c r="F28" s="19">
        <v>21</v>
      </c>
      <c r="G28" s="22" t="s">
        <v>102</v>
      </c>
      <c r="H28" s="16" t="str">
        <f>[1]!wwsCheckBox(C28,22,FALSE)</f>
        <v>odd</v>
      </c>
      <c r="I28" s="16" t="str">
        <f>[1]!wwsCheckBox(D28,22,FALSE)</f>
        <v>ode</v>
      </c>
      <c r="J28" s="18" t="str">
        <f t="shared" si="4"/>
        <v>YES</v>
      </c>
      <c r="K28" s="36">
        <f t="shared" si="8"/>
        <v>1</v>
      </c>
      <c r="L28" s="36">
        <f t="shared" si="9"/>
        <v>0</v>
      </c>
      <c r="M28" s="36">
        <f t="shared" si="10"/>
        <v>1</v>
      </c>
    </row>
    <row r="29" spans="2:13" ht="30" customHeight="1">
      <c r="B29" s="36" t="str">
        <f t="shared" si="3"/>
        <v>hop</v>
      </c>
      <c r="C29" s="36" t="s">
        <v>82</v>
      </c>
      <c r="D29" s="36" t="s">
        <v>83</v>
      </c>
      <c r="E29" s="36" t="s">
        <v>83</v>
      </c>
      <c r="F29" s="19">
        <v>22</v>
      </c>
      <c r="G29" s="22" t="s">
        <v>102</v>
      </c>
      <c r="H29" s="16" t="str">
        <f>[1]!wwsCheckBox(C29,23,FALSE)</f>
        <v>hop</v>
      </c>
      <c r="I29" s="16" t="str">
        <f>[1]!wwsCheckBox(D29,23,FALSE)</f>
        <v>hope</v>
      </c>
      <c r="J29" s="18" t="str">
        <f t="shared" si="4"/>
        <v>YES</v>
      </c>
      <c r="K29" s="36">
        <f t="shared" si="8"/>
        <v>0</v>
      </c>
      <c r="L29" s="36">
        <f t="shared" si="9"/>
        <v>1</v>
      </c>
      <c r="M29" s="36">
        <f t="shared" si="10"/>
        <v>1</v>
      </c>
    </row>
    <row r="30" spans="2:13" ht="30" customHeight="1">
      <c r="B30" s="36" t="str">
        <f t="shared" si="3"/>
        <v>note</v>
      </c>
      <c r="C30" s="36" t="s">
        <v>84</v>
      </c>
      <c r="D30" s="36" t="s">
        <v>85</v>
      </c>
      <c r="E30" s="36" t="s">
        <v>85</v>
      </c>
      <c r="F30" s="19">
        <v>23</v>
      </c>
      <c r="G30" s="22" t="s">
        <v>102</v>
      </c>
      <c r="H30" s="16" t="str">
        <f>[1]!wwsCheckBox(C30,24,FALSE)</f>
        <v>note</v>
      </c>
      <c r="I30" s="16" t="str">
        <f>[1]!wwsCheckBox(D30,24,FALSE)</f>
        <v>not</v>
      </c>
      <c r="J30" s="18" t="str">
        <f t="shared" si="4"/>
        <v>YES</v>
      </c>
      <c r="K30" s="36">
        <f t="shared" si="8"/>
        <v>0</v>
      </c>
      <c r="L30" s="36">
        <f t="shared" si="9"/>
        <v>1</v>
      </c>
      <c r="M30" s="36">
        <f t="shared" si="10"/>
        <v>1</v>
      </c>
    </row>
    <row r="31" spans="2:13" ht="30" customHeight="1">
      <c r="B31" s="36" t="str">
        <f t="shared" si="3"/>
        <v>nod</v>
      </c>
      <c r="C31" s="36" t="s">
        <v>86</v>
      </c>
      <c r="D31" s="36" t="s">
        <v>87</v>
      </c>
      <c r="E31" s="36" t="s">
        <v>86</v>
      </c>
      <c r="F31" s="19">
        <v>24</v>
      </c>
      <c r="G31" s="22" t="s">
        <v>102</v>
      </c>
      <c r="H31" s="16" t="str">
        <f>[1]!wwsCheckBox(C31,25,FALSE)</f>
        <v>node</v>
      </c>
      <c r="I31" s="16" t="str">
        <f>[1]!wwsCheckBox(D31,25,FALSE)</f>
        <v>nod</v>
      </c>
      <c r="J31" s="18" t="str">
        <f t="shared" si="4"/>
        <v>YES</v>
      </c>
      <c r="K31" s="36">
        <f t="shared" si="8"/>
        <v>1</v>
      </c>
      <c r="L31" s="36">
        <f t="shared" si="9"/>
        <v>0</v>
      </c>
      <c r="M31" s="36">
        <f t="shared" si="10"/>
        <v>1</v>
      </c>
    </row>
    <row r="32" spans="2:13" ht="30" customHeight="1">
      <c r="B32" s="36" t="str">
        <f t="shared" si="3"/>
        <v>tote</v>
      </c>
      <c r="C32" s="36" t="s">
        <v>88</v>
      </c>
      <c r="D32" s="36" t="s">
        <v>89</v>
      </c>
      <c r="E32" s="36" t="s">
        <v>89</v>
      </c>
      <c r="F32" s="19">
        <v>25</v>
      </c>
      <c r="G32" s="22" t="s">
        <v>102</v>
      </c>
      <c r="H32" s="16" t="str">
        <f>[1]!wwsCheckBox(C32,26,FALSE)</f>
        <v>tote</v>
      </c>
      <c r="I32" s="16" t="str">
        <f>[1]!wwsCheckBox(D32,26,FALSE)</f>
        <v>tot</v>
      </c>
      <c r="J32" s="18" t="str">
        <f t="shared" si="4"/>
        <v>YES</v>
      </c>
      <c r="K32" s="36">
        <f t="shared" si="8"/>
        <v>0</v>
      </c>
      <c r="L32" s="36">
        <f t="shared" si="9"/>
        <v>1</v>
      </c>
      <c r="M32" s="36">
        <f t="shared" si="10"/>
        <v>1</v>
      </c>
    </row>
    <row r="33" spans="2:13" ht="12.6" customHeight="1">
      <c r="B33" s="36"/>
      <c r="C33" s="36"/>
      <c r="D33" s="36"/>
      <c r="E33" s="36"/>
      <c r="F33" s="20"/>
      <c r="G33" s="23"/>
      <c r="H33" s="16"/>
      <c r="I33" s="16"/>
      <c r="J33" s="18" t="str">
        <f t="shared" si="4"/>
        <v/>
      </c>
      <c r="K33" s="36"/>
      <c r="L33" s="36"/>
      <c r="M33" s="36"/>
    </row>
    <row r="34" spans="2:13" ht="30" customHeight="1">
      <c r="B34" s="36" t="str">
        <f t="shared" si="3"/>
        <v>mutt</v>
      </c>
      <c r="C34" s="36" t="s">
        <v>90</v>
      </c>
      <c r="D34" s="36" t="s">
        <v>91</v>
      </c>
      <c r="E34" s="36" t="s">
        <v>91</v>
      </c>
      <c r="F34" s="19">
        <v>26</v>
      </c>
      <c r="G34" s="22" t="s">
        <v>102</v>
      </c>
      <c r="H34" s="16" t="str">
        <f>[1]!wwsCheckBox(C34,28,FALSE)</f>
        <v>mutt</v>
      </c>
      <c r="I34" s="16" t="str">
        <f>[1]!wwsCheckBox(D34,28,FALSE)</f>
        <v>mute</v>
      </c>
      <c r="J34" s="18" t="str">
        <f t="shared" si="4"/>
        <v>YES</v>
      </c>
      <c r="K34" s="36">
        <f>IF(E34=H34,1,0)</f>
        <v>0</v>
      </c>
      <c r="L34" s="36">
        <f>IF(E34=I34,1,0)</f>
        <v>1</v>
      </c>
      <c r="M34" s="36">
        <f>IF(OR(B34=H34,B34=I34),1,)</f>
        <v>1</v>
      </c>
    </row>
    <row r="35" spans="2:13" ht="12.6" customHeight="1">
      <c r="B35" s="36"/>
      <c r="C35" s="36"/>
      <c r="D35" s="36"/>
      <c r="E35" s="36"/>
      <c r="F35" s="20"/>
      <c r="G35" s="22"/>
      <c r="H35" s="16"/>
      <c r="I35" s="16"/>
      <c r="J35" s="18" t="str">
        <f t="shared" si="4"/>
        <v/>
      </c>
      <c r="K35" s="36"/>
      <c r="L35" s="36"/>
      <c r="M35" s="36"/>
    </row>
    <row r="36" spans="2:13" ht="30" customHeight="1">
      <c r="B36" s="36" t="str">
        <f t="shared" si="3"/>
        <v>tub</v>
      </c>
      <c r="C36" s="36" t="s">
        <v>92</v>
      </c>
      <c r="D36" s="36" t="s">
        <v>93</v>
      </c>
      <c r="E36" s="36" t="s">
        <v>93</v>
      </c>
      <c r="F36" s="19">
        <v>27</v>
      </c>
      <c r="G36" s="22" t="s">
        <v>102</v>
      </c>
      <c r="H36" s="16" t="str">
        <f>[1]!wwsCheckBox(C36,30,FALSE)</f>
        <v>tub</v>
      </c>
      <c r="I36" s="16" t="str">
        <f>[1]!wwsCheckBox(D36,30,FALSE)</f>
        <v>tube</v>
      </c>
      <c r="J36" s="18" t="str">
        <f t="shared" si="4"/>
        <v>YES</v>
      </c>
      <c r="K36" s="36">
        <f>IF(E36=H36,1,0)</f>
        <v>0</v>
      </c>
      <c r="L36" s="36">
        <f>IF(E36=I36,1,0)</f>
        <v>1</v>
      </c>
      <c r="M36" s="36">
        <f>IF(OR(B36=H36,B36=I36),1,)</f>
        <v>1</v>
      </c>
    </row>
    <row r="37" spans="2:13" ht="12.6" customHeight="1">
      <c r="B37" s="36"/>
      <c r="C37" s="36"/>
      <c r="D37" s="36"/>
      <c r="E37" s="36"/>
      <c r="F37" s="20"/>
      <c r="G37" s="23"/>
      <c r="H37" s="16"/>
      <c r="I37" s="16"/>
      <c r="J37" s="18" t="str">
        <f t="shared" si="4"/>
        <v/>
      </c>
      <c r="K37" s="36"/>
      <c r="L37" s="36"/>
      <c r="M37" s="36"/>
    </row>
    <row r="38" spans="2:13" ht="30.6" customHeight="1">
      <c r="B38" s="36" t="str">
        <f t="shared" si="3"/>
        <v>meet</v>
      </c>
      <c r="C38" s="36" t="s">
        <v>94</v>
      </c>
      <c r="D38" s="36" t="s">
        <v>95</v>
      </c>
      <c r="E38" s="36" t="s">
        <v>95</v>
      </c>
      <c r="F38" s="19">
        <v>28</v>
      </c>
      <c r="G38" s="22" t="s">
        <v>102</v>
      </c>
      <c r="H38" s="16" t="str">
        <f>[1]!wwsCheckBox(C38,31,FALSE)</f>
        <v>meet</v>
      </c>
      <c r="I38" s="16" t="str">
        <f>[1]!wwsCheckBox(D38,31,FALSE)</f>
        <v>met</v>
      </c>
      <c r="J38" s="18" t="str">
        <f t="shared" si="4"/>
        <v>YES</v>
      </c>
      <c r="K38" s="36">
        <f>IF(E38=H38,1,0)</f>
        <v>0</v>
      </c>
      <c r="L38" s="36">
        <f>IF(E38=I38,1,0)</f>
        <v>1</v>
      </c>
      <c r="M38" s="36">
        <f>IF(OR(B38=H38,B38=I38),1,)</f>
        <v>1</v>
      </c>
    </row>
    <row r="39" spans="2:13" ht="30.6" customHeight="1">
      <c r="B39" s="36" t="str">
        <f t="shared" si="3"/>
        <v>bet</v>
      </c>
      <c r="C39" s="36" t="s">
        <v>96</v>
      </c>
      <c r="D39" s="36" t="s">
        <v>97</v>
      </c>
      <c r="E39" s="36" t="s">
        <v>96</v>
      </c>
      <c r="F39" s="19">
        <v>29</v>
      </c>
      <c r="G39" s="22" t="s">
        <v>102</v>
      </c>
      <c r="H39" s="16" t="str">
        <f>[1]!wwsCheckBox(C39,32,FALSE)</f>
        <v>beet</v>
      </c>
      <c r="I39" s="16" t="str">
        <f>[1]!wwsCheckBox(D39,32,FALSE)</f>
        <v>bet</v>
      </c>
      <c r="J39" s="18" t="str">
        <f t="shared" si="4"/>
        <v>YES</v>
      </c>
      <c r="K39" s="36">
        <f>IF(E39=H39,1,0)</f>
        <v>1</v>
      </c>
      <c r="L39" s="36">
        <f>IF(E39=I39,1,0)</f>
        <v>0</v>
      </c>
      <c r="M39" s="36">
        <f>IF(OR(B39=H39,B39=I39),1,)</f>
        <v>1</v>
      </c>
    </row>
    <row r="40" spans="2:13" ht="30.6" customHeight="1">
      <c r="B40" s="36" t="str">
        <f t="shared" si="3"/>
        <v>ten</v>
      </c>
      <c r="C40" s="36" t="s">
        <v>98</v>
      </c>
      <c r="D40" s="36" t="s">
        <v>99</v>
      </c>
      <c r="E40" s="36" t="s">
        <v>99</v>
      </c>
      <c r="F40" s="19">
        <v>30</v>
      </c>
      <c r="G40" s="22" t="s">
        <v>102</v>
      </c>
      <c r="H40" s="16" t="str">
        <f>[1]!wwsCheckBox(C40,33,FALSE)</f>
        <v>ten</v>
      </c>
      <c r="I40" s="16" t="str">
        <f>[1]!wwsCheckBox(D40,33,FALSE)</f>
        <v>teen</v>
      </c>
      <c r="J40" s="18" t="str">
        <f t="shared" si="4"/>
        <v>YES</v>
      </c>
      <c r="K40" s="36">
        <f>IF(E40=H40,1,0)</f>
        <v>0</v>
      </c>
      <c r="L40" s="36">
        <f>IF(E40=I40,1,0)</f>
        <v>1</v>
      </c>
      <c r="M40" s="36">
        <f>IF(OR(B40=H40,B40=I40),1,)</f>
        <v>1</v>
      </c>
    </row>
    <row r="41" spans="2:13" ht="30.6" customHeight="1">
      <c r="B41" s="36" t="str">
        <f t="shared" si="3"/>
        <v>peep</v>
      </c>
      <c r="C41" s="36" t="s">
        <v>100</v>
      </c>
      <c r="D41" s="36" t="s">
        <v>101</v>
      </c>
      <c r="E41" s="36" t="s">
        <v>100</v>
      </c>
      <c r="F41" s="19">
        <v>31</v>
      </c>
      <c r="G41" s="22" t="s">
        <v>102</v>
      </c>
      <c r="H41" s="16" t="str">
        <f>[1]!wwsCheckBox(C41,34,FALSE)</f>
        <v>pep</v>
      </c>
      <c r="I41" s="16" t="str">
        <f>[1]!wwsCheckBox(D41,34,FALSE)</f>
        <v>peep</v>
      </c>
      <c r="J41" s="18" t="str">
        <f t="shared" si="4"/>
        <v>YES</v>
      </c>
      <c r="K41" s="36">
        <f>IF(E41=H41,1,0)</f>
        <v>1</v>
      </c>
      <c r="L41" s="36">
        <f>IF(E41=I41,1,0)</f>
        <v>0</v>
      </c>
      <c r="M41" s="36">
        <f>IF(OR(B41=H41,B41=I41),1,)</f>
        <v>1</v>
      </c>
    </row>
    <row r="42" spans="2:13">
      <c r="M42" t="s">
        <v>14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CB298-B411-4A2D-A171-7E951916968D}">
  <sheetPr codeName="Sheet3"/>
  <dimension ref="A1:O18"/>
  <sheetViews>
    <sheetView topLeftCell="D1" workbookViewId="0">
      <selection activeCell="J2" sqref="J2:K2"/>
    </sheetView>
  </sheetViews>
  <sheetFormatPr defaultRowHeight="14.4"/>
  <cols>
    <col min="2" max="2" width="8.88671875" style="25"/>
    <col min="5" max="5" width="8.88671875" style="26"/>
    <col min="6" max="6" width="4.77734375" customWidth="1"/>
    <col min="7" max="7" width="2.5546875" customWidth="1"/>
    <col min="8" max="9" width="15.33203125" customWidth="1"/>
    <col min="10" max="10" width="12.6640625" customWidth="1"/>
    <col min="11" max="13" width="8.88671875" style="25"/>
  </cols>
  <sheetData>
    <row r="1" spans="1:15" ht="17.399999999999999" thickBot="1">
      <c r="A1" s="31" t="s">
        <v>107</v>
      </c>
      <c r="B1" s="30"/>
      <c r="C1" s="30"/>
      <c r="D1" s="30"/>
      <c r="E1" s="32"/>
      <c r="F1" s="30"/>
      <c r="G1" s="30"/>
      <c r="H1" s="30"/>
      <c r="I1" s="30"/>
      <c r="J1" s="30"/>
      <c r="K1" s="30"/>
      <c r="L1" s="30"/>
      <c r="M1" s="30"/>
      <c r="O1" s="24" t="str">
        <f>[1]!wwsSetup("metatags", "BPDTMN US Female.txt")</f>
        <v>metatags = "BPDTMN US Female.txt"</v>
      </c>
    </row>
    <row r="2" spans="1:15" ht="23.4" customHeight="1" thickBot="1">
      <c r="A2" s="29"/>
      <c r="E2" s="33" t="s">
        <v>103</v>
      </c>
      <c r="F2" s="42" t="s">
        <v>104</v>
      </c>
      <c r="G2" s="42"/>
      <c r="H2" s="42"/>
      <c r="I2" s="27" t="s">
        <v>105</v>
      </c>
      <c r="J2" s="43" t="s">
        <v>106</v>
      </c>
      <c r="K2" s="43"/>
      <c r="L2" s="28"/>
    </row>
    <row r="3" spans="1:15" ht="17.399999999999999" thickBot="1">
      <c r="A3" s="29"/>
    </row>
    <row r="6" spans="1:15" ht="30" customHeight="1">
      <c r="B6" s="25">
        <f t="shared" ref="B6:B17" si="0">IF(OR(C6=H6,D6=I6),1,0)</f>
        <v>1</v>
      </c>
      <c r="C6" s="7" t="s">
        <v>0</v>
      </c>
      <c r="D6" s="7" t="s">
        <v>1</v>
      </c>
      <c r="E6" s="34" t="s">
        <v>0</v>
      </c>
      <c r="F6" s="19">
        <v>1</v>
      </c>
      <c r="G6" s="22" t="s">
        <v>102</v>
      </c>
      <c r="H6" s="16" t="str">
        <f>[1]!wwsCheckBox(C6,2,FALSE)</f>
        <v>BAM</v>
      </c>
      <c r="I6" s="16" t="str">
        <f>[1]!wwsCheckBox(D6,2,FALSE)</f>
        <v>BAN</v>
      </c>
      <c r="J6" s="16" t="str">
        <f t="shared" ref="J6" si="1">IF(L6+M6=1,"YES","")</f>
        <v>YES</v>
      </c>
      <c r="K6" s="25">
        <f t="shared" ref="K6:K16" si="2">IF(J6="YES",1,0)</f>
        <v>1</v>
      </c>
      <c r="L6" s="25">
        <f t="shared" ref="L6:L16" si="3">IF(E6=H6,1,0)</f>
        <v>1</v>
      </c>
      <c r="M6" s="25">
        <f t="shared" ref="M6:M16" si="4">IF(E6=I6,1,0)</f>
        <v>0</v>
      </c>
      <c r="N6" s="4"/>
    </row>
    <row r="7" spans="1:15" ht="30" customHeight="1">
      <c r="B7" s="25">
        <f t="shared" si="0"/>
        <v>1</v>
      </c>
      <c r="C7" s="7" t="s">
        <v>2</v>
      </c>
      <c r="D7" s="7" t="s">
        <v>3</v>
      </c>
      <c r="E7" s="34" t="s">
        <v>3</v>
      </c>
      <c r="F7" s="19">
        <v>2</v>
      </c>
      <c r="G7" s="22" t="s">
        <v>102</v>
      </c>
      <c r="H7" s="16" t="str">
        <f>[1]!wwsCheckBox(C7,2,FALSE)</f>
        <v>BAD</v>
      </c>
      <c r="I7" s="16" t="str">
        <f>[1]!wwsCheckBox(D7,2,FALSE)</f>
        <v>BAT</v>
      </c>
      <c r="J7" s="16" t="str">
        <f t="shared" ref="J7:J16" si="5">IF(L7+M7=1,"YES","")</f>
        <v>YES</v>
      </c>
      <c r="K7" s="25">
        <f t="shared" si="2"/>
        <v>1</v>
      </c>
      <c r="L7" s="25">
        <f t="shared" si="3"/>
        <v>0</v>
      </c>
      <c r="M7" s="25">
        <f t="shared" si="4"/>
        <v>1</v>
      </c>
      <c r="N7" s="4"/>
    </row>
    <row r="8" spans="1:15" ht="30" customHeight="1">
      <c r="B8" s="25">
        <f t="shared" si="0"/>
        <v>1</v>
      </c>
      <c r="C8" s="7" t="s">
        <v>28</v>
      </c>
      <c r="D8" s="7" t="s">
        <v>16</v>
      </c>
      <c r="E8" s="34" t="s">
        <v>28</v>
      </c>
      <c r="F8" s="19">
        <v>3</v>
      </c>
      <c r="G8" s="22" t="s">
        <v>102</v>
      </c>
      <c r="H8" s="16" t="str">
        <f>[1]!wwsCheckBox(C8,3,FALSE)</f>
        <v>NAB</v>
      </c>
      <c r="I8" s="16" t="str">
        <f>[1]!wwsCheckBox(D8,3,FALSE)</f>
        <v>NAP</v>
      </c>
      <c r="J8" s="16" t="str">
        <f t="shared" si="5"/>
        <v>YES</v>
      </c>
      <c r="K8" s="25">
        <f t="shared" si="2"/>
        <v>1</v>
      </c>
      <c r="L8" s="25">
        <f t="shared" si="3"/>
        <v>1</v>
      </c>
      <c r="M8" s="25">
        <f t="shared" si="4"/>
        <v>0</v>
      </c>
      <c r="N8" s="4"/>
    </row>
    <row r="9" spans="1:15" ht="30" customHeight="1">
      <c r="B9" s="25">
        <f t="shared" si="0"/>
        <v>1</v>
      </c>
      <c r="C9" s="7" t="s">
        <v>4</v>
      </c>
      <c r="D9" s="7" t="s">
        <v>5</v>
      </c>
      <c r="E9" s="34" t="s">
        <v>5</v>
      </c>
      <c r="F9" s="19">
        <v>4</v>
      </c>
      <c r="G9" s="22" t="s">
        <v>102</v>
      </c>
      <c r="H9" s="16" t="str">
        <f>[1]!wwsCheckBox(C9,4,FALSE)</f>
        <v>PAD</v>
      </c>
      <c r="I9" s="16" t="str">
        <f>[1]!wwsCheckBox(D9,4,FALSE)</f>
        <v>PAT</v>
      </c>
      <c r="J9" s="16" t="str">
        <f t="shared" si="5"/>
        <v>YES</v>
      </c>
      <c r="K9" s="25">
        <f t="shared" si="2"/>
        <v>1</v>
      </c>
      <c r="L9" s="25">
        <f t="shared" si="3"/>
        <v>0</v>
      </c>
      <c r="M9" s="25">
        <f t="shared" si="4"/>
        <v>1</v>
      </c>
      <c r="N9" s="4"/>
    </row>
    <row r="10" spans="1:15" ht="30" customHeight="1">
      <c r="B10" s="25">
        <f t="shared" si="0"/>
        <v>1</v>
      </c>
      <c r="C10" s="7" t="s">
        <v>2</v>
      </c>
      <c r="D10" s="7" t="s">
        <v>4</v>
      </c>
      <c r="E10" s="34" t="s">
        <v>2</v>
      </c>
      <c r="F10" s="19">
        <v>5</v>
      </c>
      <c r="G10" s="22" t="s">
        <v>102</v>
      </c>
      <c r="H10" s="16" t="str">
        <f>[1]!wwsCheckBox(C10,5,FALSE)</f>
        <v>BAD</v>
      </c>
      <c r="I10" s="16" t="str">
        <f>[1]!wwsCheckBox(D10,5,FALSE)</f>
        <v>PAD</v>
      </c>
      <c r="J10" s="16" t="str">
        <f t="shared" si="5"/>
        <v>YES</v>
      </c>
      <c r="K10" s="25">
        <f t="shared" si="2"/>
        <v>1</v>
      </c>
      <c r="L10" s="25">
        <f t="shared" si="3"/>
        <v>1</v>
      </c>
      <c r="M10" s="25">
        <f t="shared" si="4"/>
        <v>0</v>
      </c>
      <c r="N10" s="4"/>
    </row>
    <row r="11" spans="1:15" ht="30" customHeight="1">
      <c r="B11" s="25">
        <f t="shared" si="0"/>
        <v>1</v>
      </c>
      <c r="C11" s="7" t="s">
        <v>6</v>
      </c>
      <c r="D11" s="7" t="s">
        <v>7</v>
      </c>
      <c r="E11" s="34" t="s">
        <v>6</v>
      </c>
      <c r="F11" s="19">
        <v>6</v>
      </c>
      <c r="G11" s="22" t="s">
        <v>102</v>
      </c>
      <c r="H11" s="16" t="str">
        <f>[1]!wwsCheckBox(C11,6,FALSE)</f>
        <v>PAN</v>
      </c>
      <c r="I11" s="16" t="str">
        <f>[1]!wwsCheckBox(D11,6,FALSE)</f>
        <v>PAM</v>
      </c>
      <c r="J11" s="16" t="str">
        <f t="shared" si="5"/>
        <v>YES</v>
      </c>
      <c r="K11" s="25">
        <f t="shared" si="2"/>
        <v>1</v>
      </c>
      <c r="L11" s="25">
        <f t="shared" si="3"/>
        <v>1</v>
      </c>
      <c r="M11" s="25">
        <f t="shared" si="4"/>
        <v>0</v>
      </c>
      <c r="N11" s="4"/>
    </row>
    <row r="12" spans="1:15" ht="30" customHeight="1">
      <c r="B12" s="25">
        <f t="shared" si="0"/>
        <v>1</v>
      </c>
      <c r="C12" s="7" t="s">
        <v>1</v>
      </c>
      <c r="D12" s="7" t="s">
        <v>6</v>
      </c>
      <c r="E12" s="34" t="s">
        <v>6</v>
      </c>
      <c r="F12" s="19">
        <v>7</v>
      </c>
      <c r="G12" s="22" t="s">
        <v>102</v>
      </c>
      <c r="H12" s="16" t="str">
        <f>[1]!wwsCheckBox(C12,7,FALSE)</f>
        <v>BAN</v>
      </c>
      <c r="I12" s="16" t="str">
        <f>[1]!wwsCheckBox(D12,7,FALSE)</f>
        <v>PAN</v>
      </c>
      <c r="J12" s="16" t="str">
        <f t="shared" si="5"/>
        <v>YES</v>
      </c>
      <c r="K12" s="25">
        <f t="shared" si="2"/>
        <v>1</v>
      </c>
      <c r="L12" s="25">
        <f t="shared" si="3"/>
        <v>0</v>
      </c>
      <c r="M12" s="25">
        <f t="shared" si="4"/>
        <v>1</v>
      </c>
      <c r="N12" s="4"/>
    </row>
    <row r="13" spans="1:15" ht="30" customHeight="1">
      <c r="B13" s="25">
        <f t="shared" si="0"/>
        <v>1</v>
      </c>
      <c r="C13" s="7" t="s">
        <v>16</v>
      </c>
      <c r="D13" s="7" t="s">
        <v>17</v>
      </c>
      <c r="E13" s="34" t="s">
        <v>17</v>
      </c>
      <c r="F13" s="19">
        <v>8</v>
      </c>
      <c r="G13" s="22" t="s">
        <v>102</v>
      </c>
      <c r="H13" s="16" t="str">
        <f>[1]!wwsCheckBox(C13,8,FALSE)</f>
        <v>NAP</v>
      </c>
      <c r="I13" s="16" t="str">
        <f>[1]!wwsCheckBox(D13,8,FALSE)</f>
        <v>MAP</v>
      </c>
      <c r="J13" s="16" t="str">
        <f t="shared" si="5"/>
        <v>YES</v>
      </c>
      <c r="K13" s="25">
        <f t="shared" si="2"/>
        <v>1</v>
      </c>
      <c r="L13" s="25">
        <f t="shared" si="3"/>
        <v>0</v>
      </c>
      <c r="M13" s="25">
        <f t="shared" si="4"/>
        <v>1</v>
      </c>
      <c r="N13" s="4"/>
    </row>
    <row r="14" spans="1:15" ht="30" customHeight="1">
      <c r="B14" s="25">
        <f t="shared" si="0"/>
        <v>1</v>
      </c>
      <c r="C14" s="7" t="s">
        <v>18</v>
      </c>
      <c r="D14" s="7" t="s">
        <v>19</v>
      </c>
      <c r="E14" s="34" t="s">
        <v>19</v>
      </c>
      <c r="F14" s="19">
        <v>9</v>
      </c>
      <c r="G14" s="22" t="s">
        <v>102</v>
      </c>
      <c r="H14" s="16" t="str">
        <f>[1]!wwsCheckBox(C14,9,FALSE)</f>
        <v>DAB</v>
      </c>
      <c r="I14" s="16" t="str">
        <f>[1]!wwsCheckBox(D14,9,FALSE)</f>
        <v>TAB</v>
      </c>
      <c r="J14" s="16" t="str">
        <f t="shared" si="5"/>
        <v>YES</v>
      </c>
      <c r="K14" s="25">
        <f t="shared" si="2"/>
        <v>1</v>
      </c>
      <c r="L14" s="25">
        <f t="shared" si="3"/>
        <v>0</v>
      </c>
      <c r="M14" s="25">
        <f t="shared" si="4"/>
        <v>1</v>
      </c>
      <c r="N14" s="4"/>
    </row>
    <row r="15" spans="1:15" ht="30" customHeight="1">
      <c r="B15" s="25">
        <f t="shared" si="0"/>
        <v>1</v>
      </c>
      <c r="C15" s="7" t="s">
        <v>26</v>
      </c>
      <c r="D15" s="7" t="s">
        <v>27</v>
      </c>
      <c r="E15" s="34" t="s">
        <v>27</v>
      </c>
      <c r="F15" s="19">
        <v>10</v>
      </c>
      <c r="G15" s="22" t="s">
        <v>102</v>
      </c>
      <c r="H15" s="16" t="str">
        <f>[1]!wwsCheckBox(C15,10,FALSE)</f>
        <v>MAT</v>
      </c>
      <c r="I15" s="16" t="str">
        <f>[1]!wwsCheckBox(D15,10,FALSE)</f>
        <v>NAT</v>
      </c>
      <c r="J15" s="16" t="str">
        <f t="shared" si="5"/>
        <v>YES</v>
      </c>
      <c r="K15" s="25">
        <f t="shared" si="2"/>
        <v>1</v>
      </c>
      <c r="L15" s="25">
        <f t="shared" si="3"/>
        <v>0</v>
      </c>
      <c r="M15" s="25">
        <f t="shared" si="4"/>
        <v>1</v>
      </c>
      <c r="N15" s="4"/>
    </row>
    <row r="16" spans="1:15" ht="30" customHeight="1">
      <c r="B16" s="25">
        <f t="shared" si="0"/>
        <v>1</v>
      </c>
      <c r="C16" s="7" t="s">
        <v>20</v>
      </c>
      <c r="D16" s="7" t="s">
        <v>21</v>
      </c>
      <c r="E16" s="34" t="s">
        <v>20</v>
      </c>
      <c r="F16" s="19">
        <v>11</v>
      </c>
      <c r="G16" s="22" t="s">
        <v>102</v>
      </c>
      <c r="H16" s="16" t="str">
        <f>[1]!wwsCheckBox(C16,11,FALSE)</f>
        <v>TAN</v>
      </c>
      <c r="I16" s="16" t="str">
        <f>[1]!wwsCheckBox(D16,11,FALSE)</f>
        <v>DAN</v>
      </c>
      <c r="J16" s="16" t="str">
        <f t="shared" si="5"/>
        <v>YES</v>
      </c>
      <c r="K16" s="25">
        <f t="shared" si="2"/>
        <v>1</v>
      </c>
      <c r="L16" s="25">
        <f t="shared" si="3"/>
        <v>1</v>
      </c>
      <c r="M16" s="25">
        <f t="shared" si="4"/>
        <v>0</v>
      </c>
      <c r="N16" s="4"/>
    </row>
    <row r="17" spans="2:14" ht="30" customHeight="1">
      <c r="B17" s="25">
        <f t="shared" si="0"/>
        <v>1</v>
      </c>
      <c r="C17" s="7" t="s">
        <v>19</v>
      </c>
      <c r="D17" s="7" t="s">
        <v>25</v>
      </c>
      <c r="E17" s="34" t="s">
        <v>19</v>
      </c>
      <c r="F17" s="19">
        <v>12</v>
      </c>
      <c r="G17" s="22" t="s">
        <v>102</v>
      </c>
      <c r="H17" s="16" t="str">
        <f>[1]!wwsCheckBox(C17,12,FALSE)</f>
        <v>TAB</v>
      </c>
      <c r="I17" s="16" t="str">
        <f>[1]!wwsCheckBox(D17,12,FALSE)</f>
        <v>TAP</v>
      </c>
      <c r="J17" s="16" t="str">
        <f t="shared" ref="J17" si="6">IF(L17+M17=1,"YES","")</f>
        <v>YES</v>
      </c>
      <c r="K17" s="25">
        <f t="shared" ref="K17" si="7">IF(J17="YES",1,0)</f>
        <v>1</v>
      </c>
      <c r="L17" s="25">
        <f t="shared" ref="L17" si="8">IF(E17=H17,1,0)</f>
        <v>1</v>
      </c>
      <c r="M17" s="25">
        <f t="shared" ref="M17" si="9">IF(E17=I17,1,0)</f>
        <v>0</v>
      </c>
      <c r="N17" s="4"/>
    </row>
    <row r="18" spans="2:14" ht="30" customHeight="1">
      <c r="C18" s="7"/>
      <c r="D18" s="7"/>
      <c r="E18" s="34"/>
      <c r="F18" s="19"/>
      <c r="G18" s="22"/>
      <c r="H18" s="16"/>
      <c r="I18" s="16"/>
      <c r="J18" s="16"/>
      <c r="K18" s="1"/>
      <c r="N18" s="26" t="s">
        <v>14</v>
      </c>
    </row>
  </sheetData>
  <mergeCells count="2">
    <mergeCell ref="F2:H2"/>
    <mergeCell ref="J2:K2"/>
  </mergeCells>
  <hyperlinks>
    <hyperlink ref="F2" r:id="rId1" xr:uid="{87D8EED7-F3DE-416E-9CAD-8C0CA9507704}"/>
    <hyperlink ref="J2" r:id="rId2" display="http://www.kaye.com/HACC/BPDTMN US Male Voice" xr:uid="{CF6F5D56-1C4A-4F93-817A-2DA58A430BB5}"/>
    <hyperlink ref="F2:H2" r:id="rId3" display="BPDTMN US Female Voice" xr:uid="{4DF4971B-9A87-4753-BCAB-B8878A56E9C6}"/>
    <hyperlink ref="J2:K2" r:id="rId4" display="BPDTMN US Male Voice" xr:uid="{EEE4ED54-AD70-40BC-8629-5F3CEEF14BE8}"/>
  </hyperlinks>
  <pageMargins left="0.7" right="0.7" top="0.75" bottom="0.75" header="0.3" footer="0.3"/>
  <pageSetup orientation="portrait" verticalDpi="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B036-2606-4D54-A2C0-9B7C6C4659B8}">
  <sheetPr codeName="Sheet4"/>
  <dimension ref="C1:O44"/>
  <sheetViews>
    <sheetView topLeftCell="A25" workbookViewId="0">
      <selection activeCell="M31" sqref="M31"/>
    </sheetView>
  </sheetViews>
  <sheetFormatPr defaultRowHeight="31.2"/>
  <cols>
    <col min="3" max="3" width="3.77734375" style="4" customWidth="1"/>
    <col min="4" max="4" width="3.88671875" style="4" customWidth="1"/>
    <col min="5" max="5" width="16.88671875" style="4" customWidth="1"/>
    <col min="6" max="6" width="5.33203125" style="21" customWidth="1"/>
    <col min="7" max="7" width="3.88671875" style="21" customWidth="1"/>
    <col min="8" max="9" width="14.109375" style="18" customWidth="1"/>
    <col min="10" max="10" width="10.77734375" style="18" customWidth="1"/>
    <col min="11" max="11" width="9.33203125" style="4" bestFit="1" customWidth="1"/>
  </cols>
  <sheetData>
    <row r="1" spans="3:15">
      <c r="L1" s="4"/>
      <c r="M1" s="4"/>
    </row>
    <row r="2" spans="3:15">
      <c r="L2" s="4"/>
      <c r="M2" s="4"/>
    </row>
    <row r="3" spans="3:15">
      <c r="K3" s="4">
        <f t="shared" ref="K3:K13" si="0">IF(J6="YES",1,0)</f>
        <v>1</v>
      </c>
      <c r="L3" s="4">
        <f t="shared" ref="L3:L13" si="1">IF(E6=H6,1,0)</f>
        <v>0</v>
      </c>
      <c r="M3" s="4">
        <f t="shared" ref="M3:M13" si="2">IF(E6=I6,1,0)</f>
        <v>1</v>
      </c>
      <c r="N3" t="e">
        <f>IF(#REF!="GOOD",1,0)</f>
        <v>#REF!</v>
      </c>
    </row>
    <row r="4" spans="3:15">
      <c r="K4" s="4">
        <f t="shared" si="0"/>
        <v>1</v>
      </c>
      <c r="L4" s="4">
        <f t="shared" si="1"/>
        <v>0</v>
      </c>
      <c r="M4" s="4">
        <f t="shared" si="2"/>
        <v>1</v>
      </c>
    </row>
    <row r="5" spans="3:15">
      <c r="K5" s="4">
        <f t="shared" si="0"/>
        <v>1</v>
      </c>
      <c r="L5" s="4">
        <f t="shared" si="1"/>
        <v>1</v>
      </c>
      <c r="M5" s="4">
        <f t="shared" si="2"/>
        <v>0</v>
      </c>
    </row>
    <row r="6" spans="3:15" ht="30" customHeight="1">
      <c r="C6" s="37" t="s">
        <v>41</v>
      </c>
      <c r="D6" s="37" t="s">
        <v>10</v>
      </c>
      <c r="E6" s="35" t="s">
        <v>10</v>
      </c>
      <c r="F6" s="21">
        <v>1</v>
      </c>
      <c r="G6" s="21" t="s">
        <v>102</v>
      </c>
      <c r="H6" s="18" t="str">
        <f>[1]!wwsCheckBox(C6,1,FALSE)</f>
        <v>pane</v>
      </c>
      <c r="I6" s="18" t="str">
        <f>[1]!wwsCheckBox(D6,1,FALSE)</f>
        <v>pan</v>
      </c>
      <c r="J6" s="18" t="str">
        <f t="shared" ref="J6:J41" si="3">IF(L3+M3=1,"YES","")</f>
        <v>YES</v>
      </c>
      <c r="K6" s="17">
        <f t="shared" si="0"/>
        <v>1</v>
      </c>
      <c r="L6" s="4">
        <f t="shared" si="1"/>
        <v>0</v>
      </c>
      <c r="M6" s="4">
        <f t="shared" si="2"/>
        <v>1</v>
      </c>
      <c r="N6" s="4"/>
      <c r="O6" s="15"/>
    </row>
    <row r="7" spans="3:15" ht="30" customHeight="1">
      <c r="C7" s="37" t="s">
        <v>42</v>
      </c>
      <c r="D7" s="37" t="s">
        <v>43</v>
      </c>
      <c r="E7" s="35" t="s">
        <v>43</v>
      </c>
      <c r="F7" s="21">
        <v>2</v>
      </c>
      <c r="G7" s="21" t="s">
        <v>102</v>
      </c>
      <c r="H7" s="18" t="str">
        <f>[1]!wwsCheckBox(C7,2,FALSE)</f>
        <v>app</v>
      </c>
      <c r="I7" s="18" t="str">
        <f>[1]!wwsCheckBox(D7,2,FALSE)</f>
        <v>ape</v>
      </c>
      <c r="J7" s="18" t="str">
        <f t="shared" si="3"/>
        <v>YES</v>
      </c>
      <c r="K7" s="17">
        <f t="shared" si="0"/>
        <v>1</v>
      </c>
      <c r="L7" s="4">
        <f t="shared" si="1"/>
        <v>1</v>
      </c>
      <c r="M7" s="4">
        <f t="shared" si="2"/>
        <v>0</v>
      </c>
    </row>
    <row r="8" spans="3:15" ht="30" customHeight="1">
      <c r="C8" s="37" t="s">
        <v>44</v>
      </c>
      <c r="D8" s="37" t="s">
        <v>45</v>
      </c>
      <c r="E8" s="35" t="s">
        <v>44</v>
      </c>
      <c r="F8" s="21">
        <v>3</v>
      </c>
      <c r="G8" s="21" t="s">
        <v>102</v>
      </c>
      <c r="H8" s="18" t="str">
        <f>[1]!wwsCheckBox(C8,3,FALSE)</f>
        <v>ate</v>
      </c>
      <c r="I8" s="18" t="str">
        <f>[1]!wwsCheckBox(D8,3,FALSE)</f>
        <v>at</v>
      </c>
      <c r="J8" s="18" t="str">
        <f t="shared" si="3"/>
        <v>YES</v>
      </c>
      <c r="K8" s="17">
        <f t="shared" si="0"/>
        <v>1</v>
      </c>
      <c r="L8" s="4">
        <f t="shared" si="1"/>
        <v>1</v>
      </c>
      <c r="M8" s="4">
        <f t="shared" si="2"/>
        <v>0</v>
      </c>
    </row>
    <row r="9" spans="3:15" ht="30" customHeight="1">
      <c r="C9" s="38" t="s">
        <v>46</v>
      </c>
      <c r="D9" s="38" t="s">
        <v>47</v>
      </c>
      <c r="E9" s="35" t="s">
        <v>47</v>
      </c>
      <c r="F9" s="19">
        <v>4</v>
      </c>
      <c r="G9" s="22" t="s">
        <v>102</v>
      </c>
      <c r="H9" s="16" t="str">
        <f>[1]!wwsCheckBox(C9,4,FALSE)</f>
        <v>nape</v>
      </c>
      <c r="I9" s="16" t="str">
        <f>[1]!wwsCheckBox(D9,4,FALSE)</f>
        <v>nap</v>
      </c>
      <c r="J9" s="18" t="str">
        <f t="shared" si="3"/>
        <v>YES</v>
      </c>
      <c r="K9" s="17">
        <f t="shared" si="0"/>
        <v>1</v>
      </c>
      <c r="L9" s="4">
        <f t="shared" si="1"/>
        <v>1</v>
      </c>
      <c r="M9" s="4">
        <f t="shared" si="2"/>
        <v>0</v>
      </c>
    </row>
    <row r="10" spans="3:15" ht="30" customHeight="1">
      <c r="C10" s="38" t="s">
        <v>48</v>
      </c>
      <c r="D10" s="38" t="s">
        <v>49</v>
      </c>
      <c r="E10" s="35" t="s">
        <v>48</v>
      </c>
      <c r="F10" s="19">
        <v>5</v>
      </c>
      <c r="G10" s="22" t="s">
        <v>102</v>
      </c>
      <c r="H10" s="16" t="str">
        <f>[1]!wwsCheckBox(C10,5,FALSE)</f>
        <v>bane</v>
      </c>
      <c r="I10" s="16" t="str">
        <f>[1]!wwsCheckBox(D10,5,FALSE)</f>
        <v>ban</v>
      </c>
      <c r="J10" s="18" t="str">
        <f t="shared" si="3"/>
        <v>YES</v>
      </c>
      <c r="K10" s="17">
        <f t="shared" si="0"/>
        <v>1</v>
      </c>
      <c r="L10" s="4">
        <f t="shared" si="1"/>
        <v>1</v>
      </c>
      <c r="M10" s="4">
        <f t="shared" si="2"/>
        <v>0</v>
      </c>
    </row>
    <row r="11" spans="3:15" ht="30" customHeight="1">
      <c r="C11" s="38" t="s">
        <v>50</v>
      </c>
      <c r="D11" s="38" t="s">
        <v>51</v>
      </c>
      <c r="E11" s="35" t="s">
        <v>50</v>
      </c>
      <c r="F11" s="19">
        <v>6</v>
      </c>
      <c r="G11" s="22" t="s">
        <v>102</v>
      </c>
      <c r="H11" s="16" t="str">
        <f>[1]!wwsCheckBox(C11,6,FALSE)</f>
        <v>dam</v>
      </c>
      <c r="I11" s="16" t="str">
        <f>[1]!wwsCheckBox(D11,6,FALSE)</f>
        <v>dame</v>
      </c>
      <c r="J11" s="18" t="str">
        <f t="shared" si="3"/>
        <v>YES</v>
      </c>
      <c r="K11" s="17">
        <f t="shared" si="0"/>
        <v>1</v>
      </c>
      <c r="L11" s="4">
        <f t="shared" si="1"/>
        <v>1</v>
      </c>
      <c r="M11" s="4">
        <f t="shared" si="2"/>
        <v>0</v>
      </c>
    </row>
    <row r="12" spans="3:15" ht="30" customHeight="1">
      <c r="C12" s="38" t="s">
        <v>52</v>
      </c>
      <c r="D12" s="38" t="s">
        <v>53</v>
      </c>
      <c r="E12" s="35" t="s">
        <v>52</v>
      </c>
      <c r="F12" s="19">
        <v>7</v>
      </c>
      <c r="G12" s="22" t="s">
        <v>102</v>
      </c>
      <c r="H12" s="16" t="str">
        <f>[1]!wwsCheckBox(C12,7,FALSE)</f>
        <v>mane</v>
      </c>
      <c r="I12" s="16" t="str">
        <f>[1]!wwsCheckBox(D12,7,FALSE)</f>
        <v>man</v>
      </c>
      <c r="J12" s="18" t="str">
        <f t="shared" si="3"/>
        <v>YES</v>
      </c>
      <c r="K12" s="17">
        <f t="shared" si="0"/>
        <v>1</v>
      </c>
      <c r="L12" s="4">
        <f t="shared" si="1"/>
        <v>1</v>
      </c>
      <c r="M12" s="4">
        <f t="shared" si="2"/>
        <v>0</v>
      </c>
    </row>
    <row r="13" spans="3:15" ht="30" customHeight="1">
      <c r="C13" s="38" t="s">
        <v>54</v>
      </c>
      <c r="D13" s="38" t="s">
        <v>55</v>
      </c>
      <c r="E13" s="35" t="s">
        <v>54</v>
      </c>
      <c r="F13" s="19">
        <v>8</v>
      </c>
      <c r="G13" s="22" t="s">
        <v>102</v>
      </c>
      <c r="H13" s="16" t="str">
        <f>[1]!wwsCheckBox(C13,8,FALSE)</f>
        <v>ad</v>
      </c>
      <c r="I13" s="16" t="str">
        <f>[1]!wwsCheckBox(D13,8,FALSE)</f>
        <v>ade</v>
      </c>
      <c r="J13" s="18" t="str">
        <f t="shared" si="3"/>
        <v>YES</v>
      </c>
      <c r="K13" s="17">
        <f t="shared" si="0"/>
        <v>1</v>
      </c>
      <c r="L13" s="4">
        <f t="shared" si="1"/>
        <v>0</v>
      </c>
      <c r="M13" s="4">
        <f t="shared" si="2"/>
        <v>1</v>
      </c>
    </row>
    <row r="14" spans="3:15" ht="30" customHeight="1">
      <c r="C14" s="38" t="s">
        <v>56</v>
      </c>
      <c r="D14" s="38" t="s">
        <v>57</v>
      </c>
      <c r="E14" s="35" t="s">
        <v>56</v>
      </c>
      <c r="F14" s="19">
        <v>9</v>
      </c>
      <c r="G14" s="22" t="s">
        <v>102</v>
      </c>
      <c r="H14" s="16" t="str">
        <f>[1]!wwsCheckBox(C14,9,FALSE)</f>
        <v>tap</v>
      </c>
      <c r="I14" s="16" t="str">
        <f>[1]!wwsCheckBox(D14,9,FALSE)</f>
        <v>tape</v>
      </c>
      <c r="J14" s="18" t="str">
        <f t="shared" si="3"/>
        <v>YES</v>
      </c>
      <c r="K14" s="17"/>
      <c r="L14" s="4"/>
      <c r="M14" s="4"/>
    </row>
    <row r="15" spans="3:15" ht="30" customHeight="1">
      <c r="C15" s="38" t="s">
        <v>58</v>
      </c>
      <c r="D15" s="38" t="s">
        <v>59</v>
      </c>
      <c r="E15" s="35" t="s">
        <v>58</v>
      </c>
      <c r="F15" s="19">
        <v>10</v>
      </c>
      <c r="G15" s="22" t="s">
        <v>102</v>
      </c>
      <c r="H15" s="16" t="str">
        <f>[1]!wwsCheckBox(C15,10,FALSE)</f>
        <v>mad</v>
      </c>
      <c r="I15" s="16" t="str">
        <f>[1]!wwsCheckBox(D15,10,FALSE)</f>
        <v>made</v>
      </c>
      <c r="J15" s="18" t="str">
        <f t="shared" si="3"/>
        <v>YES</v>
      </c>
      <c r="K15" s="17">
        <f t="shared" ref="K15:K22" si="4">IF(J18="YES",1,0)</f>
        <v>1</v>
      </c>
      <c r="L15" s="4">
        <f t="shared" ref="L15:L22" si="5">IF(E18=H18,1,0)</f>
        <v>1</v>
      </c>
      <c r="M15" s="4">
        <f t="shared" ref="M15:M22" si="6">IF(E18=I18,1,0)</f>
        <v>0</v>
      </c>
    </row>
    <row r="16" spans="3:15" ht="30" customHeight="1">
      <c r="C16" s="38" t="s">
        <v>60</v>
      </c>
      <c r="D16" s="38" t="s">
        <v>61</v>
      </c>
      <c r="E16" s="35" t="s">
        <v>61</v>
      </c>
      <c r="F16" s="19">
        <v>11</v>
      </c>
      <c r="G16" s="22" t="s">
        <v>102</v>
      </c>
      <c r="H16" s="16" t="str">
        <f>[1]!wwsCheckBox(C16,11,FALSE)</f>
        <v>hat</v>
      </c>
      <c r="I16" s="16" t="str">
        <f>[1]!wwsCheckBox(D16,11,FALSE)</f>
        <v>hate</v>
      </c>
      <c r="J16" s="18" t="str">
        <f t="shared" si="3"/>
        <v>YES</v>
      </c>
      <c r="K16" s="17">
        <f t="shared" si="4"/>
        <v>1</v>
      </c>
      <c r="L16" s="4">
        <f t="shared" si="5"/>
        <v>0</v>
      </c>
      <c r="M16" s="4">
        <f t="shared" si="6"/>
        <v>1</v>
      </c>
    </row>
    <row r="17" spans="3:13" ht="12.6" customHeight="1">
      <c r="C17" s="38"/>
      <c r="D17" s="38"/>
      <c r="E17" s="35"/>
      <c r="F17" s="19"/>
      <c r="G17" s="22"/>
      <c r="H17" s="16"/>
      <c r="I17" s="16"/>
      <c r="J17" s="18" t="str">
        <f t="shared" si="3"/>
        <v/>
      </c>
      <c r="K17" s="17">
        <f t="shared" si="4"/>
        <v>1</v>
      </c>
      <c r="L17" s="4">
        <f t="shared" si="5"/>
        <v>0</v>
      </c>
      <c r="M17" s="4">
        <f t="shared" si="6"/>
        <v>1</v>
      </c>
    </row>
    <row r="18" spans="3:13" ht="30" customHeight="1">
      <c r="C18" s="38" t="s">
        <v>62</v>
      </c>
      <c r="D18" s="38" t="s">
        <v>63</v>
      </c>
      <c r="E18" s="35" t="s">
        <v>62</v>
      </c>
      <c r="F18" s="19">
        <v>12</v>
      </c>
      <c r="G18" s="22" t="s">
        <v>102</v>
      </c>
      <c r="H18" s="16" t="str">
        <f>[1]!wwsCheckBox(C18,13,FALSE)</f>
        <v>bit</v>
      </c>
      <c r="I18" s="16" t="str">
        <f>[1]!wwsCheckBox(D18,13,FALSE)</f>
        <v>bite</v>
      </c>
      <c r="J18" s="18" t="str">
        <f t="shared" si="3"/>
        <v>YES</v>
      </c>
      <c r="K18" s="17">
        <f t="shared" si="4"/>
        <v>1</v>
      </c>
      <c r="L18" s="4">
        <f t="shared" si="5"/>
        <v>1</v>
      </c>
      <c r="M18" s="4">
        <f t="shared" si="6"/>
        <v>0</v>
      </c>
    </row>
    <row r="19" spans="3:13" ht="30" customHeight="1">
      <c r="C19" s="38" t="s">
        <v>64</v>
      </c>
      <c r="D19" s="38" t="s">
        <v>65</v>
      </c>
      <c r="E19" s="35" t="s">
        <v>65</v>
      </c>
      <c r="F19" s="19">
        <v>13</v>
      </c>
      <c r="G19" s="22" t="s">
        <v>102</v>
      </c>
      <c r="H19" s="16" t="str">
        <f>[1]!wwsCheckBox(C19,14,FALSE)</f>
        <v>pip</v>
      </c>
      <c r="I19" s="16" t="str">
        <f>[1]!wwsCheckBox(D19,14,FALSE)</f>
        <v>pipe</v>
      </c>
      <c r="J19" s="18" t="str">
        <f t="shared" si="3"/>
        <v>YES</v>
      </c>
      <c r="K19" s="17">
        <f t="shared" si="4"/>
        <v>1</v>
      </c>
      <c r="L19" s="4">
        <f t="shared" si="5"/>
        <v>0</v>
      </c>
      <c r="M19" s="4">
        <f t="shared" si="6"/>
        <v>1</v>
      </c>
    </row>
    <row r="20" spans="3:13" ht="30" customHeight="1">
      <c r="C20" s="38" t="s">
        <v>66</v>
      </c>
      <c r="D20" s="38" t="s">
        <v>67</v>
      </c>
      <c r="E20" s="35" t="s">
        <v>67</v>
      </c>
      <c r="F20" s="19">
        <v>14</v>
      </c>
      <c r="G20" s="22" t="s">
        <v>102</v>
      </c>
      <c r="H20" s="16" t="str">
        <f>[1]!wwsCheckBox(C20,15,FALSE)</f>
        <v>pine</v>
      </c>
      <c r="I20" s="16" t="str">
        <f>[1]!wwsCheckBox(D20,15,FALSE)</f>
        <v>pin</v>
      </c>
      <c r="J20" s="18" t="str">
        <f t="shared" si="3"/>
        <v>YES</v>
      </c>
      <c r="K20" s="17">
        <f t="shared" si="4"/>
        <v>1</v>
      </c>
      <c r="L20" s="4">
        <f t="shared" si="5"/>
        <v>0</v>
      </c>
      <c r="M20" s="4">
        <f t="shared" si="6"/>
        <v>1</v>
      </c>
    </row>
    <row r="21" spans="3:13" ht="30" customHeight="1">
      <c r="C21" s="38" t="s">
        <v>68</v>
      </c>
      <c r="D21" s="38" t="s">
        <v>69</v>
      </c>
      <c r="E21" s="35" t="s">
        <v>68</v>
      </c>
      <c r="F21" s="19">
        <v>15</v>
      </c>
      <c r="G21" s="22" t="s">
        <v>102</v>
      </c>
      <c r="H21" s="16" t="str">
        <f>[1]!wwsCheckBox(C21,16,FALSE)</f>
        <v>jibe</v>
      </c>
      <c r="I21" s="16" t="str">
        <f>[1]!wwsCheckBox(D21,16,FALSE)</f>
        <v>jib</v>
      </c>
      <c r="J21" s="18" t="str">
        <f t="shared" si="3"/>
        <v>YES</v>
      </c>
      <c r="K21" s="17">
        <f t="shared" si="4"/>
        <v>1</v>
      </c>
      <c r="L21" s="4">
        <f t="shared" si="5"/>
        <v>1</v>
      </c>
      <c r="M21" s="4">
        <f t="shared" si="6"/>
        <v>0</v>
      </c>
    </row>
    <row r="22" spans="3:13" ht="30" customHeight="1">
      <c r="C22" s="38" t="s">
        <v>70</v>
      </c>
      <c r="D22" s="38" t="s">
        <v>71</v>
      </c>
      <c r="E22" s="35" t="s">
        <v>71</v>
      </c>
      <c r="F22" s="19">
        <v>16</v>
      </c>
      <c r="G22" s="22" t="s">
        <v>102</v>
      </c>
      <c r="H22" s="16" t="str">
        <f>[1]!wwsCheckBox(C22,17,FALSE)</f>
        <v>bid</v>
      </c>
      <c r="I22" s="16" t="str">
        <f>[1]!wwsCheckBox(D22,17,FALSE)</f>
        <v>bide</v>
      </c>
      <c r="J22" s="18" t="str">
        <f t="shared" si="3"/>
        <v>YES</v>
      </c>
      <c r="K22" s="17">
        <f t="shared" si="4"/>
        <v>1</v>
      </c>
      <c r="L22" s="4">
        <f t="shared" si="5"/>
        <v>1</v>
      </c>
      <c r="M22" s="4">
        <f t="shared" si="6"/>
        <v>0</v>
      </c>
    </row>
    <row r="23" spans="3:13" ht="30" customHeight="1">
      <c r="C23" s="38" t="s">
        <v>72</v>
      </c>
      <c r="D23" s="38" t="s">
        <v>73</v>
      </c>
      <c r="E23" s="35" t="s">
        <v>73</v>
      </c>
      <c r="F23" s="19">
        <v>17</v>
      </c>
      <c r="G23" s="22" t="s">
        <v>102</v>
      </c>
      <c r="H23" s="16" t="str">
        <f>[1]!wwsCheckBox(C23,18,FALSE)</f>
        <v>dine</v>
      </c>
      <c r="I23" s="16" t="str">
        <f>[1]!wwsCheckBox(D23,18,FALSE)</f>
        <v>din</v>
      </c>
      <c r="J23" s="18" t="str">
        <f t="shared" si="3"/>
        <v>YES</v>
      </c>
      <c r="K23" s="17"/>
      <c r="L23" s="4"/>
      <c r="M23" s="4"/>
    </row>
    <row r="24" spans="3:13" ht="30" customHeight="1">
      <c r="C24" s="38" t="s">
        <v>74</v>
      </c>
      <c r="D24" s="38" t="s">
        <v>75</v>
      </c>
      <c r="E24" s="35" t="s">
        <v>74</v>
      </c>
      <c r="F24" s="19">
        <v>18</v>
      </c>
      <c r="G24" s="22" t="s">
        <v>102</v>
      </c>
      <c r="H24" s="16" t="str">
        <f>[1]!wwsCheckBox(C24,19,FALSE)</f>
        <v>dim</v>
      </c>
      <c r="I24" s="16" t="str">
        <f>[1]!wwsCheckBox(D24,19,FALSE)</f>
        <v>dime</v>
      </c>
      <c r="J24" s="18" t="str">
        <f t="shared" si="3"/>
        <v>YES</v>
      </c>
      <c r="K24" s="17">
        <f t="shared" ref="K24:K29" si="7">IF(J27="YES",1,0)</f>
        <v>1</v>
      </c>
      <c r="L24" s="4">
        <f t="shared" ref="L24:L29" si="8">IF(E27=H27,1,0)</f>
        <v>0</v>
      </c>
      <c r="M24" s="4">
        <f t="shared" ref="M24:M29" si="9">IF(E27=I27,1,0)</f>
        <v>1</v>
      </c>
    </row>
    <row r="25" spans="3:13" ht="30" customHeight="1">
      <c r="C25" s="38" t="s">
        <v>76</v>
      </c>
      <c r="D25" s="38" t="s">
        <v>77</v>
      </c>
      <c r="E25" s="35" t="s">
        <v>76</v>
      </c>
      <c r="F25" s="19">
        <v>19</v>
      </c>
      <c r="G25" s="22" t="s">
        <v>102</v>
      </c>
      <c r="H25" s="16" t="str">
        <f>[1]!wwsCheckBox(C25,20,FALSE)</f>
        <v>hide</v>
      </c>
      <c r="I25" s="16" t="str">
        <f>[1]!wwsCheckBox(D25,20,FALSE)</f>
        <v>hid</v>
      </c>
      <c r="J25" s="18" t="str">
        <f t="shared" si="3"/>
        <v>YES</v>
      </c>
      <c r="K25" s="17">
        <f t="shared" si="7"/>
        <v>1</v>
      </c>
      <c r="L25" s="4">
        <f t="shared" si="8"/>
        <v>1</v>
      </c>
      <c r="M25" s="4">
        <f t="shared" si="9"/>
        <v>0</v>
      </c>
    </row>
    <row r="26" spans="3:13" ht="12.6" customHeight="1">
      <c r="C26" s="38"/>
      <c r="D26" s="38"/>
      <c r="E26" s="35"/>
      <c r="F26" s="19"/>
      <c r="G26" s="22"/>
      <c r="H26" s="16"/>
      <c r="I26" s="16"/>
      <c r="J26" s="18" t="str">
        <f t="shared" si="3"/>
        <v/>
      </c>
      <c r="K26" s="17">
        <f t="shared" si="7"/>
        <v>1</v>
      </c>
      <c r="L26" s="4">
        <f t="shared" si="8"/>
        <v>0</v>
      </c>
      <c r="M26" s="4">
        <f t="shared" si="9"/>
        <v>1</v>
      </c>
    </row>
    <row r="27" spans="3:13" ht="30" customHeight="1">
      <c r="C27" s="38" t="s">
        <v>78</v>
      </c>
      <c r="D27" s="38" t="s">
        <v>79</v>
      </c>
      <c r="E27" s="35" t="s">
        <v>79</v>
      </c>
      <c r="F27" s="19">
        <v>20</v>
      </c>
      <c r="G27" s="22" t="s">
        <v>102</v>
      </c>
      <c r="H27" s="16" t="str">
        <f>[1]!wwsCheckBox(C27,21,FALSE)</f>
        <v>dot</v>
      </c>
      <c r="I27" s="16" t="str">
        <f>[1]!wwsCheckBox(D27,21,FALSE)</f>
        <v>dote</v>
      </c>
      <c r="J27" s="18" t="str">
        <f t="shared" si="3"/>
        <v>YES</v>
      </c>
      <c r="K27" s="17">
        <f t="shared" si="7"/>
        <v>1</v>
      </c>
      <c r="L27" s="4">
        <f t="shared" si="8"/>
        <v>0</v>
      </c>
      <c r="M27" s="4">
        <f t="shared" si="9"/>
        <v>1</v>
      </c>
    </row>
    <row r="28" spans="3:13" ht="30" customHeight="1">
      <c r="C28" s="38" t="s">
        <v>80</v>
      </c>
      <c r="D28" s="38" t="s">
        <v>81</v>
      </c>
      <c r="E28" s="35" t="s">
        <v>80</v>
      </c>
      <c r="F28" s="19">
        <v>21</v>
      </c>
      <c r="G28" s="22" t="s">
        <v>102</v>
      </c>
      <c r="H28" s="16" t="str">
        <f>[1]!wwsCheckBox(C28,22,FALSE)</f>
        <v>odd</v>
      </c>
      <c r="I28" s="16" t="str">
        <f>[1]!wwsCheckBox(D28,22,FALSE)</f>
        <v>ode</v>
      </c>
      <c r="J28" s="18" t="str">
        <f t="shared" si="3"/>
        <v>YES</v>
      </c>
      <c r="K28" s="17">
        <f t="shared" si="7"/>
        <v>1</v>
      </c>
      <c r="L28" s="4">
        <f t="shared" si="8"/>
        <v>1</v>
      </c>
      <c r="M28" s="4">
        <f t="shared" si="9"/>
        <v>0</v>
      </c>
    </row>
    <row r="29" spans="3:13" ht="30" customHeight="1">
      <c r="C29" s="38" t="s">
        <v>82</v>
      </c>
      <c r="D29" s="38" t="s">
        <v>83</v>
      </c>
      <c r="E29" s="35" t="s">
        <v>83</v>
      </c>
      <c r="F29" s="19">
        <v>22</v>
      </c>
      <c r="G29" s="22" t="s">
        <v>102</v>
      </c>
      <c r="H29" s="16" t="str">
        <f>[1]!wwsCheckBox(C29,23,FALSE)</f>
        <v>hop</v>
      </c>
      <c r="I29" s="16" t="str">
        <f>[1]!wwsCheckBox(D29,23,FALSE)</f>
        <v>hope</v>
      </c>
      <c r="J29" s="18" t="str">
        <f t="shared" si="3"/>
        <v>YES</v>
      </c>
      <c r="K29" s="17">
        <f t="shared" si="7"/>
        <v>1</v>
      </c>
      <c r="L29" s="4">
        <f t="shared" si="8"/>
        <v>0</v>
      </c>
      <c r="M29" s="4">
        <f t="shared" si="9"/>
        <v>1</v>
      </c>
    </row>
    <row r="30" spans="3:13" ht="30" customHeight="1">
      <c r="C30" s="38" t="s">
        <v>84</v>
      </c>
      <c r="D30" s="38" t="s">
        <v>85</v>
      </c>
      <c r="E30" s="35" t="s">
        <v>85</v>
      </c>
      <c r="F30" s="19">
        <v>23</v>
      </c>
      <c r="G30" s="22" t="s">
        <v>102</v>
      </c>
      <c r="H30" s="16" t="str">
        <f>[1]!wwsCheckBox(C30,24,FALSE)</f>
        <v>note</v>
      </c>
      <c r="I30" s="16" t="str">
        <f>[1]!wwsCheckBox(D30,24,FALSE)</f>
        <v>not</v>
      </c>
      <c r="J30" s="18" t="str">
        <f t="shared" si="3"/>
        <v>YES</v>
      </c>
      <c r="K30" s="17"/>
      <c r="L30" s="4"/>
      <c r="M30" s="4"/>
    </row>
    <row r="31" spans="3:13" ht="30" customHeight="1">
      <c r="C31" s="38" t="s">
        <v>86</v>
      </c>
      <c r="D31" s="38" t="s">
        <v>87</v>
      </c>
      <c r="E31" s="35" t="s">
        <v>86</v>
      </c>
      <c r="F31" s="19">
        <v>24</v>
      </c>
      <c r="G31" s="22" t="s">
        <v>102</v>
      </c>
      <c r="H31" s="16" t="str">
        <f>[1]!wwsCheckBox(C31,25,FALSE)</f>
        <v>node</v>
      </c>
      <c r="I31" s="16" t="str">
        <f>[1]!wwsCheckBox(D31,25,FALSE)</f>
        <v>nod</v>
      </c>
      <c r="J31" s="18" t="str">
        <f t="shared" si="3"/>
        <v>YES</v>
      </c>
      <c r="K31" s="17">
        <f>IF(J34="YES",1,0)</f>
        <v>1</v>
      </c>
      <c r="L31" s="4">
        <f>IF(E34=H34,1,0)</f>
        <v>0</v>
      </c>
      <c r="M31" s="4">
        <f>IF(E34=I34,1,0)</f>
        <v>1</v>
      </c>
    </row>
    <row r="32" spans="3:13" ht="30" customHeight="1">
      <c r="C32" s="38" t="s">
        <v>88</v>
      </c>
      <c r="D32" s="38" t="s">
        <v>89</v>
      </c>
      <c r="E32" s="35" t="s">
        <v>89</v>
      </c>
      <c r="F32" s="19">
        <v>25</v>
      </c>
      <c r="G32" s="22" t="s">
        <v>102</v>
      </c>
      <c r="H32" s="16" t="str">
        <f>[1]!wwsCheckBox(C32,26,FALSE)</f>
        <v>tote</v>
      </c>
      <c r="I32" s="16" t="str">
        <f>[1]!wwsCheckBox(D32,26,FALSE)</f>
        <v>tot</v>
      </c>
      <c r="J32" s="18" t="str">
        <f t="shared" si="3"/>
        <v>YES</v>
      </c>
      <c r="K32" s="17"/>
      <c r="L32" s="4"/>
      <c r="M32" s="4"/>
    </row>
    <row r="33" spans="3:14" ht="12.6" customHeight="1">
      <c r="C33" s="38"/>
      <c r="D33" s="38"/>
      <c r="E33" s="35"/>
      <c r="F33" s="19"/>
      <c r="G33" s="22"/>
      <c r="H33" s="16"/>
      <c r="I33" s="16"/>
      <c r="J33" s="18" t="str">
        <f t="shared" si="3"/>
        <v/>
      </c>
      <c r="K33" s="17">
        <f>IF(J36="YES",1,0)</f>
        <v>1</v>
      </c>
      <c r="L33" s="4">
        <f>IF(E36=H36,1,0)</f>
        <v>0</v>
      </c>
      <c r="M33" s="4">
        <f>IF(E36=I36,1,0)</f>
        <v>1</v>
      </c>
    </row>
    <row r="34" spans="3:14" ht="30" customHeight="1">
      <c r="C34" s="38" t="s">
        <v>90</v>
      </c>
      <c r="D34" s="38" t="s">
        <v>91</v>
      </c>
      <c r="E34" s="35" t="s">
        <v>91</v>
      </c>
      <c r="F34" s="19">
        <v>26</v>
      </c>
      <c r="G34" s="22" t="s">
        <v>102</v>
      </c>
      <c r="H34" s="16" t="str">
        <f>[1]!wwsCheckBox(C34,28,FALSE)</f>
        <v>mutt</v>
      </c>
      <c r="I34" s="16" t="str">
        <f>[1]!wwsCheckBox(D34,28,FALSE)</f>
        <v>mute</v>
      </c>
      <c r="J34" s="18" t="str">
        <f t="shared" si="3"/>
        <v>YES</v>
      </c>
      <c r="K34" s="17"/>
      <c r="L34" s="4"/>
      <c r="M34" s="4"/>
    </row>
    <row r="35" spans="3:14" ht="12.6" customHeight="1">
      <c r="C35" s="38"/>
      <c r="D35" s="38"/>
      <c r="E35" s="35"/>
      <c r="F35" s="19"/>
      <c r="G35" s="22"/>
      <c r="H35" s="16"/>
      <c r="I35" s="16"/>
      <c r="J35" s="18" t="str">
        <f t="shared" si="3"/>
        <v/>
      </c>
      <c r="K35" s="17">
        <f>IF(J38="YES",1,0)</f>
        <v>1</v>
      </c>
      <c r="L35" s="4">
        <f>IF(E38=H38,1,0)</f>
        <v>0</v>
      </c>
      <c r="M35" s="4">
        <f>IF(E38=I38,1,0)</f>
        <v>1</v>
      </c>
    </row>
    <row r="36" spans="3:14" ht="30" customHeight="1">
      <c r="C36" s="38" t="s">
        <v>92</v>
      </c>
      <c r="D36" s="38" t="s">
        <v>93</v>
      </c>
      <c r="E36" s="35" t="s">
        <v>93</v>
      </c>
      <c r="F36" s="19">
        <v>27</v>
      </c>
      <c r="G36" s="22" t="s">
        <v>102</v>
      </c>
      <c r="H36" s="16" t="str">
        <f>[1]!wwsCheckBox(C36,30,FALSE)</f>
        <v>tub</v>
      </c>
      <c r="I36" s="16" t="str">
        <f>[1]!wwsCheckBox(D36,30,FALSE)</f>
        <v>tube</v>
      </c>
      <c r="J36" s="18" t="str">
        <f t="shared" si="3"/>
        <v>YES</v>
      </c>
      <c r="K36" s="17">
        <f>IF(J39="YES",1,0)</f>
        <v>1</v>
      </c>
      <c r="L36" s="4">
        <f>IF(E39=H39,1,0)</f>
        <v>1</v>
      </c>
      <c r="M36" s="4">
        <f>IF(E39=I39,1,0)</f>
        <v>0</v>
      </c>
    </row>
    <row r="37" spans="3:14" ht="12.6" customHeight="1">
      <c r="C37" s="38"/>
      <c r="D37" s="38"/>
      <c r="E37" s="35"/>
      <c r="F37" s="19"/>
      <c r="G37" s="22"/>
      <c r="H37" s="16"/>
      <c r="I37" s="16"/>
      <c r="J37" s="18" t="str">
        <f t="shared" si="3"/>
        <v/>
      </c>
      <c r="K37" s="17">
        <f>IF(J40="YES",1,0)</f>
        <v>1</v>
      </c>
      <c r="L37" s="4">
        <f>IF(E40=H40,1,0)</f>
        <v>0</v>
      </c>
      <c r="M37" s="4">
        <f>IF(E40=I40,1,0)</f>
        <v>1</v>
      </c>
    </row>
    <row r="38" spans="3:14" ht="30.6" customHeight="1">
      <c r="C38" s="38" t="s">
        <v>94</v>
      </c>
      <c r="D38" s="38" t="s">
        <v>95</v>
      </c>
      <c r="E38" s="35" t="s">
        <v>95</v>
      </c>
      <c r="F38" s="19">
        <v>28</v>
      </c>
      <c r="G38" s="22" t="s">
        <v>102</v>
      </c>
      <c r="H38" s="16" t="str">
        <f>[1]!wwsCheckBox(C38,31,FALSE)</f>
        <v>meet</v>
      </c>
      <c r="I38" s="16" t="str">
        <f>[1]!wwsCheckBox(D38,31,FALSE)</f>
        <v>met</v>
      </c>
      <c r="J38" s="18" t="str">
        <f t="shared" si="3"/>
        <v>YES</v>
      </c>
      <c r="K38" s="17">
        <f>IF(J41="YES",1,0)</f>
        <v>1</v>
      </c>
      <c r="L38" s="4">
        <f>IF(E41=H41,1,0)</f>
        <v>1</v>
      </c>
      <c r="M38" s="4">
        <f>IF(E41=I41,1,0)</f>
        <v>0</v>
      </c>
    </row>
    <row r="39" spans="3:14" ht="30.6" customHeight="1">
      <c r="C39" s="38" t="s">
        <v>96</v>
      </c>
      <c r="D39" s="38" t="s">
        <v>97</v>
      </c>
      <c r="E39" s="35" t="s">
        <v>96</v>
      </c>
      <c r="F39" s="19">
        <v>29</v>
      </c>
      <c r="G39" s="22" t="s">
        <v>102</v>
      </c>
      <c r="H39" s="16" t="str">
        <f>[1]!wwsCheckBox(C39,32,FALSE)</f>
        <v>beet</v>
      </c>
      <c r="I39" s="16" t="str">
        <f>[1]!wwsCheckBox(D39,32,FALSE)</f>
        <v>bet</v>
      </c>
      <c r="J39" s="18" t="str">
        <f t="shared" si="3"/>
        <v>YES</v>
      </c>
      <c r="K39" s="17"/>
      <c r="L39" s="4"/>
      <c r="M39" s="4"/>
      <c r="N39" t="s">
        <v>14</v>
      </c>
    </row>
    <row r="40" spans="3:14">
      <c r="C40" s="38" t="s">
        <v>98</v>
      </c>
      <c r="D40" s="38" t="s">
        <v>99</v>
      </c>
      <c r="E40" s="35" t="s">
        <v>99</v>
      </c>
      <c r="F40" s="19">
        <v>30</v>
      </c>
      <c r="G40" s="22" t="s">
        <v>102</v>
      </c>
      <c r="H40" s="16" t="str">
        <f>[1]!wwsCheckBox(C40,33,FALSE)</f>
        <v>ten</v>
      </c>
      <c r="I40" s="16" t="str">
        <f>[1]!wwsCheckBox(D40,33,FALSE)</f>
        <v>teen</v>
      </c>
      <c r="J40" s="18" t="str">
        <f t="shared" si="3"/>
        <v>YES</v>
      </c>
      <c r="K40" s="17"/>
    </row>
    <row r="41" spans="3:14">
      <c r="C41" s="38" t="s">
        <v>100</v>
      </c>
      <c r="D41" s="38" t="s">
        <v>101</v>
      </c>
      <c r="E41" s="35" t="s">
        <v>100</v>
      </c>
      <c r="F41" s="19">
        <v>31</v>
      </c>
      <c r="G41" s="22" t="s">
        <v>102</v>
      </c>
      <c r="H41" s="16" t="str">
        <f>[1]!wwsCheckBox(C41,34,FALSE)</f>
        <v>pep</v>
      </c>
      <c r="I41" s="16" t="str">
        <f>[1]!wwsCheckBox(D41,34,FALSE)</f>
        <v>peep</v>
      </c>
      <c r="J41" s="18" t="str">
        <f t="shared" si="3"/>
        <v>YES</v>
      </c>
      <c r="K41" s="17"/>
    </row>
    <row r="42" spans="3:14">
      <c r="C42" s="38"/>
      <c r="D42" s="38"/>
    </row>
    <row r="43" spans="3:14">
      <c r="C43" s="38"/>
      <c r="D43" s="38"/>
    </row>
    <row r="44" spans="3:14">
      <c r="C44" s="38"/>
      <c r="D44" s="38"/>
    </row>
  </sheetData>
  <conditionalFormatting sqref="G9">
    <cfRule type="expression" dxfId="4" priority="14">
      <formula>"$B$6=5"</formula>
    </cfRule>
  </conditionalFormatting>
  <conditionalFormatting sqref="B5:B6 C8:D9">
    <cfRule type="cellIs" dxfId="3" priority="9" operator="equal">
      <formula>5</formula>
    </cfRule>
  </conditionalFormatting>
  <conditionalFormatting sqref="H9:I9">
    <cfRule type="expression" dxfId="2" priority="7">
      <formula>"$B$6=5"</formula>
    </cfRule>
  </conditionalFormatting>
  <conditionalFormatting sqref="G8">
    <cfRule type="expression" dxfId="1" priority="3">
      <formula>"$B$6=5"</formula>
    </cfRule>
  </conditionalFormatting>
  <conditionalFormatting sqref="H8:I8">
    <cfRule type="expression" dxfId="0" priority="1">
      <formula>"$B$6=5"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BPDTMN spoken</vt:lpstr>
      <vt:lpstr>Short-long pairs aeiou</vt:lpstr>
      <vt:lpstr>BPDTMN US Female</vt:lpstr>
      <vt:lpstr>error counting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2019-08-30T19:01:28Z</dcterms:created>
  <dcterms:modified xsi:type="dcterms:W3CDTF">2020-07-30T19:55:12Z</dcterms:modified>
</cp:coreProperties>
</file>