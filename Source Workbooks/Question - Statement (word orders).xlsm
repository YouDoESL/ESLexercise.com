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A9F3AB68-8737-426A-86D1-68B8AEE678B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Verb Forms 3" sheetId="2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0" i="2" l="1"/>
  <c r="E9" i="2"/>
  <c r="G29" i="2"/>
  <c r="G27" i="2"/>
  <c r="G25" i="2"/>
  <c r="G23" i="2"/>
  <c r="G21" i="2"/>
  <c r="G18" i="2"/>
  <c r="G16" i="2"/>
  <c r="G14" i="2"/>
  <c r="D28" i="2"/>
  <c r="D26" i="2"/>
  <c r="D24" i="2"/>
  <c r="D22" i="2"/>
  <c r="D20" i="2"/>
  <c r="D19" i="2"/>
  <c r="D17" i="2"/>
  <c r="D15" i="2"/>
  <c r="D13" i="2"/>
  <c r="G12" i="2"/>
  <c r="D11" i="2"/>
  <c r="H28" i="2" l="1"/>
  <c r="H26" i="2"/>
  <c r="H24" i="2"/>
  <c r="H22" i="2"/>
  <c r="H20" i="2"/>
  <c r="H19" i="2"/>
  <c r="H17" i="2"/>
  <c r="H15" i="2"/>
  <c r="H13" i="2"/>
  <c r="H11" i="2"/>
  <c r="B29" i="2"/>
  <c r="B27" i="2"/>
  <c r="B25" i="2"/>
  <c r="B23" i="2"/>
  <c r="B21" i="2"/>
  <c r="B16" i="2"/>
  <c r="B14" i="2"/>
  <c r="B10" i="2"/>
  <c r="E29" i="2"/>
  <c r="H29" i="2"/>
  <c r="H27" i="2"/>
  <c r="E27" i="2"/>
  <c r="A27" i="2" s="1"/>
  <c r="E25" i="2"/>
  <c r="H25" i="2"/>
  <c r="H23" i="2"/>
  <c r="E23" i="2"/>
  <c r="H21" i="2"/>
  <c r="E21" i="2"/>
  <c r="A21" i="2" s="1"/>
  <c r="E18" i="2"/>
  <c r="H18" i="2"/>
  <c r="E16" i="2"/>
  <c r="A16" i="2" s="1"/>
  <c r="H16" i="2"/>
  <c r="H14" i="2"/>
  <c r="E14" i="2"/>
  <c r="A14" i="2" s="1"/>
  <c r="E28" i="2"/>
  <c r="B28" i="2"/>
  <c r="E26" i="2"/>
  <c r="B26" i="2"/>
  <c r="E24" i="2"/>
  <c r="B24" i="2"/>
  <c r="B22" i="2"/>
  <c r="E22" i="2"/>
  <c r="E20" i="2"/>
  <c r="B20" i="2"/>
  <c r="B19" i="2"/>
  <c r="E19" i="2"/>
  <c r="A19" i="2" s="1"/>
  <c r="E17" i="2"/>
  <c r="A17" i="2" s="1"/>
  <c r="B17" i="2"/>
  <c r="B15" i="2"/>
  <c r="E15" i="2"/>
  <c r="A15" i="2" s="1"/>
  <c r="E13" i="2"/>
  <c r="A13" i="2" s="1"/>
  <c r="B13" i="2"/>
  <c r="E12" i="2"/>
  <c r="A12" i="2" s="1"/>
  <c r="H12" i="2"/>
  <c r="B11" i="2"/>
  <c r="E11" i="2"/>
  <c r="A11" i="2" s="1"/>
  <c r="E10" i="2"/>
  <c r="A10" i="2" s="1"/>
  <c r="H10" i="2"/>
  <c r="B18" i="2"/>
  <c r="B12" i="2"/>
  <c r="A26" i="2" l="1"/>
  <c r="A22" i="2"/>
  <c r="A20" i="2"/>
  <c r="A25" i="2"/>
  <c r="A24" i="2"/>
  <c r="A23" i="2"/>
  <c r="A18" i="2"/>
  <c r="A28" i="2"/>
  <c r="A29" i="2"/>
  <c r="D30" i="2" l="1"/>
</calcChain>
</file>

<file path=xl/sharedStrings.xml><?xml version="1.0" encoding="utf-8"?>
<sst xmlns="http://schemas.openxmlformats.org/spreadsheetml/2006/main" count="49" uniqueCount="29">
  <si>
    <t>It will end tomorrow.</t>
  </si>
  <si>
    <t>It will be here.</t>
  </si>
  <si>
    <t>Howard Area Community Center -- ESL3</t>
  </si>
  <si>
    <t>#end</t>
  </si>
  <si>
    <t>Student's name:</t>
  </si>
  <si>
    <t>√</t>
  </si>
  <si>
    <t xml:space="preserve"> CORRECT</t>
  </si>
  <si>
    <t>Verb Forms</t>
  </si>
  <si>
    <t>Is she a teacher?</t>
  </si>
  <si>
    <t>Will we be there soon?</t>
  </si>
  <si>
    <t>Can you help me?</t>
  </si>
  <si>
    <t>Could I find a better book?</t>
  </si>
  <si>
    <t>Where will you go?</t>
  </si>
  <si>
    <t>No, she is not a teacher.</t>
  </si>
  <si>
    <t>Yes, we will be there soon.</t>
  </si>
  <si>
    <t>No, I can not help you.</t>
  </si>
  <si>
    <t>No, you should not go.</t>
  </si>
  <si>
    <t>Should I go?</t>
  </si>
  <si>
    <t>Yes, you could find a better book.</t>
  </si>
  <si>
    <t>When will it end?</t>
  </si>
  <si>
    <t>Where will it be?</t>
  </si>
  <si>
    <t>Is the man here?</t>
  </si>
  <si>
    <t>No, he is not here.</t>
  </si>
  <si>
    <t>We will go to the store.</t>
  </si>
  <si>
    <t>No, I didn't drive a car.</t>
  </si>
  <si>
    <t>Did you drive a car?</t>
  </si>
  <si>
    <t>Then FIX the one that was wrong.</t>
  </si>
  <si>
    <r>
      <t xml:space="preserve">Mark "x" next to the QUESTION if it has a </t>
    </r>
    <r>
      <rPr>
        <u/>
        <sz val="16"/>
        <color theme="1"/>
        <rFont val="Calibri"/>
        <family val="2"/>
        <scheme val="minor"/>
      </rPr>
      <t>mistake.</t>
    </r>
    <r>
      <rPr>
        <sz val="16"/>
        <color theme="1"/>
        <rFont val="Calibri"/>
        <family val="2"/>
        <scheme val="minor"/>
      </rPr>
      <t xml:space="preserve"> </t>
    </r>
  </si>
  <si>
    <r>
      <t xml:space="preserve">Mark "x" next to the ANSWER if it has a </t>
    </r>
    <r>
      <rPr>
        <u/>
        <sz val="16"/>
        <color theme="1"/>
        <rFont val="Calibri"/>
        <family val="2"/>
        <scheme val="minor"/>
      </rPr>
      <t>mistake.</t>
    </r>
    <r>
      <rPr>
        <sz val="16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</si>
</sst>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Times New Roman"/>
      <family val="1"/>
    </font>
    <font>
      <sz val="11"/>
      <color theme="0"/>
      <name val="Calibri"/>
      <family val="2"/>
    </font>
    <font>
      <sz val="16"/>
      <color theme="1"/>
      <name val="Times New Roman"/>
      <family val="1"/>
    </font>
    <font>
      <sz val="16"/>
      <name val="Times New Roman"/>
      <family val="1"/>
    </font>
    <font>
      <u/>
      <sz val="18"/>
      <name val="Calibri"/>
      <family val="2"/>
      <scheme val="minor"/>
    </font>
    <font>
      <u/>
      <sz val="16"/>
      <color theme="0"/>
      <name val="Times New Roman"/>
      <family val="1"/>
    </font>
    <font>
      <sz val="15"/>
      <color rgb="FF00B050"/>
      <name val="Times New Roman"/>
      <family val="1"/>
    </font>
    <font>
      <u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0" xfId="0" applyFont="1" applyProtection="1"/>
    <xf numFmtId="0" fontId="1" fillId="3" borderId="0" xfId="0" applyFont="1" applyFill="1" applyProtection="1"/>
    <xf numFmtId="0" fontId="3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/>
    <xf numFmtId="0" fontId="3" fillId="3" borderId="0" xfId="0" applyFont="1" applyFill="1"/>
    <xf numFmtId="0" fontId="6" fillId="3" borderId="1" xfId="0" applyFont="1" applyFill="1" applyBorder="1" applyProtection="1">
      <protection locked="0"/>
    </xf>
    <xf numFmtId="0" fontId="1" fillId="3" borderId="0" xfId="0" applyFont="1" applyFill="1" applyAlignment="1">
      <alignment horizontal="right"/>
    </xf>
    <xf numFmtId="0" fontId="3" fillId="3" borderId="0" xfId="0" applyFont="1" applyFill="1" applyBorder="1"/>
    <xf numFmtId="0" fontId="3" fillId="3" borderId="0" xfId="0" applyFon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4" fillId="3" borderId="0" xfId="0" applyFont="1" applyFill="1" applyAlignment="1" applyProtection="1">
      <alignment horizontal="left"/>
    </xf>
    <xf numFmtId="0" fontId="3" fillId="3" borderId="0" xfId="0" applyFont="1" applyFill="1" applyAlignment="1">
      <alignment horizontal="left"/>
    </xf>
    <xf numFmtId="0" fontId="8" fillId="2" borderId="1" xfId="0" applyFont="1" applyFill="1" applyBorder="1" applyAlignment="1" applyProtection="1">
      <alignment vertical="center" wrapText="1"/>
      <protection locked="0"/>
    </xf>
    <xf numFmtId="0" fontId="8" fillId="2" borderId="1" xfId="0" applyFont="1" applyFill="1" applyBorder="1" applyAlignment="1" applyProtection="1">
      <alignment vertical="center" wrapText="1"/>
    </xf>
    <xf numFmtId="0" fontId="4" fillId="3" borderId="0" xfId="0" applyFont="1" applyFill="1" applyAlignment="1" applyProtection="1">
      <alignment horizontal="center"/>
    </xf>
    <xf numFmtId="0" fontId="13" fillId="2" borderId="2" xfId="0" applyFont="1" applyFill="1" applyBorder="1" applyAlignment="1" applyProtection="1">
      <alignment vertical="center" wrapText="1"/>
      <protection locked="0"/>
    </xf>
    <xf numFmtId="0" fontId="13" fillId="2" borderId="3" xfId="0" applyFont="1" applyFill="1" applyBorder="1" applyAlignment="1" applyProtection="1">
      <alignment vertical="center" wrapText="1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4" fillId="3" borderId="0" xfId="0" applyFont="1" applyFill="1" applyAlignment="1" applyProtection="1">
      <alignment horizontal="center"/>
    </xf>
    <xf numFmtId="0" fontId="15" fillId="3" borderId="0" xfId="0" applyFont="1" applyFill="1" applyAlignment="1" applyProtection="1">
      <alignment horizontal="center"/>
    </xf>
    <xf numFmtId="0" fontId="11" fillId="3" borderId="0" xfId="0" applyFont="1" applyFill="1" applyBorder="1" applyAlignment="1" applyProtection="1">
      <alignment vertical="center" wrapText="1"/>
    </xf>
    <xf numFmtId="0" fontId="3" fillId="3" borderId="0" xfId="0" applyFont="1" applyFill="1" applyProtection="1"/>
    <xf numFmtId="0" fontId="0" fillId="3" borderId="0" xfId="0" applyFont="1" applyFill="1" applyProtection="1"/>
    <xf numFmtId="0" fontId="0" fillId="3" borderId="0" xfId="0" applyFont="1" applyFill="1"/>
    <xf numFmtId="0" fontId="11" fillId="3" borderId="0" xfId="0" applyFont="1" applyFill="1" applyBorder="1" applyAlignment="1" applyProtection="1">
      <alignment vertical="center"/>
    </xf>
    <xf numFmtId="0" fontId="17" fillId="3" borderId="1" xfId="0" applyFont="1" applyFill="1" applyBorder="1" applyAlignment="1" applyProtection="1">
      <alignment vertical="center" wrapText="1"/>
    </xf>
    <xf numFmtId="0" fontId="0" fillId="0" borderId="0" xfId="0" applyProtection="1"/>
    <xf numFmtId="0" fontId="1" fillId="3" borderId="0" xfId="0" applyFont="1" applyFill="1" applyBorder="1" applyProtection="1"/>
    <xf numFmtId="0" fontId="1" fillId="0" borderId="0" xfId="0" applyFont="1" applyProtection="1"/>
    <xf numFmtId="0" fontId="1" fillId="3" borderId="0" xfId="0" applyFont="1" applyFill="1" applyAlignment="1" applyProtection="1">
      <alignment horizontal="right"/>
    </xf>
    <xf numFmtId="0" fontId="6" fillId="0" borderId="0" xfId="0" applyFont="1" applyAlignment="1" applyProtection="1">
      <alignment horizontal="left"/>
    </xf>
    <xf numFmtId="0" fontId="12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10" fillId="3" borderId="0" xfId="0" applyFont="1" applyFill="1" applyBorder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5" fillId="3" borderId="0" xfId="0" applyFont="1" applyFill="1" applyAlignment="1" applyProtection="1">
      <alignment horizontal="left"/>
    </xf>
    <xf numFmtId="0" fontId="10" fillId="3" borderId="0" xfId="0" applyFont="1" applyFill="1" applyBorder="1" applyProtection="1"/>
    <xf numFmtId="0" fontId="3" fillId="3" borderId="0" xfId="0" applyFont="1" applyFill="1" applyAlignment="1" applyProtection="1">
      <alignment horizontal="left"/>
    </xf>
    <xf numFmtId="0" fontId="10" fillId="0" borderId="0" xfId="0" applyFont="1" applyProtection="1"/>
    <xf numFmtId="0" fontId="10" fillId="3" borderId="0" xfId="0" applyFont="1" applyFill="1" applyAlignment="1" applyProtection="1">
      <alignment horizontal="right"/>
    </xf>
    <xf numFmtId="0" fontId="9" fillId="0" borderId="0" xfId="0" applyFont="1" applyProtection="1"/>
    <xf numFmtId="0" fontId="13" fillId="3" borderId="2" xfId="0" applyFont="1" applyFill="1" applyBorder="1" applyAlignment="1" applyProtection="1">
      <alignment horizontal="right" vertical="center" wrapText="1"/>
    </xf>
    <xf numFmtId="0" fontId="14" fillId="3" borderId="0" xfId="0" applyFont="1" applyFill="1" applyAlignment="1" applyProtection="1">
      <alignment horizontal="left" vertical="center" wrapText="1"/>
    </xf>
    <xf numFmtId="0" fontId="16" fillId="3" borderId="0" xfId="0" applyFont="1" applyFill="1" applyBorder="1" applyAlignment="1" applyProtection="1">
      <alignment vertical="center" wrapText="1"/>
    </xf>
    <xf numFmtId="0" fontId="11" fillId="0" borderId="0" xfId="0" applyFont="1" applyProtection="1"/>
    <xf numFmtId="0" fontId="8" fillId="0" borderId="0" xfId="0" applyFont="1" applyAlignment="1" applyProtection="1">
      <alignment horizontal="right"/>
    </xf>
    <xf numFmtId="0" fontId="11" fillId="3" borderId="0" xfId="0" applyFont="1" applyFill="1" applyBorder="1" applyProtection="1"/>
    <xf numFmtId="0" fontId="6" fillId="0" borderId="0" xfId="0" applyFont="1" applyAlignment="1" applyProtection="1">
      <alignment horizontal="right"/>
    </xf>
    <xf numFmtId="0" fontId="11" fillId="3" borderId="0" xfId="0" applyFont="1" applyFill="1" applyBorder="1" applyAlignment="1" applyProtection="1">
      <alignment horizontal="left"/>
    </xf>
    <xf numFmtId="0" fontId="11" fillId="3" borderId="0" xfId="0" applyFont="1" applyFill="1" applyAlignment="1" applyProtection="1">
      <alignment horizontal="left"/>
    </xf>
    <xf numFmtId="9" fontId="5" fillId="3" borderId="5" xfId="1" applyFont="1" applyFill="1" applyBorder="1" applyAlignment="1" applyProtection="1">
      <alignment horizontal="right"/>
    </xf>
    <xf numFmtId="9" fontId="9" fillId="3" borderId="0" xfId="1" applyFont="1" applyFill="1" applyAlignment="1" applyProtection="1">
      <alignment horizontal="left"/>
    </xf>
    <xf numFmtId="0" fontId="10" fillId="3" borderId="0" xfId="0" applyFont="1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>
      <alignment vertical="center" wrapText="1"/>
    </xf>
    <xf numFmtId="0" fontId="2" fillId="3" borderId="0" xfId="0" applyFont="1" applyFill="1" applyAlignment="1" applyProtection="1">
      <alignment horizontal="left" vertical="center" wrapText="1"/>
    </xf>
    <xf numFmtId="0" fontId="3" fillId="3" borderId="0" xfId="0" applyFont="1" applyFill="1" applyBorder="1" applyProtection="1"/>
  </cellXfs>
  <cellStyles count="2">
    <cellStyle name="Normal" xfId="0" builtinId="0"/>
    <cellStyle name="Percent" xfId="1" builtinId="5"/>
  </cellStyles>
  <dxfs count="32"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1"/>
      </font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</dxf>
    <dxf>
      <font>
        <color theme="0"/>
      </font>
      <fill>
        <patternFill>
          <fgColor theme="0"/>
          <bgColor theme="5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</patternFill>
      </fill>
    </dxf>
    <dxf>
      <font>
        <b val="0"/>
        <i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8A338-B972-4256-90E5-E4B160978BE7}">
  <dimension ref="A1:BV89"/>
  <sheetViews>
    <sheetView showGridLines="0" tabSelected="1" workbookViewId="0">
      <selection activeCell="C10" sqref="C10"/>
    </sheetView>
  </sheetViews>
  <sheetFormatPr defaultRowHeight="14.4" x14ac:dyDescent="0.3"/>
  <cols>
    <col min="1" max="1" width="3.109375" style="1" customWidth="1"/>
    <col min="2" max="2" width="11.21875" style="9" customWidth="1"/>
    <col min="3" max="3" width="3.6640625" customWidth="1"/>
    <col min="4" max="4" width="31" customWidth="1"/>
    <col min="5" max="5" width="3.44140625" style="26" customWidth="1"/>
    <col min="6" max="6" width="3.33203125" customWidth="1"/>
    <col min="7" max="7" width="37.33203125" customWidth="1"/>
    <col min="8" max="8" width="10.88671875" style="14" customWidth="1"/>
    <col min="9" max="9" width="50" style="7" customWidth="1"/>
    <col min="10" max="10" width="3.77734375" style="1" customWidth="1"/>
    <col min="12" max="12" width="3.109375" customWidth="1"/>
  </cols>
  <sheetData>
    <row r="1" spans="1:74" ht="18" customHeight="1" x14ac:dyDescent="0.3">
      <c r="A1" s="3"/>
      <c r="B1" s="3"/>
      <c r="C1" s="3"/>
      <c r="D1" s="4"/>
      <c r="E1" s="5"/>
      <c r="F1" s="6"/>
      <c r="G1" s="2"/>
      <c r="H1" s="12"/>
      <c r="I1" s="24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</row>
    <row r="2" spans="1:74" ht="18" customHeight="1" x14ac:dyDescent="0.45">
      <c r="A2" s="3"/>
      <c r="B2" s="3"/>
      <c r="C2" s="21" t="s">
        <v>2</v>
      </c>
      <c r="D2" s="21"/>
      <c r="E2" s="21"/>
      <c r="F2" s="21"/>
      <c r="G2" s="21"/>
      <c r="H2" s="13"/>
      <c r="I2" s="17"/>
      <c r="J2" s="30"/>
      <c r="K2" s="30"/>
      <c r="L2" s="30"/>
      <c r="M2" s="30"/>
      <c r="N2" s="30"/>
      <c r="O2" s="30"/>
      <c r="P2" s="30"/>
      <c r="Q2" s="30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</row>
    <row r="3" spans="1:74" ht="7.2" customHeight="1" x14ac:dyDescent="0.45">
      <c r="A3" s="3"/>
      <c r="B3" s="3"/>
      <c r="C3" s="17"/>
      <c r="D3" s="29"/>
      <c r="E3" s="25"/>
      <c r="F3" s="29"/>
      <c r="G3" s="29"/>
      <c r="H3" s="13"/>
      <c r="I3" s="17"/>
      <c r="J3" s="30"/>
      <c r="K3" s="30"/>
      <c r="L3" s="30"/>
      <c r="M3" s="30"/>
      <c r="N3" s="30"/>
      <c r="O3" s="30"/>
      <c r="P3" s="30"/>
      <c r="Q3" s="30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</row>
    <row r="4" spans="1:74" ht="23.4" x14ac:dyDescent="0.45">
      <c r="A4" s="31"/>
      <c r="B4" s="32"/>
      <c r="C4" s="29"/>
      <c r="D4" s="22" t="s">
        <v>7</v>
      </c>
      <c r="E4" s="22"/>
      <c r="F4" s="22"/>
      <c r="G4" s="22"/>
      <c r="H4" s="33"/>
      <c r="I4" s="34" t="s">
        <v>5</v>
      </c>
      <c r="J4" s="30"/>
      <c r="K4" s="30"/>
      <c r="L4" s="30"/>
      <c r="M4" s="30"/>
      <c r="N4" s="30"/>
      <c r="O4" s="30"/>
      <c r="P4" s="30"/>
      <c r="Q4" s="30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</row>
    <row r="5" spans="1:74" ht="21" x14ac:dyDescent="0.4">
      <c r="A5" s="31"/>
      <c r="B5" s="35" t="s">
        <v>27</v>
      </c>
      <c r="C5" s="35"/>
      <c r="D5" s="35"/>
      <c r="E5" s="35"/>
      <c r="F5" s="35"/>
      <c r="G5" s="35"/>
      <c r="H5" s="35"/>
      <c r="I5" s="36"/>
      <c r="J5" s="37"/>
      <c r="K5" s="30"/>
      <c r="L5" s="30"/>
      <c r="M5" s="30"/>
      <c r="N5" s="30"/>
      <c r="O5" s="30"/>
      <c r="P5" s="30"/>
      <c r="Q5" s="30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</row>
    <row r="6" spans="1:74" ht="21" x14ac:dyDescent="0.4">
      <c r="A6" s="31"/>
      <c r="B6" s="38"/>
      <c r="C6" s="38"/>
      <c r="D6" s="35" t="s">
        <v>28</v>
      </c>
      <c r="E6" s="35"/>
      <c r="F6" s="35"/>
      <c r="G6" s="35"/>
      <c r="H6" s="38"/>
      <c r="I6" s="36"/>
      <c r="J6" s="37"/>
      <c r="K6" s="30"/>
      <c r="L6" s="30"/>
      <c r="M6" s="30"/>
      <c r="N6" s="30"/>
      <c r="O6" s="30"/>
      <c r="P6" s="30"/>
      <c r="Q6" s="30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</row>
    <row r="7" spans="1:74" ht="21" x14ac:dyDescent="0.4">
      <c r="A7" s="31"/>
      <c r="B7" s="32"/>
      <c r="C7" s="35" t="s">
        <v>26</v>
      </c>
      <c r="D7" s="35"/>
      <c r="E7" s="35"/>
      <c r="F7" s="35"/>
      <c r="G7" s="35"/>
      <c r="H7" s="39"/>
      <c r="I7" s="36"/>
      <c r="J7" s="40"/>
      <c r="K7" s="30"/>
      <c r="L7" s="30"/>
      <c r="M7" s="30"/>
      <c r="N7" s="30"/>
      <c r="O7" s="30"/>
      <c r="P7" s="30"/>
      <c r="Q7" s="30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</row>
    <row r="8" spans="1:74" x14ac:dyDescent="0.3">
      <c r="A8" s="31"/>
      <c r="B8" s="32"/>
      <c r="C8" s="29"/>
      <c r="D8" s="29"/>
      <c r="E8" s="25"/>
      <c r="F8" s="29"/>
      <c r="G8" s="29"/>
      <c r="H8" s="41"/>
      <c r="I8" s="24"/>
      <c r="J8" s="30"/>
      <c r="K8" s="30"/>
      <c r="L8" s="30"/>
      <c r="M8" s="30"/>
      <c r="N8" s="30"/>
      <c r="O8" s="30"/>
      <c r="P8" s="30"/>
      <c r="Q8" s="30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</row>
    <row r="9" spans="1:74" ht="21" x14ac:dyDescent="0.4">
      <c r="A9" s="42"/>
      <c r="B9" s="43"/>
      <c r="C9" s="44"/>
      <c r="D9" s="45" t="s">
        <v>4</v>
      </c>
      <c r="E9" s="18" t="str">
        <f>[1]!wwsInput()</f>
        <v/>
      </c>
      <c r="F9" s="19"/>
      <c r="G9" s="20"/>
      <c r="H9" s="46"/>
      <c r="I9" s="47"/>
      <c r="J9" s="40"/>
      <c r="K9" s="40"/>
      <c r="L9" s="40"/>
      <c r="M9" s="30"/>
      <c r="N9" s="30"/>
      <c r="O9" s="30"/>
      <c r="P9" s="30"/>
      <c r="Q9" s="30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</row>
    <row r="10" spans="1:74" ht="19.2" x14ac:dyDescent="0.35">
      <c r="A10" s="48">
        <f>IF(E10=$I$4,1,0)</f>
        <v>0</v>
      </c>
      <c r="B10" s="49" t="str">
        <f t="shared" ref="B10:B16" si="0">IF(C10="x","It's good!","")</f>
        <v/>
      </c>
      <c r="C10" s="8"/>
      <c r="D10" s="16" t="s">
        <v>8</v>
      </c>
      <c r="E10" s="28" t="str">
        <f>IF(TRIM(PROPER(G10))=TRIM(PROPER(I10)),$I$4,"")</f>
        <v/>
      </c>
      <c r="F10" s="8"/>
      <c r="G10" s="15" t="str">
        <f>[1]!wwsInput("No, is she not a teacher.")</f>
        <v>No, is she not a teacher.</v>
      </c>
      <c r="H10" s="33" t="str">
        <f>IF(AND(G10&lt;&gt;I10,F10="x"),"Fix it!","")</f>
        <v/>
      </c>
      <c r="I10" s="23" t="s">
        <v>13</v>
      </c>
      <c r="J10" s="50"/>
      <c r="K10" s="50"/>
      <c r="L10" s="50"/>
      <c r="M10" s="30"/>
      <c r="N10" s="30"/>
      <c r="O10" s="30"/>
      <c r="P10" s="30"/>
      <c r="Q10" s="30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</row>
    <row r="11" spans="1:74" ht="19.2" x14ac:dyDescent="0.35">
      <c r="A11" s="48">
        <f t="shared" ref="A11:A29" si="1">IF(E11=$I$4,1,0)</f>
        <v>0</v>
      </c>
      <c r="B11" s="51" t="str">
        <f>IF(AND(D11&lt;&gt;I11,C11="x"),"Fix it!","")</f>
        <v/>
      </c>
      <c r="C11" s="8"/>
      <c r="D11" s="15" t="str">
        <f>[1]!wwsInput("Be we there soon?")</f>
        <v>Be we there soon?</v>
      </c>
      <c r="E11" s="28" t="str">
        <f>IF(TRIM(PROPER(D11))=TRIM(PROPER(I11)),$I$4,"")</f>
        <v/>
      </c>
      <c r="F11" s="8"/>
      <c r="G11" s="16" t="s">
        <v>14</v>
      </c>
      <c r="H11" s="33" t="str">
        <f>IF(F11="x","It's good!","")</f>
        <v/>
      </c>
      <c r="I11" s="52" t="s">
        <v>9</v>
      </c>
      <c r="J11" s="50"/>
      <c r="K11" s="50"/>
      <c r="L11" s="50"/>
      <c r="M11" s="30"/>
      <c r="N11" s="30"/>
      <c r="O11" s="30"/>
      <c r="P11" s="30"/>
      <c r="Q11" s="30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</row>
    <row r="12" spans="1:74" ht="19.2" x14ac:dyDescent="0.35">
      <c r="A12" s="48">
        <f t="shared" si="1"/>
        <v>0</v>
      </c>
      <c r="B12" s="49" t="str">
        <f t="shared" si="0"/>
        <v/>
      </c>
      <c r="C12" s="8"/>
      <c r="D12" s="16" t="s">
        <v>10</v>
      </c>
      <c r="E12" s="28" t="str">
        <f>IF(TRIM(PROPER(G12))=TRIM(PROPER(I12)),$I$4,"")</f>
        <v/>
      </c>
      <c r="F12" s="8"/>
      <c r="G12" s="15" t="str">
        <f>[1]!wwsInput("No, I not can help you.")</f>
        <v>No, I not can help you.</v>
      </c>
      <c r="H12" s="33" t="str">
        <f>IF(AND(G12&lt;&gt;I12,F12="x"),"Fix it!","")</f>
        <v/>
      </c>
      <c r="I12" s="23" t="s">
        <v>15</v>
      </c>
      <c r="J12" s="50"/>
      <c r="K12" s="50"/>
      <c r="L12" s="50"/>
      <c r="M12" s="30"/>
      <c r="N12" s="30"/>
      <c r="O12" s="30"/>
      <c r="P12" s="30"/>
      <c r="Q12" s="30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</row>
    <row r="13" spans="1:74" ht="19.2" x14ac:dyDescent="0.35">
      <c r="A13" s="48">
        <f t="shared" si="1"/>
        <v>0</v>
      </c>
      <c r="B13" s="51" t="str">
        <f>IF(AND(D13&lt;&gt;I13,C13="x"),"Fix it!","")</f>
        <v/>
      </c>
      <c r="C13" s="8"/>
      <c r="D13" s="15" t="str">
        <f>[1]!wwsInput("I should go?")</f>
        <v>I should go?</v>
      </c>
      <c r="E13" s="28" t="str">
        <f>IF(TRIM(PROPER(D13))=TRIM(PROPER(I13)),$I$4,"")</f>
        <v/>
      </c>
      <c r="F13" s="8"/>
      <c r="G13" s="16" t="s">
        <v>16</v>
      </c>
      <c r="H13" s="33" t="str">
        <f>IF(F13="x","It's good!","")</f>
        <v/>
      </c>
      <c r="I13" s="52" t="s">
        <v>17</v>
      </c>
      <c r="J13" s="50"/>
      <c r="K13" s="50"/>
      <c r="L13" s="50"/>
      <c r="M13" s="30"/>
      <c r="N13" s="30"/>
      <c r="O13" s="30"/>
      <c r="P13" s="30"/>
      <c r="Q13" s="30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</row>
    <row r="14" spans="1:74" ht="19.2" x14ac:dyDescent="0.35">
      <c r="A14" s="48">
        <f t="shared" si="1"/>
        <v>0</v>
      </c>
      <c r="B14" s="49" t="str">
        <f t="shared" si="0"/>
        <v/>
      </c>
      <c r="C14" s="8"/>
      <c r="D14" s="16" t="s">
        <v>11</v>
      </c>
      <c r="E14" s="28" t="str">
        <f>IF(TRIM(PROPER(G14))=TRIM(PROPER(I14)),$I$4,"")</f>
        <v/>
      </c>
      <c r="F14" s="8"/>
      <c r="G14" s="15" t="str">
        <f>[1]!wwsInput("Yes, could you find a better book.")</f>
        <v>Yes, could you find a better book.</v>
      </c>
      <c r="H14" s="33" t="str">
        <f>IF(AND(G14&lt;&gt;I14,F14="x"),"Fix it!","")</f>
        <v/>
      </c>
      <c r="I14" s="52" t="s">
        <v>18</v>
      </c>
      <c r="J14" s="50"/>
      <c r="K14" s="50"/>
      <c r="L14" s="50"/>
      <c r="M14" s="30"/>
      <c r="N14" s="30"/>
      <c r="O14" s="30"/>
      <c r="P14" s="30"/>
      <c r="Q14" s="30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</row>
    <row r="15" spans="1:74" ht="19.2" x14ac:dyDescent="0.35">
      <c r="A15" s="48">
        <f t="shared" si="1"/>
        <v>0</v>
      </c>
      <c r="B15" s="51" t="str">
        <f>IF(AND(D15&lt;&gt;I15,C15="x"),"Fix it!","")</f>
        <v/>
      </c>
      <c r="C15" s="8"/>
      <c r="D15" s="15" t="str">
        <f>[1]!wwsInput("Where you will go?")</f>
        <v>Where you will go?</v>
      </c>
      <c r="E15" s="28" t="str">
        <f>IF(TRIM(PROPER(D15))=TRIM(PROPER(I15)),$I$4,"")</f>
        <v/>
      </c>
      <c r="F15" s="8"/>
      <c r="G15" s="16" t="s">
        <v>23</v>
      </c>
      <c r="H15" s="33" t="str">
        <f>IF(F15="x","It's good!","")</f>
        <v/>
      </c>
      <c r="I15" s="27" t="s">
        <v>12</v>
      </c>
      <c r="J15" s="50"/>
      <c r="K15" s="50"/>
      <c r="L15" s="50"/>
      <c r="M15" s="30"/>
      <c r="N15" s="30"/>
      <c r="O15" s="30"/>
      <c r="P15" s="30"/>
      <c r="Q15" s="30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</row>
    <row r="16" spans="1:74" ht="19.2" x14ac:dyDescent="0.35">
      <c r="A16" s="48">
        <f t="shared" si="1"/>
        <v>0</v>
      </c>
      <c r="B16" s="49" t="str">
        <f t="shared" si="0"/>
        <v/>
      </c>
      <c r="C16" s="8"/>
      <c r="D16" s="16" t="s">
        <v>19</v>
      </c>
      <c r="E16" s="28" t="str">
        <f>IF(TRIM(PROPER(G16))=TRIM(PROPER(I16)),$I$4,"")</f>
        <v/>
      </c>
      <c r="F16" s="8"/>
      <c r="G16" s="15" t="str">
        <f>[1]!wwsInput("Will it end tomorrow.")</f>
        <v>Will it end tomorrow.</v>
      </c>
      <c r="H16" s="33" t="str">
        <f>IF(AND(G16&lt;&gt;I16,F16="x"),"Fix it!","")</f>
        <v/>
      </c>
      <c r="I16" s="23" t="s">
        <v>0</v>
      </c>
      <c r="J16" s="50"/>
      <c r="K16" s="50"/>
      <c r="L16" s="50"/>
      <c r="M16" s="30"/>
      <c r="N16" s="30"/>
      <c r="O16" s="30"/>
      <c r="P16" s="30"/>
      <c r="Q16" s="30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</row>
    <row r="17" spans="1:74" ht="19.2" x14ac:dyDescent="0.35">
      <c r="A17" s="48">
        <f t="shared" si="1"/>
        <v>0</v>
      </c>
      <c r="B17" s="51" t="str">
        <f>IF(AND(D17&lt;&gt;I17,C17="x"),"Fix it!","")</f>
        <v/>
      </c>
      <c r="C17" s="8"/>
      <c r="D17" s="15" t="str">
        <f>[1]!wwsInput("Where it will be?")</f>
        <v>Where it will be?</v>
      </c>
      <c r="E17" s="28" t="str">
        <f>IF(TRIM(PROPER(D17))=TRIM(PROPER(I17)),$I$4,"")</f>
        <v/>
      </c>
      <c r="F17" s="8"/>
      <c r="G17" s="16" t="s">
        <v>1</v>
      </c>
      <c r="H17" s="33" t="str">
        <f>IF(F17="x","It's good!","")</f>
        <v/>
      </c>
      <c r="I17" s="53" t="s">
        <v>20</v>
      </c>
      <c r="J17" s="50"/>
      <c r="K17" s="50"/>
      <c r="L17" s="50"/>
      <c r="M17" s="30"/>
      <c r="N17" s="30"/>
      <c r="O17" s="30"/>
      <c r="P17" s="30"/>
      <c r="Q17" s="30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</row>
    <row r="18" spans="1:74" ht="19.2" x14ac:dyDescent="0.35">
      <c r="A18" s="48">
        <f t="shared" si="1"/>
        <v>0</v>
      </c>
      <c r="B18" s="49" t="str">
        <f>IF(C18="x","It's good!","")</f>
        <v/>
      </c>
      <c r="C18" s="8"/>
      <c r="D18" s="16" t="s">
        <v>21</v>
      </c>
      <c r="E18" s="28" t="str">
        <f>IF(TRIM(PROPER(G18))=TRIM(PROPER(I18)),$I$4,"")</f>
        <v/>
      </c>
      <c r="F18" s="8"/>
      <c r="G18" s="15" t="str">
        <f>[1]!wwsInput("No, is he not here.")</f>
        <v>No, is he not here.</v>
      </c>
      <c r="H18" s="33" t="str">
        <f>IF(AND(G18&lt;&gt;I18,F18="x"),"Fix it!","")</f>
        <v/>
      </c>
      <c r="I18" s="53" t="s">
        <v>22</v>
      </c>
      <c r="J18" s="50"/>
      <c r="K18" s="50"/>
      <c r="L18" s="50"/>
      <c r="M18" s="30"/>
      <c r="N18" s="30"/>
      <c r="O18" s="30"/>
      <c r="P18" s="30"/>
      <c r="Q18" s="30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</row>
    <row r="19" spans="1:74" ht="19.2" x14ac:dyDescent="0.35">
      <c r="A19" s="48">
        <f t="shared" si="1"/>
        <v>0</v>
      </c>
      <c r="B19" s="51" t="str">
        <f>IF(AND(D19&lt;&gt;I19,C19="x"),"Fix it!","")</f>
        <v/>
      </c>
      <c r="C19" s="8"/>
      <c r="D19" s="15" t="str">
        <f>[1]!wwsInput("You did drive a car?")</f>
        <v>You did drive a car?</v>
      </c>
      <c r="E19" s="28" t="str">
        <f>IF(TRIM(PROPER(D19))=TRIM(PROPER(I19)),$I$4,"")</f>
        <v/>
      </c>
      <c r="F19" s="8"/>
      <c r="G19" s="16" t="s">
        <v>24</v>
      </c>
      <c r="H19" s="33" t="str">
        <f>IF(F19="x","It's good!","")</f>
        <v/>
      </c>
      <c r="I19" s="23" t="s">
        <v>25</v>
      </c>
      <c r="J19" s="50"/>
      <c r="K19" s="50"/>
      <c r="L19" s="50"/>
      <c r="M19" s="30"/>
      <c r="N19" s="30"/>
      <c r="O19" s="30"/>
      <c r="P19" s="30"/>
      <c r="Q19" s="30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</row>
    <row r="20" spans="1:74" ht="19.2" x14ac:dyDescent="0.35">
      <c r="A20" s="48">
        <f t="shared" si="1"/>
        <v>0</v>
      </c>
      <c r="B20" s="51" t="str">
        <f>IF(AND(D20&lt;&gt;I20,C20="x"),"Fix it!","")</f>
        <v/>
      </c>
      <c r="C20" s="8"/>
      <c r="D20" s="15" t="str">
        <f>[1]!wwsInput("She a teacher is?")</f>
        <v>She a teacher is?</v>
      </c>
      <c r="E20" s="28" t="str">
        <f>IF(TRIM(PROPER(D20))=TRIM(PROPER(I20)),$I$4,"")</f>
        <v/>
      </c>
      <c r="F20" s="8"/>
      <c r="G20" s="16" t="s">
        <v>13</v>
      </c>
      <c r="H20" s="33" t="str">
        <f>IF(F20="x","It's good!","")</f>
        <v/>
      </c>
      <c r="I20" s="23" t="s">
        <v>8</v>
      </c>
      <c r="J20" s="31"/>
      <c r="K20" s="29"/>
      <c r="L20" s="50"/>
      <c r="M20" s="30"/>
      <c r="N20" s="30"/>
      <c r="O20" s="30"/>
      <c r="P20" s="30"/>
      <c r="Q20" s="30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</row>
    <row r="21" spans="1:74" ht="19.2" x14ac:dyDescent="0.35">
      <c r="A21" s="48">
        <f t="shared" si="1"/>
        <v>0</v>
      </c>
      <c r="B21" s="49" t="str">
        <f t="shared" ref="B21:B29" si="2">IF(C21="x","It's good!","")</f>
        <v/>
      </c>
      <c r="C21" s="8"/>
      <c r="D21" s="16" t="s">
        <v>9</v>
      </c>
      <c r="E21" s="28" t="str">
        <f>IF(TRIM(PROPER(G21))=TRIM(PROPER(I21)),$I$4,"")</f>
        <v/>
      </c>
      <c r="F21" s="8"/>
      <c r="G21" s="15" t="str">
        <f>[1]!wwsInput("Yes, we be there soon.")</f>
        <v>Yes, we be there soon.</v>
      </c>
      <c r="H21" s="33" t="str">
        <f>IF(AND(G21&lt;&gt;I21,F21="x"),"Fix it!","")</f>
        <v/>
      </c>
      <c r="I21" s="23" t="s">
        <v>14</v>
      </c>
      <c r="J21" s="50"/>
      <c r="K21" s="50"/>
      <c r="L21" s="50"/>
      <c r="M21" s="30"/>
      <c r="N21" s="30"/>
      <c r="O21" s="30"/>
      <c r="P21" s="30"/>
      <c r="Q21" s="30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</row>
    <row r="22" spans="1:74" ht="19.2" x14ac:dyDescent="0.35">
      <c r="A22" s="48">
        <f t="shared" si="1"/>
        <v>0</v>
      </c>
      <c r="B22" s="51" t="str">
        <f>IF(AND(D22&lt;&gt;I22,C22="x"),"Fix it!","")</f>
        <v/>
      </c>
      <c r="C22" s="8"/>
      <c r="D22" s="15" t="str">
        <f>[1]!wwsInput("You can me help?")</f>
        <v>You can me help?</v>
      </c>
      <c r="E22" s="28" t="str">
        <f>IF(TRIM(PROPER(D22))=TRIM(PROPER(I22)),$I$4,"")</f>
        <v/>
      </c>
      <c r="F22" s="8"/>
      <c r="G22" s="16" t="s">
        <v>15</v>
      </c>
      <c r="H22" s="33" t="str">
        <f>IF(F22="x","It's good!","")</f>
        <v/>
      </c>
      <c r="I22" s="23" t="s">
        <v>10</v>
      </c>
      <c r="J22" s="50"/>
      <c r="K22" s="50"/>
      <c r="L22" s="50"/>
      <c r="M22" s="30"/>
      <c r="N22" s="30"/>
      <c r="O22" s="30"/>
      <c r="P22" s="30"/>
      <c r="Q22" s="30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</row>
    <row r="23" spans="1:74" ht="19.2" x14ac:dyDescent="0.35">
      <c r="A23" s="48">
        <f t="shared" si="1"/>
        <v>0</v>
      </c>
      <c r="B23" s="49" t="str">
        <f t="shared" si="2"/>
        <v/>
      </c>
      <c r="C23" s="8"/>
      <c r="D23" s="16" t="s">
        <v>17</v>
      </c>
      <c r="E23" s="28" t="str">
        <f>IF(TRIM(PROPER(G23))=TRIM(PROPER(I23)),$I$4,"")</f>
        <v/>
      </c>
      <c r="F23" s="8"/>
      <c r="G23" s="15" t="str">
        <f>[1]!wwsInput("No, you not should go.")</f>
        <v>No, you not should go.</v>
      </c>
      <c r="H23" s="33" t="str">
        <f>IF(AND(G23&lt;&gt;I23,F23="x"),"Fix it!","")</f>
        <v/>
      </c>
      <c r="I23" s="23" t="s">
        <v>16</v>
      </c>
      <c r="J23" s="50"/>
      <c r="K23" s="50"/>
      <c r="L23" s="50"/>
      <c r="M23" s="30"/>
      <c r="N23" s="30"/>
      <c r="O23" s="30"/>
      <c r="P23" s="30"/>
      <c r="Q23" s="30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</row>
    <row r="24" spans="1:74" ht="19.2" x14ac:dyDescent="0.35">
      <c r="A24" s="48">
        <f t="shared" si="1"/>
        <v>0</v>
      </c>
      <c r="B24" s="51" t="str">
        <f>IF(AND(D24&lt;&gt;I24,C24="x"),"Fix it!","")</f>
        <v/>
      </c>
      <c r="C24" s="8"/>
      <c r="D24" s="15" t="str">
        <f>[1]!wwsInput("Could I find better book?")</f>
        <v>Could I find better book?</v>
      </c>
      <c r="E24" s="28" t="str">
        <f>IF(TRIM(PROPER(D24))=TRIM(PROPER(I24)),$I$4,"")</f>
        <v/>
      </c>
      <c r="F24" s="8"/>
      <c r="G24" s="16" t="s">
        <v>18</v>
      </c>
      <c r="H24" s="33" t="str">
        <f>IF(F24="x","It's good!","")</f>
        <v/>
      </c>
      <c r="I24" s="23" t="s">
        <v>11</v>
      </c>
      <c r="J24" s="31"/>
      <c r="K24" s="50"/>
      <c r="L24" s="50"/>
      <c r="M24" s="30"/>
      <c r="N24" s="30"/>
      <c r="O24" s="30"/>
      <c r="P24" s="30"/>
      <c r="Q24" s="30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</row>
    <row r="25" spans="1:74" ht="19.2" x14ac:dyDescent="0.35">
      <c r="A25" s="48">
        <f t="shared" si="1"/>
        <v>0</v>
      </c>
      <c r="B25" s="49" t="str">
        <f t="shared" si="2"/>
        <v/>
      </c>
      <c r="C25" s="8"/>
      <c r="D25" s="16" t="s">
        <v>12</v>
      </c>
      <c r="E25" s="28" t="str">
        <f>IF(TRIM(PROPER(G25))=TRIM(PROPER(I25)),$I$4,"")</f>
        <v/>
      </c>
      <c r="F25" s="8"/>
      <c r="G25" s="15" t="str">
        <f>[1]!wwsInput("We will go to store.")</f>
        <v>We will go to store.</v>
      </c>
      <c r="H25" s="33" t="str">
        <f>IF(AND(G25&lt;&gt;I25,F25="x"),"Fix it!","")</f>
        <v/>
      </c>
      <c r="I25" s="23" t="s">
        <v>23</v>
      </c>
      <c r="J25" s="50"/>
      <c r="K25" s="50"/>
      <c r="L25" s="50"/>
      <c r="M25" s="30"/>
      <c r="N25" s="30"/>
      <c r="O25" s="30"/>
      <c r="P25" s="30"/>
      <c r="Q25" s="30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</row>
    <row r="26" spans="1:74" ht="19.2" x14ac:dyDescent="0.35">
      <c r="A26" s="48">
        <f t="shared" si="1"/>
        <v>0</v>
      </c>
      <c r="B26" s="51" t="str">
        <f>IF(AND(D26&lt;&gt;I26,C26="x"),"Fix it!","")</f>
        <v/>
      </c>
      <c r="C26" s="8"/>
      <c r="D26" s="15" t="str">
        <f>[1]!wwsInput("When it will end?")</f>
        <v>When it will end?</v>
      </c>
      <c r="E26" s="28" t="str">
        <f>IF(TRIM(PROPER(D26))=TRIM(PROPER(I26)),$I$4,"")</f>
        <v/>
      </c>
      <c r="F26" s="8"/>
      <c r="G26" s="16" t="s">
        <v>0</v>
      </c>
      <c r="H26" s="33" t="str">
        <f>IF(F26="x","It's good!","")</f>
        <v/>
      </c>
      <c r="I26" s="23" t="s">
        <v>19</v>
      </c>
      <c r="J26" s="50"/>
      <c r="K26" s="50"/>
      <c r="L26" s="50"/>
      <c r="M26" s="30"/>
      <c r="N26" s="30"/>
      <c r="O26" s="30"/>
      <c r="P26" s="30"/>
      <c r="Q26" s="30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</row>
    <row r="27" spans="1:74" ht="19.2" x14ac:dyDescent="0.35">
      <c r="A27" s="48">
        <f t="shared" si="1"/>
        <v>0</v>
      </c>
      <c r="B27" s="49" t="str">
        <f t="shared" si="2"/>
        <v/>
      </c>
      <c r="C27" s="8"/>
      <c r="D27" s="16" t="s">
        <v>20</v>
      </c>
      <c r="E27" s="28" t="str">
        <f>IF(TRIM(PROPER(G27))=TRIM(PROPER(I27)),$I$4,"")</f>
        <v/>
      </c>
      <c r="F27" s="8"/>
      <c r="G27" s="15" t="str">
        <f>[1]!wwsInput("Will be it here.")</f>
        <v>Will be it here.</v>
      </c>
      <c r="H27" s="33" t="str">
        <f>IF(AND(G27&lt;&gt;I27,F27="x"),"Fix it!","")</f>
        <v/>
      </c>
      <c r="I27" s="23" t="s">
        <v>1</v>
      </c>
      <c r="J27" s="50"/>
      <c r="K27" s="50"/>
      <c r="L27" s="50"/>
      <c r="M27" s="30"/>
      <c r="N27" s="30"/>
      <c r="O27" s="30"/>
      <c r="P27" s="30"/>
      <c r="Q27" s="30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</row>
    <row r="28" spans="1:74" ht="19.2" x14ac:dyDescent="0.35">
      <c r="A28" s="48">
        <f t="shared" si="1"/>
        <v>0</v>
      </c>
      <c r="B28" s="51" t="str">
        <f>IF(AND(D28&lt;&gt;I28,C28="x"),"Fix it!","")</f>
        <v/>
      </c>
      <c r="C28" s="8"/>
      <c r="D28" s="15" t="str">
        <f>[1]!wwsInput("The man here?")</f>
        <v>The man here?</v>
      </c>
      <c r="E28" s="28" t="str">
        <f>IF(TRIM(PROPER(D28))=TRIM(PROPER(I28)),$I$4,"")</f>
        <v/>
      </c>
      <c r="F28" s="8"/>
      <c r="G28" s="16" t="s">
        <v>22</v>
      </c>
      <c r="H28" s="33" t="str">
        <f>IF(F28="x","It's good!","")</f>
        <v/>
      </c>
      <c r="I28" s="23" t="s">
        <v>21</v>
      </c>
      <c r="J28" s="50"/>
      <c r="K28" s="50"/>
      <c r="L28" s="50"/>
      <c r="M28" s="30"/>
      <c r="N28" s="30"/>
      <c r="O28" s="30"/>
      <c r="P28" s="30"/>
      <c r="Q28" s="30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</row>
    <row r="29" spans="1:74" ht="19.2" x14ac:dyDescent="0.35">
      <c r="A29" s="48">
        <f t="shared" si="1"/>
        <v>0</v>
      </c>
      <c r="B29" s="49" t="str">
        <f t="shared" si="2"/>
        <v/>
      </c>
      <c r="C29" s="8"/>
      <c r="D29" s="16" t="s">
        <v>25</v>
      </c>
      <c r="E29" s="28" t="str">
        <f>IF(TRIM(PROPER(G29))=TRIM(PROPER(I29)),$I$4,"")</f>
        <v/>
      </c>
      <c r="F29" s="8"/>
      <c r="G29" s="15" t="str">
        <f>[1]!wwsInput("No, didn't I drive a car.")</f>
        <v>No, didn't I drive a car.</v>
      </c>
      <c r="H29" s="33" t="str">
        <f>IF(AND(G29&lt;&gt;I29,F29="x"),"Fix it!","")</f>
        <v/>
      </c>
      <c r="I29" s="23" t="s">
        <v>24</v>
      </c>
      <c r="J29" s="50"/>
      <c r="K29" s="50"/>
      <c r="L29" s="50"/>
      <c r="M29" s="30"/>
      <c r="N29" s="30"/>
      <c r="O29" s="30"/>
      <c r="P29" s="30"/>
      <c r="Q29" s="30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</row>
    <row r="30" spans="1:74" ht="21" x14ac:dyDescent="0.4">
      <c r="A30" s="42"/>
      <c r="B30" s="43"/>
      <c r="C30" s="44"/>
      <c r="D30" s="54">
        <f>SUM(A10:A29)/20</f>
        <v>0</v>
      </c>
      <c r="E30" s="54"/>
      <c r="F30" s="55" t="s">
        <v>6</v>
      </c>
      <c r="G30" s="44"/>
      <c r="H30" s="39"/>
      <c r="I30" s="56"/>
      <c r="J30" s="40"/>
      <c r="K30" s="40"/>
      <c r="L30" s="40"/>
      <c r="M30" s="30"/>
      <c r="N30" s="30"/>
      <c r="O30" s="30"/>
      <c r="P30" s="30"/>
      <c r="Q30" s="30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</row>
    <row r="31" spans="1:74" x14ac:dyDescent="0.3">
      <c r="A31" s="31"/>
      <c r="B31" s="32"/>
      <c r="C31" s="29"/>
      <c r="D31" s="29"/>
      <c r="E31" s="25"/>
      <c r="F31" s="29"/>
      <c r="G31" s="29"/>
      <c r="H31" s="41"/>
      <c r="I31" s="24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</row>
    <row r="32" spans="1:74" x14ac:dyDescent="0.3">
      <c r="A32" s="31"/>
      <c r="B32" s="32"/>
      <c r="C32" s="29"/>
      <c r="D32" s="29"/>
      <c r="E32" s="25"/>
      <c r="F32" s="29"/>
      <c r="G32" s="29"/>
      <c r="H32" s="41"/>
      <c r="I32" s="24"/>
      <c r="J32" s="30"/>
      <c r="K32" s="30" t="s">
        <v>3</v>
      </c>
      <c r="L32" s="30"/>
      <c r="M32" s="30"/>
      <c r="N32" s="30"/>
      <c r="O32" s="30"/>
      <c r="P32" s="30"/>
      <c r="Q32" s="30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</row>
    <row r="33" spans="1:74" x14ac:dyDescent="0.3">
      <c r="A33" s="31"/>
      <c r="B33" s="32"/>
      <c r="C33" s="29"/>
      <c r="D33" s="29"/>
      <c r="E33" s="25"/>
      <c r="F33" s="29"/>
      <c r="G33" s="29"/>
      <c r="H33" s="41"/>
      <c r="I33" s="24"/>
      <c r="J33" s="30"/>
      <c r="K33" s="30"/>
      <c r="L33" s="30"/>
      <c r="M33" s="30"/>
      <c r="N33" s="30"/>
      <c r="O33" s="30"/>
      <c r="P33" s="30"/>
      <c r="Q33" s="30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</row>
    <row r="34" spans="1:74" x14ac:dyDescent="0.3">
      <c r="A34" s="31"/>
      <c r="B34" s="32"/>
      <c r="C34" s="29"/>
      <c r="D34" s="29"/>
      <c r="E34" s="25"/>
      <c r="F34" s="29"/>
      <c r="G34" s="29"/>
      <c r="H34" s="41"/>
      <c r="I34" s="24"/>
      <c r="J34" s="30"/>
      <c r="K34" s="30"/>
      <c r="L34" s="30"/>
      <c r="M34" s="30"/>
      <c r="N34" s="30"/>
      <c r="O34" s="30"/>
      <c r="P34" s="30"/>
      <c r="Q34" s="30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</row>
    <row r="35" spans="1:74" ht="15.6" x14ac:dyDescent="0.3">
      <c r="A35" s="31"/>
      <c r="B35" s="57"/>
      <c r="C35" s="24"/>
      <c r="D35" s="24"/>
      <c r="E35" s="24"/>
      <c r="F35" s="24"/>
      <c r="G35" s="58"/>
      <c r="H35" s="59"/>
      <c r="I35" s="24"/>
      <c r="J35" s="30"/>
      <c r="K35" s="30"/>
      <c r="L35" s="30"/>
      <c r="M35" s="30"/>
      <c r="N35" s="30"/>
      <c r="O35" s="30"/>
      <c r="P35" s="30"/>
      <c r="Q35" s="30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</row>
    <row r="36" spans="1:74" ht="15.6" x14ac:dyDescent="0.3">
      <c r="A36" s="31"/>
      <c r="B36" s="57"/>
      <c r="C36" s="24"/>
      <c r="D36" s="24"/>
      <c r="E36" s="24"/>
      <c r="F36" s="24"/>
      <c r="G36" s="58"/>
      <c r="H36" s="59"/>
      <c r="I36" s="24"/>
      <c r="J36" s="30"/>
      <c r="K36" s="30"/>
      <c r="L36" s="30"/>
      <c r="M36" s="30"/>
      <c r="N36" s="30"/>
      <c r="O36" s="30"/>
      <c r="P36" s="30"/>
      <c r="Q36" s="30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</row>
    <row r="37" spans="1:74" ht="15.6" x14ac:dyDescent="0.3">
      <c r="A37" s="31"/>
      <c r="B37" s="57"/>
      <c r="C37" s="24"/>
      <c r="D37" s="24"/>
      <c r="E37" s="24"/>
      <c r="F37" s="24"/>
      <c r="G37" s="58"/>
      <c r="H37" s="59"/>
      <c r="I37" s="24"/>
      <c r="J37" s="30"/>
      <c r="K37" s="30"/>
      <c r="L37" s="30"/>
      <c r="M37" s="30"/>
      <c r="N37" s="30"/>
      <c r="O37" s="30"/>
      <c r="P37" s="30"/>
      <c r="Q37" s="30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</row>
    <row r="38" spans="1:74" ht="15.6" x14ac:dyDescent="0.3">
      <c r="A38" s="31"/>
      <c r="B38" s="57"/>
      <c r="C38" s="24"/>
      <c r="D38" s="24"/>
      <c r="E38" s="24"/>
      <c r="F38" s="24"/>
      <c r="G38" s="58"/>
      <c r="H38" s="59"/>
      <c r="I38" s="24"/>
      <c r="J38" s="30"/>
      <c r="K38" s="30"/>
      <c r="L38" s="30"/>
      <c r="M38" s="30"/>
      <c r="N38" s="30"/>
      <c r="O38" s="30"/>
      <c r="P38" s="30"/>
      <c r="Q38" s="30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</row>
    <row r="39" spans="1:74" ht="15.6" x14ac:dyDescent="0.3">
      <c r="A39" s="31"/>
      <c r="B39" s="57"/>
      <c r="C39" s="24"/>
      <c r="D39" s="24"/>
      <c r="E39" s="24"/>
      <c r="F39" s="24"/>
      <c r="G39" s="58"/>
      <c r="H39" s="59"/>
      <c r="I39" s="24"/>
      <c r="J39" s="30"/>
      <c r="K39" s="30"/>
      <c r="L39" s="30"/>
      <c r="M39" s="30"/>
      <c r="N39" s="30"/>
      <c r="O39" s="30"/>
      <c r="P39" s="30"/>
      <c r="Q39" s="30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</row>
    <row r="40" spans="1:74" ht="15.6" x14ac:dyDescent="0.3">
      <c r="A40" s="31"/>
      <c r="B40" s="57"/>
      <c r="C40" s="24"/>
      <c r="D40" s="24"/>
      <c r="E40" s="24"/>
      <c r="F40" s="24"/>
      <c r="G40" s="58"/>
      <c r="H40" s="59"/>
      <c r="I40" s="24"/>
      <c r="J40" s="30"/>
      <c r="K40" s="30"/>
      <c r="L40" s="30"/>
      <c r="M40" s="30"/>
      <c r="N40" s="30"/>
      <c r="O40" s="30"/>
      <c r="P40" s="30"/>
      <c r="Q40" s="30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</row>
    <row r="41" spans="1:74" ht="15.6" x14ac:dyDescent="0.3">
      <c r="A41" s="31"/>
      <c r="B41" s="57"/>
      <c r="C41" s="24"/>
      <c r="D41" s="24"/>
      <c r="E41" s="24"/>
      <c r="F41" s="24"/>
      <c r="G41" s="58"/>
      <c r="H41" s="59"/>
      <c r="I41" s="24"/>
      <c r="J41" s="30"/>
      <c r="K41" s="30"/>
      <c r="L41" s="30"/>
      <c r="M41" s="30"/>
      <c r="N41" s="30"/>
      <c r="O41" s="30"/>
      <c r="P41" s="30"/>
      <c r="Q41" s="30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</row>
    <row r="42" spans="1:74" ht="15.6" x14ac:dyDescent="0.3">
      <c r="A42" s="31"/>
      <c r="B42" s="57"/>
      <c r="C42" s="24"/>
      <c r="D42" s="24"/>
      <c r="E42" s="24"/>
      <c r="F42" s="24"/>
      <c r="G42" s="58"/>
      <c r="H42" s="59"/>
      <c r="I42" s="24"/>
      <c r="J42" s="30"/>
      <c r="K42" s="30"/>
      <c r="L42" s="30"/>
      <c r="M42" s="30"/>
      <c r="N42" s="30"/>
      <c r="O42" s="30"/>
      <c r="P42" s="30"/>
      <c r="Q42" s="30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</row>
    <row r="43" spans="1:74" ht="15.6" x14ac:dyDescent="0.3">
      <c r="A43" s="31"/>
      <c r="B43" s="57"/>
      <c r="C43" s="24"/>
      <c r="D43" s="24"/>
      <c r="E43" s="24"/>
      <c r="F43" s="24"/>
      <c r="G43" s="58"/>
      <c r="H43" s="59"/>
      <c r="I43" s="24"/>
      <c r="J43" s="30"/>
      <c r="K43" s="30"/>
      <c r="L43" s="30"/>
      <c r="M43" s="30"/>
      <c r="N43" s="30"/>
      <c r="O43" s="30"/>
      <c r="P43" s="30"/>
      <c r="Q43" s="30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</row>
    <row r="44" spans="1:74" ht="15.6" x14ac:dyDescent="0.3">
      <c r="A44" s="31"/>
      <c r="B44" s="57"/>
      <c r="C44" s="24"/>
      <c r="D44" s="24"/>
      <c r="E44" s="24"/>
      <c r="F44" s="24"/>
      <c r="G44" s="58"/>
      <c r="H44" s="59"/>
      <c r="I44" s="24"/>
      <c r="J44" s="30"/>
      <c r="K44" s="30"/>
      <c r="L44" s="30"/>
      <c r="M44" s="30"/>
      <c r="N44" s="30"/>
      <c r="O44" s="30"/>
      <c r="P44" s="30"/>
      <c r="Q44" s="30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</row>
    <row r="45" spans="1:74" ht="15.6" x14ac:dyDescent="0.3">
      <c r="A45" s="31"/>
      <c r="B45" s="57"/>
      <c r="C45" s="24"/>
      <c r="D45" s="24"/>
      <c r="E45" s="24"/>
      <c r="F45" s="24"/>
      <c r="G45" s="58"/>
      <c r="H45" s="59"/>
      <c r="I45" s="24"/>
      <c r="J45" s="30"/>
      <c r="K45" s="30"/>
      <c r="L45" s="30"/>
      <c r="M45" s="30"/>
      <c r="N45" s="30"/>
      <c r="O45" s="30"/>
      <c r="P45" s="30"/>
      <c r="Q45" s="30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</row>
    <row r="46" spans="1:74" ht="15.6" x14ac:dyDescent="0.3">
      <c r="A46" s="31"/>
      <c r="B46" s="57"/>
      <c r="C46" s="24"/>
      <c r="D46" s="24"/>
      <c r="E46" s="24"/>
      <c r="F46" s="24"/>
      <c r="G46" s="58"/>
      <c r="H46" s="59"/>
      <c r="I46" s="24"/>
      <c r="J46" s="30"/>
      <c r="K46" s="30"/>
      <c r="L46" s="30"/>
      <c r="M46" s="30"/>
      <c r="N46" s="30"/>
      <c r="O46" s="30"/>
      <c r="P46" s="30"/>
      <c r="Q46" s="30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</row>
    <row r="47" spans="1:74" ht="15.6" x14ac:dyDescent="0.3">
      <c r="A47" s="31"/>
      <c r="B47" s="57"/>
      <c r="C47" s="24"/>
      <c r="D47" s="24"/>
      <c r="E47" s="24"/>
      <c r="F47" s="24"/>
      <c r="G47" s="58"/>
      <c r="H47" s="59"/>
      <c r="I47" s="24"/>
      <c r="J47" s="30"/>
      <c r="K47" s="30"/>
      <c r="L47" s="30"/>
      <c r="M47" s="30"/>
      <c r="N47" s="30"/>
      <c r="O47" s="30"/>
      <c r="P47" s="30"/>
      <c r="Q47" s="30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</row>
    <row r="48" spans="1:74" ht="15.6" x14ac:dyDescent="0.3">
      <c r="A48" s="31"/>
      <c r="B48" s="57"/>
      <c r="C48" s="24"/>
      <c r="D48" s="24"/>
      <c r="E48" s="24"/>
      <c r="F48" s="24"/>
      <c r="G48" s="58"/>
      <c r="H48" s="59"/>
      <c r="I48" s="24"/>
      <c r="J48" s="30"/>
      <c r="K48" s="30"/>
      <c r="L48" s="30"/>
      <c r="M48" s="30"/>
      <c r="N48" s="30"/>
      <c r="O48" s="30"/>
      <c r="P48" s="30"/>
      <c r="Q48" s="30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</row>
    <row r="49" spans="1:74" ht="15.6" x14ac:dyDescent="0.3">
      <c r="A49" s="31"/>
      <c r="B49" s="57"/>
      <c r="C49" s="24"/>
      <c r="D49" s="24"/>
      <c r="E49" s="24"/>
      <c r="F49" s="24"/>
      <c r="G49" s="58"/>
      <c r="H49" s="59"/>
      <c r="I49" s="24"/>
      <c r="J49" s="31"/>
      <c r="K49" s="29"/>
      <c r="L49" s="29"/>
      <c r="M49" s="60"/>
      <c r="N49" s="60"/>
      <c r="O49" s="60"/>
      <c r="P49" s="60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</row>
    <row r="50" spans="1:74" ht="15.6" x14ac:dyDescent="0.3">
      <c r="A50" s="31"/>
      <c r="B50" s="57"/>
      <c r="C50" s="24"/>
      <c r="D50" s="24"/>
      <c r="E50" s="24"/>
      <c r="F50" s="24"/>
      <c r="G50" s="58"/>
      <c r="H50" s="59"/>
      <c r="I50" s="24"/>
      <c r="J50" s="31"/>
      <c r="K50" s="29"/>
      <c r="L50" s="29"/>
      <c r="M50" s="60"/>
      <c r="N50" s="60"/>
      <c r="O50" s="60"/>
      <c r="P50" s="60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</row>
    <row r="51" spans="1:74" ht="15.6" x14ac:dyDescent="0.3">
      <c r="A51" s="31"/>
      <c r="B51" s="57"/>
      <c r="C51" s="24"/>
      <c r="D51" s="24"/>
      <c r="E51" s="24"/>
      <c r="F51" s="24"/>
      <c r="G51" s="58"/>
      <c r="H51" s="59"/>
      <c r="I51" s="24"/>
      <c r="J51" s="31"/>
      <c r="K51" s="29"/>
      <c r="L51" s="29"/>
      <c r="M51" s="60"/>
      <c r="N51" s="60"/>
      <c r="O51" s="60"/>
      <c r="P51" s="60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</row>
    <row r="52" spans="1:74" ht="15.6" x14ac:dyDescent="0.3">
      <c r="A52" s="31"/>
      <c r="B52" s="57"/>
      <c r="C52" s="24"/>
      <c r="D52" s="24"/>
      <c r="E52" s="24"/>
      <c r="F52" s="24"/>
      <c r="G52" s="58"/>
      <c r="H52" s="59"/>
      <c r="I52" s="24"/>
      <c r="J52" s="31"/>
      <c r="K52" s="29"/>
      <c r="L52" s="29"/>
      <c r="M52" s="60"/>
      <c r="N52" s="60"/>
      <c r="O52" s="60"/>
      <c r="P52" s="60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</row>
    <row r="53" spans="1:74" ht="15.6" x14ac:dyDescent="0.3">
      <c r="A53" s="31"/>
      <c r="B53" s="57"/>
      <c r="C53" s="24"/>
      <c r="D53" s="24"/>
      <c r="E53" s="24"/>
      <c r="F53" s="24"/>
      <c r="G53" s="58"/>
      <c r="H53" s="59"/>
      <c r="I53" s="24"/>
      <c r="J53" s="31"/>
      <c r="K53" s="29"/>
      <c r="L53" s="29"/>
      <c r="M53" s="60"/>
      <c r="N53" s="60"/>
      <c r="O53" s="60"/>
      <c r="P53" s="60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</row>
    <row r="54" spans="1:74" ht="15.6" x14ac:dyDescent="0.3">
      <c r="A54" s="31"/>
      <c r="B54" s="57"/>
      <c r="C54" s="24"/>
      <c r="D54" s="24"/>
      <c r="E54" s="24"/>
      <c r="F54" s="24"/>
      <c r="G54" s="58"/>
      <c r="H54" s="59"/>
      <c r="I54" s="24"/>
      <c r="J54" s="31"/>
      <c r="K54" s="29"/>
      <c r="L54" s="29"/>
      <c r="M54" s="60"/>
      <c r="N54" s="60"/>
      <c r="O54" s="60"/>
      <c r="P54" s="60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</row>
    <row r="55" spans="1:74" ht="15.6" x14ac:dyDescent="0.3">
      <c r="A55" s="31"/>
      <c r="B55" s="57"/>
      <c r="C55" s="24"/>
      <c r="D55" s="24"/>
      <c r="E55" s="24"/>
      <c r="F55" s="24"/>
      <c r="G55" s="58"/>
      <c r="H55" s="59"/>
      <c r="I55" s="24"/>
      <c r="J55" s="31"/>
      <c r="K55" s="29"/>
      <c r="L55" s="29"/>
      <c r="M55" s="60"/>
      <c r="N55" s="60"/>
      <c r="O55" s="60"/>
      <c r="P55" s="60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</row>
    <row r="56" spans="1:74" ht="15.6" x14ac:dyDescent="0.3">
      <c r="A56" s="31"/>
      <c r="B56" s="57"/>
      <c r="C56" s="24"/>
      <c r="D56" s="24"/>
      <c r="E56" s="24"/>
      <c r="F56" s="24"/>
      <c r="G56" s="58"/>
      <c r="H56" s="59"/>
      <c r="I56" s="24"/>
      <c r="J56" s="31"/>
      <c r="K56" s="29"/>
      <c r="L56" s="29"/>
      <c r="M56" s="60"/>
      <c r="N56" s="60"/>
      <c r="O56" s="60"/>
      <c r="P56" s="60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</row>
    <row r="57" spans="1:74" ht="15.6" x14ac:dyDescent="0.3">
      <c r="A57" s="31"/>
      <c r="B57" s="57"/>
      <c r="C57" s="24"/>
      <c r="D57" s="24"/>
      <c r="E57" s="24"/>
      <c r="F57" s="24"/>
      <c r="G57" s="58"/>
      <c r="H57" s="59"/>
      <c r="I57" s="24"/>
      <c r="J57" s="31"/>
      <c r="K57" s="29"/>
      <c r="L57" s="29"/>
      <c r="M57" s="60"/>
      <c r="N57" s="60"/>
      <c r="O57" s="60"/>
      <c r="P57" s="60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</row>
    <row r="58" spans="1:74" ht="15.6" x14ac:dyDescent="0.3">
      <c r="A58" s="31"/>
      <c r="B58" s="57"/>
      <c r="C58" s="24"/>
      <c r="D58" s="24"/>
      <c r="E58" s="24"/>
      <c r="F58" s="24"/>
      <c r="G58" s="58"/>
      <c r="H58" s="59"/>
      <c r="I58" s="24"/>
      <c r="J58" s="31"/>
      <c r="K58" s="29"/>
      <c r="L58" s="29"/>
      <c r="M58" s="60"/>
      <c r="N58" s="60"/>
      <c r="O58" s="60"/>
      <c r="P58" s="60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</row>
    <row r="59" spans="1:74" ht="15.6" x14ac:dyDescent="0.3">
      <c r="A59" s="31"/>
      <c r="B59" s="57"/>
      <c r="C59" s="24"/>
      <c r="D59" s="24"/>
      <c r="E59" s="24"/>
      <c r="F59" s="24"/>
      <c r="G59" s="58"/>
      <c r="H59" s="59"/>
      <c r="I59" s="24"/>
      <c r="J59" s="31"/>
      <c r="K59" s="29"/>
      <c r="L59" s="29"/>
      <c r="M59" s="60"/>
      <c r="N59" s="60"/>
      <c r="O59" s="60"/>
      <c r="P59" s="60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</row>
    <row r="60" spans="1:74" ht="15.6" x14ac:dyDescent="0.3">
      <c r="A60" s="31"/>
      <c r="B60" s="57"/>
      <c r="C60" s="24"/>
      <c r="D60" s="24"/>
      <c r="E60" s="24"/>
      <c r="F60" s="24"/>
      <c r="G60" s="58"/>
      <c r="H60" s="59"/>
      <c r="I60" s="24"/>
      <c r="J60" s="31"/>
      <c r="K60" s="29"/>
      <c r="L60" s="29"/>
      <c r="M60" s="60"/>
      <c r="N60" s="60"/>
      <c r="O60" s="60"/>
      <c r="P60" s="60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</row>
    <row r="61" spans="1:74" ht="15.6" x14ac:dyDescent="0.3">
      <c r="A61" s="31"/>
      <c r="B61" s="57"/>
      <c r="C61" s="24"/>
      <c r="D61" s="24"/>
      <c r="E61" s="24"/>
      <c r="F61" s="24"/>
      <c r="G61" s="58"/>
      <c r="H61" s="59"/>
      <c r="I61" s="24"/>
      <c r="J61" s="31"/>
      <c r="K61" s="29"/>
      <c r="L61" s="29"/>
      <c r="M61" s="60"/>
      <c r="N61" s="60"/>
      <c r="O61" s="60"/>
      <c r="P61" s="60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</row>
    <row r="62" spans="1:74" ht="15.6" x14ac:dyDescent="0.3">
      <c r="A62" s="31"/>
      <c r="B62" s="57"/>
      <c r="C62" s="24"/>
      <c r="D62" s="24"/>
      <c r="E62" s="24"/>
      <c r="F62" s="24"/>
      <c r="G62" s="58"/>
      <c r="H62" s="59"/>
      <c r="I62" s="24"/>
      <c r="J62" s="31"/>
      <c r="K62" s="29"/>
      <c r="L62" s="29"/>
      <c r="M62" s="60"/>
      <c r="N62" s="60"/>
      <c r="O62" s="60"/>
      <c r="P62" s="60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</row>
    <row r="63" spans="1:74" ht="15.6" x14ac:dyDescent="0.3">
      <c r="A63" s="31"/>
      <c r="B63" s="57"/>
      <c r="C63" s="24"/>
      <c r="D63" s="24"/>
      <c r="E63" s="24"/>
      <c r="F63" s="24"/>
      <c r="G63" s="58"/>
      <c r="H63" s="59"/>
      <c r="I63" s="24"/>
      <c r="J63" s="31"/>
      <c r="K63" s="29"/>
      <c r="L63" s="29"/>
      <c r="M63" s="60"/>
      <c r="N63" s="60"/>
      <c r="O63" s="60"/>
      <c r="P63" s="60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</row>
    <row r="64" spans="1:74" ht="15.6" x14ac:dyDescent="0.3">
      <c r="A64" s="31"/>
      <c r="B64" s="57"/>
      <c r="C64" s="24"/>
      <c r="D64" s="24"/>
      <c r="E64" s="24"/>
      <c r="F64" s="24"/>
      <c r="G64" s="58"/>
      <c r="H64" s="59"/>
      <c r="I64" s="24"/>
      <c r="J64" s="31"/>
      <c r="K64" s="29"/>
      <c r="L64" s="29"/>
      <c r="M64" s="60"/>
      <c r="N64" s="60"/>
      <c r="O64" s="60"/>
      <c r="P64" s="60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</row>
    <row r="65" spans="1:74" ht="15.6" x14ac:dyDescent="0.3">
      <c r="A65" s="31"/>
      <c r="B65" s="57"/>
      <c r="C65" s="24"/>
      <c r="D65" s="24"/>
      <c r="E65" s="24"/>
      <c r="F65" s="24"/>
      <c r="G65" s="58"/>
      <c r="H65" s="59"/>
      <c r="I65" s="24"/>
      <c r="J65" s="31"/>
      <c r="K65" s="29"/>
      <c r="L65" s="29"/>
      <c r="M65" s="60"/>
      <c r="N65" s="60"/>
      <c r="O65" s="60"/>
      <c r="P65" s="60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</row>
    <row r="66" spans="1:74" ht="15.6" x14ac:dyDescent="0.3">
      <c r="A66" s="31"/>
      <c r="B66" s="57"/>
      <c r="C66" s="24"/>
      <c r="D66" s="24"/>
      <c r="E66" s="24"/>
      <c r="F66" s="24"/>
      <c r="G66" s="58"/>
      <c r="H66" s="59"/>
      <c r="I66" s="24"/>
      <c r="J66" s="31"/>
      <c r="K66" s="29"/>
      <c r="L66" s="29"/>
      <c r="M66" s="60"/>
      <c r="N66" s="60"/>
      <c r="O66" s="60"/>
      <c r="P66" s="60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</row>
    <row r="67" spans="1:74" x14ac:dyDescent="0.3">
      <c r="A67" s="31"/>
      <c r="B67" s="57"/>
      <c r="C67" s="24"/>
      <c r="D67" s="24"/>
      <c r="E67" s="24"/>
      <c r="F67" s="24"/>
      <c r="G67" s="24"/>
      <c r="H67" s="41"/>
      <c r="I67" s="24"/>
      <c r="J67" s="31"/>
      <c r="K67" s="29"/>
      <c r="L67" s="29"/>
      <c r="M67" s="60"/>
      <c r="N67" s="60"/>
      <c r="O67" s="60"/>
      <c r="P67" s="60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</row>
    <row r="68" spans="1:74" x14ac:dyDescent="0.3">
      <c r="A68" s="31"/>
      <c r="B68" s="57"/>
      <c r="C68" s="24"/>
      <c r="D68" s="24"/>
      <c r="E68" s="24"/>
      <c r="F68" s="24"/>
      <c r="G68" s="24"/>
      <c r="H68" s="41"/>
      <c r="I68" s="24"/>
      <c r="J68" s="31"/>
      <c r="K68" s="29"/>
      <c r="L68" s="29"/>
      <c r="M68" s="60"/>
      <c r="N68" s="60"/>
      <c r="O68" s="60"/>
      <c r="P68" s="60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</row>
    <row r="69" spans="1:74" x14ac:dyDescent="0.3">
      <c r="A69" s="31"/>
      <c r="B69" s="57"/>
      <c r="C69" s="24"/>
      <c r="D69" s="24"/>
      <c r="E69" s="24"/>
      <c r="F69" s="24"/>
      <c r="G69" s="24"/>
      <c r="H69" s="41"/>
      <c r="I69" s="24"/>
      <c r="J69" s="31"/>
      <c r="K69" s="29"/>
      <c r="L69" s="29"/>
      <c r="M69" s="60"/>
      <c r="N69" s="60"/>
      <c r="O69" s="60"/>
      <c r="P69" s="60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</row>
    <row r="70" spans="1:74" x14ac:dyDescent="0.3">
      <c r="A70" s="31"/>
      <c r="B70" s="57"/>
      <c r="C70" s="24"/>
      <c r="D70" s="24"/>
      <c r="E70" s="24"/>
      <c r="F70" s="24"/>
      <c r="G70" s="24"/>
      <c r="H70" s="41"/>
      <c r="I70" s="24"/>
      <c r="J70" s="31"/>
      <c r="K70" s="29"/>
      <c r="L70" s="29"/>
      <c r="M70" s="60"/>
      <c r="N70" s="60"/>
      <c r="O70" s="60"/>
      <c r="P70" s="60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</row>
    <row r="71" spans="1:74" x14ac:dyDescent="0.3">
      <c r="A71" s="31"/>
      <c r="B71" s="57"/>
      <c r="C71" s="24"/>
      <c r="D71" s="24"/>
      <c r="E71" s="24"/>
      <c r="F71" s="24"/>
      <c r="G71" s="24"/>
      <c r="H71" s="41"/>
      <c r="I71" s="24"/>
      <c r="J71" s="31"/>
      <c r="K71" s="29"/>
      <c r="L71" s="29"/>
      <c r="M71" s="60"/>
      <c r="N71" s="60"/>
      <c r="O71" s="60"/>
      <c r="P71" s="60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</row>
    <row r="72" spans="1:74" x14ac:dyDescent="0.3">
      <c r="A72" s="31"/>
      <c r="B72" s="57"/>
      <c r="C72" s="24"/>
      <c r="D72" s="24"/>
      <c r="E72" s="24"/>
      <c r="F72" s="24"/>
      <c r="G72" s="24"/>
      <c r="H72" s="41"/>
      <c r="I72" s="24"/>
      <c r="J72" s="31"/>
      <c r="K72" s="29"/>
      <c r="L72" s="29"/>
      <c r="M72" s="60"/>
      <c r="N72" s="60"/>
      <c r="O72" s="60"/>
      <c r="P72" s="60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</row>
    <row r="73" spans="1:74" x14ac:dyDescent="0.3">
      <c r="A73" s="31"/>
      <c r="B73" s="57"/>
      <c r="C73" s="24"/>
      <c r="D73" s="24"/>
      <c r="E73" s="24"/>
      <c r="F73" s="24"/>
      <c r="G73" s="24"/>
      <c r="H73" s="41"/>
      <c r="I73" s="24"/>
      <c r="J73" s="31"/>
      <c r="K73" s="29"/>
      <c r="L73" s="29"/>
      <c r="M73" s="60"/>
      <c r="N73" s="60"/>
      <c r="O73" s="60"/>
      <c r="P73" s="60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</row>
    <row r="74" spans="1:74" x14ac:dyDescent="0.3">
      <c r="A74" s="31"/>
      <c r="B74" s="57"/>
      <c r="C74" s="24"/>
      <c r="D74" s="24"/>
      <c r="E74" s="24"/>
      <c r="F74" s="24"/>
      <c r="G74" s="24"/>
      <c r="H74" s="41"/>
      <c r="I74" s="24"/>
      <c r="J74" s="31"/>
      <c r="K74" s="29"/>
      <c r="L74" s="29"/>
      <c r="M74" s="60"/>
      <c r="N74" s="60"/>
      <c r="O74" s="60"/>
      <c r="P74" s="60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</row>
    <row r="75" spans="1:74" x14ac:dyDescent="0.3">
      <c r="A75" s="31"/>
      <c r="B75" s="57"/>
      <c r="C75" s="24"/>
      <c r="D75" s="24"/>
      <c r="E75" s="24"/>
      <c r="F75" s="24"/>
      <c r="G75" s="24"/>
      <c r="H75" s="41"/>
      <c r="I75" s="24"/>
      <c r="J75" s="31"/>
      <c r="K75" s="29"/>
      <c r="L75" s="29"/>
      <c r="M75" s="60"/>
      <c r="N75" s="60"/>
      <c r="O75" s="60"/>
      <c r="P75" s="60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</row>
    <row r="76" spans="1:74" x14ac:dyDescent="0.3">
      <c r="A76" s="31"/>
      <c r="B76" s="57"/>
      <c r="C76" s="24"/>
      <c r="D76" s="24"/>
      <c r="E76" s="24"/>
      <c r="F76" s="24"/>
      <c r="G76" s="24"/>
      <c r="H76" s="41"/>
      <c r="I76" s="24"/>
      <c r="J76" s="31"/>
      <c r="K76" s="29"/>
      <c r="L76" s="29"/>
      <c r="M76" s="60"/>
      <c r="N76" s="60"/>
      <c r="O76" s="60"/>
      <c r="P76" s="60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</row>
    <row r="77" spans="1:74" x14ac:dyDescent="0.3">
      <c r="A77" s="31"/>
      <c r="B77" s="57"/>
      <c r="C77" s="24"/>
      <c r="D77" s="24"/>
      <c r="E77" s="24"/>
      <c r="F77" s="24"/>
      <c r="G77" s="24"/>
      <c r="H77" s="41"/>
      <c r="I77" s="24"/>
      <c r="J77" s="31"/>
      <c r="K77" s="29"/>
      <c r="L77" s="29"/>
      <c r="M77" s="60"/>
      <c r="N77" s="60"/>
      <c r="O77" s="60"/>
      <c r="P77" s="60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</row>
    <row r="78" spans="1:74" x14ac:dyDescent="0.3">
      <c r="A78" s="31"/>
      <c r="B78" s="57"/>
      <c r="C78" s="24"/>
      <c r="D78" s="24"/>
      <c r="E78" s="24"/>
      <c r="F78" s="24"/>
      <c r="G78" s="24"/>
      <c r="H78" s="41"/>
      <c r="I78" s="24"/>
      <c r="J78" s="31"/>
      <c r="K78" s="29"/>
      <c r="L78" s="29"/>
      <c r="M78" s="60"/>
      <c r="N78" s="60"/>
      <c r="O78" s="60"/>
      <c r="P78" s="60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</row>
    <row r="79" spans="1:74" x14ac:dyDescent="0.3">
      <c r="A79" s="31"/>
      <c r="B79" s="57"/>
      <c r="C79" s="24"/>
      <c r="D79" s="24"/>
      <c r="E79" s="24"/>
      <c r="F79" s="24"/>
      <c r="G79" s="24"/>
      <c r="H79" s="41"/>
      <c r="I79" s="24"/>
      <c r="J79" s="31"/>
      <c r="K79" s="29"/>
      <c r="L79" s="29"/>
      <c r="M79" s="60"/>
      <c r="N79" s="60"/>
      <c r="O79" s="60"/>
      <c r="P79" s="60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</row>
    <row r="80" spans="1:74" x14ac:dyDescent="0.3">
      <c r="A80" s="31"/>
      <c r="B80" s="57"/>
      <c r="C80" s="24"/>
      <c r="D80" s="24"/>
      <c r="E80" s="24"/>
      <c r="F80" s="24"/>
      <c r="G80" s="24"/>
      <c r="H80" s="41"/>
      <c r="I80" s="24"/>
      <c r="J80" s="31"/>
      <c r="K80" s="29"/>
      <c r="L80" s="29"/>
      <c r="M80" s="60"/>
      <c r="N80" s="60"/>
      <c r="O80" s="60"/>
      <c r="P80" s="60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</row>
    <row r="81" spans="1:74" x14ac:dyDescent="0.3">
      <c r="A81" s="31"/>
      <c r="B81" s="57"/>
      <c r="C81" s="24"/>
      <c r="D81" s="24"/>
      <c r="E81" s="24"/>
      <c r="F81" s="24"/>
      <c r="G81" s="24"/>
      <c r="H81" s="41"/>
      <c r="I81" s="24"/>
      <c r="J81" s="31"/>
      <c r="K81" s="29"/>
      <c r="L81" s="29"/>
      <c r="M81" s="60"/>
      <c r="N81" s="60"/>
      <c r="O81" s="60"/>
      <c r="P81" s="60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</row>
    <row r="82" spans="1:74" x14ac:dyDescent="0.3">
      <c r="A82" s="31"/>
      <c r="B82" s="57"/>
      <c r="C82" s="24"/>
      <c r="D82" s="24"/>
      <c r="E82" s="24"/>
      <c r="F82" s="24"/>
      <c r="G82" s="24"/>
      <c r="H82" s="41"/>
      <c r="I82" s="24"/>
      <c r="J82" s="31"/>
      <c r="K82" s="29"/>
      <c r="L82" s="29"/>
      <c r="M82" s="60"/>
      <c r="N82" s="60"/>
      <c r="O82" s="60"/>
      <c r="P82" s="60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</row>
    <row r="83" spans="1:74" x14ac:dyDescent="0.3">
      <c r="A83" s="31"/>
      <c r="B83" s="57"/>
      <c r="C83" s="24"/>
      <c r="D83" s="24"/>
      <c r="E83" s="24"/>
      <c r="F83" s="24"/>
      <c r="G83" s="24"/>
      <c r="H83" s="41"/>
      <c r="I83" s="24"/>
      <c r="J83" s="31"/>
      <c r="K83" s="29"/>
      <c r="L83" s="29"/>
      <c r="M83" s="60"/>
      <c r="N83" s="60"/>
      <c r="O83" s="60"/>
      <c r="P83" s="60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</row>
    <row r="84" spans="1:74" x14ac:dyDescent="0.3">
      <c r="A84" s="31"/>
      <c r="B84" s="57"/>
      <c r="C84" s="24"/>
      <c r="D84" s="24"/>
      <c r="E84" s="24"/>
      <c r="F84" s="24"/>
      <c r="G84" s="24"/>
      <c r="H84" s="41"/>
      <c r="I84" s="24"/>
      <c r="J84" s="31"/>
      <c r="K84" s="29"/>
      <c r="L84" s="29"/>
      <c r="M84" s="60"/>
      <c r="N84" s="60"/>
      <c r="O84" s="60"/>
      <c r="P84" s="60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</row>
    <row r="85" spans="1:74" x14ac:dyDescent="0.3">
      <c r="A85" s="31"/>
      <c r="B85" s="57"/>
      <c r="C85" s="24"/>
      <c r="D85" s="24"/>
      <c r="E85" s="24"/>
      <c r="F85" s="24"/>
      <c r="G85" s="24"/>
      <c r="H85" s="41"/>
      <c r="I85" s="24"/>
      <c r="J85" s="31"/>
      <c r="K85" s="29"/>
      <c r="L85" s="29"/>
      <c r="M85" s="60"/>
      <c r="N85" s="60"/>
      <c r="O85" s="60"/>
      <c r="P85" s="60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29"/>
      <c r="BM85" s="29"/>
      <c r="BN85" s="29"/>
      <c r="BO85" s="29"/>
      <c r="BP85" s="29"/>
      <c r="BQ85" s="29"/>
      <c r="BR85" s="29"/>
      <c r="BS85" s="29"/>
      <c r="BT85" s="29"/>
      <c r="BU85" s="29"/>
      <c r="BV85" s="29"/>
    </row>
    <row r="86" spans="1:74" x14ac:dyDescent="0.3">
      <c r="A86" s="31"/>
      <c r="B86" s="57"/>
      <c r="C86" s="24"/>
      <c r="D86" s="24"/>
      <c r="E86" s="24"/>
      <c r="F86" s="24"/>
      <c r="G86" s="24"/>
      <c r="H86" s="41"/>
      <c r="I86" s="24"/>
      <c r="J86" s="31"/>
      <c r="K86" s="29"/>
      <c r="L86" s="29"/>
      <c r="M86" s="60"/>
      <c r="N86" s="60"/>
      <c r="O86" s="60"/>
      <c r="P86" s="60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</row>
    <row r="87" spans="1:74" x14ac:dyDescent="0.3">
      <c r="A87" s="31"/>
      <c r="B87" s="57"/>
      <c r="C87" s="24"/>
      <c r="D87" s="24"/>
      <c r="E87" s="24"/>
      <c r="F87" s="24"/>
      <c r="G87" s="24"/>
      <c r="H87" s="41"/>
      <c r="I87" s="24"/>
      <c r="J87" s="31"/>
      <c r="K87" s="29"/>
      <c r="L87" s="29"/>
      <c r="M87" s="60"/>
      <c r="N87" s="60"/>
      <c r="O87" s="60"/>
      <c r="P87" s="60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29"/>
      <c r="BP87" s="29"/>
      <c r="BQ87" s="29"/>
      <c r="BR87" s="29"/>
      <c r="BS87" s="29"/>
      <c r="BT87" s="29"/>
      <c r="BU87" s="29"/>
      <c r="BV87" s="29"/>
    </row>
    <row r="88" spans="1:74" x14ac:dyDescent="0.3">
      <c r="B88" s="11"/>
      <c r="C88" s="7"/>
      <c r="D88" s="7"/>
      <c r="E88" s="7"/>
      <c r="F88" s="7"/>
      <c r="G88" s="7"/>
      <c r="M88" s="10"/>
      <c r="N88" s="10"/>
      <c r="O88" s="10"/>
      <c r="P88" s="10"/>
    </row>
    <row r="89" spans="1:74" x14ac:dyDescent="0.3">
      <c r="M89" s="10"/>
      <c r="N89" s="10"/>
      <c r="O89" s="10"/>
      <c r="P89" s="10"/>
    </row>
  </sheetData>
  <sheetProtection sheet="1" objects="1" scenarios="1" selectLockedCells="1"/>
  <mergeCells count="7">
    <mergeCell ref="B5:H5"/>
    <mergeCell ref="C7:G7"/>
    <mergeCell ref="E9:G9"/>
    <mergeCell ref="D30:E30"/>
    <mergeCell ref="C2:G2"/>
    <mergeCell ref="D4:G4"/>
    <mergeCell ref="D6:G6"/>
  </mergeCells>
  <conditionalFormatting sqref="J10 J12:J13 J15:J19 J21:J23 J25:J29">
    <cfRule type="expression" dxfId="31" priority="47">
      <formula>"h6=1"</formula>
    </cfRule>
  </conditionalFormatting>
  <conditionalFormatting sqref="E9 G13 I12 D15:D19">
    <cfRule type="expression" dxfId="30" priority="46">
      <formula>"e6=""x"""</formula>
    </cfRule>
  </conditionalFormatting>
  <conditionalFormatting sqref="I4">
    <cfRule type="expression" dxfId="29" priority="45">
      <formula>"""=""H1=""1"""""""</formula>
    </cfRule>
  </conditionalFormatting>
  <conditionalFormatting sqref="F10 F12:F13 F15:F29">
    <cfRule type="expression" dxfId="28" priority="43">
      <formula>"$D$6=$H$1"</formula>
    </cfRule>
  </conditionalFormatting>
  <conditionalFormatting sqref="C10">
    <cfRule type="expression" dxfId="27" priority="42">
      <formula>"$D6=$H$1"</formula>
    </cfRule>
  </conditionalFormatting>
  <conditionalFormatting sqref="J4">
    <cfRule type="expression" dxfId="26" priority="41">
      <formula>"f7=c7"</formula>
    </cfRule>
  </conditionalFormatting>
  <conditionalFormatting sqref="D10 D12">
    <cfRule type="expression" dxfId="25" priority="39">
      <formula>"e6=""x"""</formula>
    </cfRule>
  </conditionalFormatting>
  <conditionalFormatting sqref="I10 G15:G19">
    <cfRule type="expression" dxfId="24" priority="38">
      <formula>"e6=""x"""</formula>
    </cfRule>
  </conditionalFormatting>
  <conditionalFormatting sqref="J11">
    <cfRule type="expression" dxfId="16" priority="23">
      <formula>"h6=1"</formula>
    </cfRule>
  </conditionalFormatting>
  <conditionalFormatting sqref="F11">
    <cfRule type="expression" dxfId="15" priority="22">
      <formula>"$D$6=$H$1"</formula>
    </cfRule>
  </conditionalFormatting>
  <conditionalFormatting sqref="D11">
    <cfRule type="expression" dxfId="14" priority="21">
      <formula>"e6=""x"""</formula>
    </cfRule>
  </conditionalFormatting>
  <conditionalFormatting sqref="G10:G12">
    <cfRule type="expression" dxfId="13" priority="20">
      <formula>"e6=""x"""</formula>
    </cfRule>
  </conditionalFormatting>
  <conditionalFormatting sqref="I16">
    <cfRule type="expression" dxfId="12" priority="18">
      <formula>"e6=""x"""</formula>
    </cfRule>
  </conditionalFormatting>
  <conditionalFormatting sqref="J14">
    <cfRule type="expression" dxfId="11" priority="17">
      <formula>"h6=1"</formula>
    </cfRule>
  </conditionalFormatting>
  <conditionalFormatting sqref="G14">
    <cfRule type="expression" dxfId="10" priority="16">
      <formula>"e6=""x"""</formula>
    </cfRule>
  </conditionalFormatting>
  <conditionalFormatting sqref="F14">
    <cfRule type="expression" dxfId="9" priority="15">
      <formula>"$D$6=$H$1"</formula>
    </cfRule>
  </conditionalFormatting>
  <conditionalFormatting sqref="D14">
    <cfRule type="expression" dxfId="8" priority="14">
      <formula>"e6=""x"""</formula>
    </cfRule>
  </conditionalFormatting>
  <conditionalFormatting sqref="C11:C29">
    <cfRule type="expression" dxfId="7" priority="8">
      <formula>"$D6=$H$1"</formula>
    </cfRule>
  </conditionalFormatting>
  <conditionalFormatting sqref="D13">
    <cfRule type="expression" dxfId="4" priority="4">
      <formula>"e6=""x"""</formula>
    </cfRule>
  </conditionalFormatting>
  <conditionalFormatting sqref="I15">
    <cfRule type="expression" dxfId="3" priority="5">
      <formula>"e6=""x"""</formula>
    </cfRule>
  </conditionalFormatting>
  <conditionalFormatting sqref="D20:D29">
    <cfRule type="expression" dxfId="2" priority="3">
      <formula>"e6=""x"""</formula>
    </cfRule>
  </conditionalFormatting>
  <conditionalFormatting sqref="G20:G29">
    <cfRule type="expression" dxfId="1" priority="2">
      <formula>"e6=""x"""</formula>
    </cfRule>
  </conditionalFormatting>
  <conditionalFormatting sqref="I19:I29">
    <cfRule type="expression" dxfId="0" priority="1">
      <formula>"e6=""x"""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Verb Forms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2019-07-23T21:26:22Z</dcterms:created>
  <dcterms:modified xsi:type="dcterms:W3CDTF">2019-07-29T20:30:42Z</dcterms:modified>
</cp:coreProperties>
</file>