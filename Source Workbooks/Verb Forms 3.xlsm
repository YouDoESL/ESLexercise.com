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Working HACC Sheets\"/>
    </mc:Choice>
  </mc:AlternateContent>
  <xr:revisionPtr revIDLastSave="0" documentId="8_{3A870AC2-B686-440B-9969-846E880D7506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Verb Forms 3" sheetId="2" r:id="rId1"/>
  </sheets>
  <externalReferences>
    <externalReference r:id="rId2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4" i="2" l="1"/>
  <c r="C22" i="2"/>
  <c r="D9" i="2"/>
  <c r="G24" i="2"/>
  <c r="C37" i="2"/>
  <c r="F36" i="2"/>
  <c r="D16" i="2"/>
  <c r="G17" i="2"/>
  <c r="F33" i="2"/>
  <c r="C21" i="2"/>
  <c r="F14" i="2"/>
  <c r="G35" i="2"/>
  <c r="C31" i="2"/>
  <c r="F30" i="2"/>
  <c r="C13" i="2"/>
  <c r="D38" i="2"/>
  <c r="G13" i="2"/>
  <c r="F23" i="2"/>
  <c r="G12" i="2"/>
  <c r="C24" i="2"/>
  <c r="C34" i="2"/>
  <c r="F37" i="2"/>
  <c r="C29" i="2"/>
  <c r="D34" i="2"/>
  <c r="G32" i="2"/>
  <c r="F40" i="2"/>
  <c r="F25" i="2"/>
  <c r="C17" i="2"/>
  <c r="C26" i="2"/>
  <c r="G14" i="2"/>
  <c r="F17" i="2"/>
  <c r="F28" i="2"/>
  <c r="G39" i="2"/>
  <c r="C16" i="2"/>
  <c r="G11" i="2"/>
  <c r="C25" i="2"/>
  <c r="F24" i="2"/>
  <c r="F11" i="2"/>
  <c r="D25" i="2"/>
  <c r="F27" i="2"/>
  <c r="G37" i="2"/>
  <c r="C10" i="2"/>
  <c r="D31" i="2"/>
  <c r="C19" i="2"/>
  <c r="F18" i="2"/>
  <c r="D15" i="2"/>
  <c r="C40" i="2"/>
  <c r="C15" i="2"/>
  <c r="C18" i="2"/>
  <c r="F9" i="2"/>
  <c r="F26" i="2"/>
  <c r="D30" i="2"/>
  <c r="C12" i="2"/>
  <c r="D18" i="2"/>
  <c r="C11" i="2"/>
  <c r="C38" i="2"/>
  <c r="C14" i="2"/>
  <c r="D21" i="2"/>
  <c r="F12" i="2"/>
  <c r="F39" i="2"/>
  <c r="D20" i="2"/>
  <c r="D40" i="2"/>
  <c r="F16" i="2"/>
  <c r="F22" i="2"/>
  <c r="G28" i="2"/>
  <c r="F32" i="2"/>
  <c r="D19" i="2"/>
  <c r="G33" i="2"/>
  <c r="C30" i="2"/>
  <c r="F35" i="2"/>
  <c r="F15" i="2"/>
  <c r="F21" i="2"/>
  <c r="G27" i="2"/>
  <c r="F38" i="2"/>
  <c r="F13" i="2"/>
  <c r="G23" i="2"/>
  <c r="C36" i="2"/>
  <c r="F29" i="2"/>
  <c r="F10" i="2"/>
  <c r="F20" i="2"/>
  <c r="G10" i="2"/>
  <c r="C39" i="2"/>
  <c r="C35" i="2"/>
  <c r="D36" i="2"/>
  <c r="C32" i="2"/>
  <c r="G22" i="2"/>
  <c r="C33" i="2"/>
  <c r="F31" i="2"/>
  <c r="C23" i="2"/>
  <c r="C28" i="2"/>
  <c r="C20" i="2"/>
  <c r="D26" i="2"/>
  <c r="C27" i="2"/>
  <c r="F19" i="2"/>
  <c r="G29" i="2"/>
  <c r="H9" i="2" l="1"/>
  <c r="B39" i="2"/>
  <c r="B37" i="2"/>
  <c r="B35" i="2"/>
  <c r="B33" i="2"/>
  <c r="B32" i="2"/>
  <c r="B29" i="2"/>
  <c r="B28" i="2"/>
  <c r="B27" i="2"/>
  <c r="B24" i="2"/>
  <c r="B23" i="2"/>
  <c r="B22" i="2"/>
  <c r="B17" i="2"/>
  <c r="B14" i="2"/>
  <c r="B13" i="2"/>
  <c r="B12" i="2"/>
  <c r="B11" i="2"/>
  <c r="B10" i="2"/>
  <c r="E39" i="2"/>
  <c r="H39" i="2" s="1"/>
  <c r="E37" i="2"/>
  <c r="A37" i="2" s="1"/>
  <c r="E35" i="2"/>
  <c r="A35" i="2" s="1"/>
  <c r="E33" i="2"/>
  <c r="A33" i="2" s="1"/>
  <c r="E32" i="2"/>
  <c r="A32" i="2" s="1"/>
  <c r="E29" i="2"/>
  <c r="A29" i="2" s="1"/>
  <c r="E28" i="2"/>
  <c r="H28" i="2" s="1"/>
  <c r="E27" i="2"/>
  <c r="H27" i="2" s="1"/>
  <c r="E24" i="2"/>
  <c r="A24" i="2" s="1"/>
  <c r="E23" i="2"/>
  <c r="A23" i="2" s="1"/>
  <c r="E22" i="2"/>
  <c r="A22" i="2" s="1"/>
  <c r="E17" i="2"/>
  <c r="A17" i="2" s="1"/>
  <c r="E14" i="2"/>
  <c r="A14" i="2" s="1"/>
  <c r="H14" i="2" s="1"/>
  <c r="E13" i="2"/>
  <c r="A13" i="2" s="1"/>
  <c r="H13" i="2" s="1"/>
  <c r="E12" i="2"/>
  <c r="A12" i="2" s="1"/>
  <c r="H12" i="2" s="1"/>
  <c r="E11" i="2"/>
  <c r="A11" i="2" s="1"/>
  <c r="H11" i="2" s="1"/>
  <c r="E10" i="2"/>
  <c r="A10" i="2" s="1"/>
  <c r="H10" i="2" s="1"/>
  <c r="E40" i="2"/>
  <c r="A40" i="2" s="1"/>
  <c r="B40" i="2" s="1"/>
  <c r="E38" i="2"/>
  <c r="A38" i="2" s="1"/>
  <c r="B38" i="2" s="1"/>
  <c r="E36" i="2"/>
  <c r="A36" i="2" s="1"/>
  <c r="B36" i="2" s="1"/>
  <c r="E34" i="2"/>
  <c r="A34" i="2" s="1"/>
  <c r="B34" i="2" s="1"/>
  <c r="E31" i="2"/>
  <c r="A31" i="2" s="1"/>
  <c r="B31" i="2" s="1"/>
  <c r="E30" i="2"/>
  <c r="A30" i="2" s="1"/>
  <c r="B30" i="2" s="1"/>
  <c r="E26" i="2"/>
  <c r="A26" i="2" s="1"/>
  <c r="B26" i="2" s="1"/>
  <c r="E25" i="2"/>
  <c r="A25" i="2" s="1"/>
  <c r="B25" i="2" s="1"/>
  <c r="E21" i="2"/>
  <c r="A21" i="2" s="1"/>
  <c r="B21" i="2" s="1"/>
  <c r="E20" i="2"/>
  <c r="A20" i="2" s="1"/>
  <c r="B20" i="2" s="1"/>
  <c r="E19" i="2"/>
  <c r="A19" i="2" s="1"/>
  <c r="B19" i="2" s="1"/>
  <c r="E18" i="2"/>
  <c r="A18" i="2" s="1"/>
  <c r="B18" i="2" s="1"/>
  <c r="E16" i="2"/>
  <c r="A16" i="2" s="1"/>
  <c r="B16" i="2" s="1"/>
  <c r="E15" i="2"/>
  <c r="A15" i="2" s="1"/>
  <c r="B15" i="2" s="1"/>
  <c r="E9" i="2"/>
  <c r="A9" i="2" s="1"/>
  <c r="B9" i="2" s="1"/>
  <c r="H40" i="2"/>
  <c r="H38" i="2"/>
  <c r="H36" i="2"/>
  <c r="H34" i="2"/>
  <c r="H31" i="2"/>
  <c r="H30" i="2"/>
  <c r="H26" i="2"/>
  <c r="H25" i="2"/>
  <c r="H21" i="2"/>
  <c r="H20" i="2"/>
  <c r="H19" i="2"/>
  <c r="H18" i="2"/>
  <c r="H16" i="2"/>
  <c r="H15" i="2"/>
  <c r="I26" i="2" l="1"/>
  <c r="I16" i="2"/>
  <c r="I9" i="2"/>
  <c r="I19" i="2"/>
  <c r="I20" i="2"/>
  <c r="I28" i="2"/>
  <c r="I31" i="2"/>
  <c r="I21" i="2"/>
  <c r="I15" i="2"/>
  <c r="I25" i="2"/>
  <c r="I40" i="2"/>
  <c r="I18" i="2"/>
  <c r="I30" i="2"/>
  <c r="A39" i="2"/>
  <c r="H37" i="2"/>
  <c r="I37" i="2" s="1"/>
  <c r="H35" i="2"/>
  <c r="I35" i="2" s="1"/>
  <c r="H33" i="2"/>
  <c r="I33" i="2" s="1"/>
  <c r="H32" i="2"/>
  <c r="I32" i="2" s="1"/>
  <c r="H29" i="2"/>
  <c r="I29" i="2" s="1"/>
  <c r="A28" i="2"/>
  <c r="I27" i="2"/>
  <c r="A27" i="2"/>
  <c r="H24" i="2"/>
  <c r="I24" i="2" s="1"/>
  <c r="H23" i="2"/>
  <c r="I23" i="2" s="1"/>
  <c r="H22" i="2"/>
  <c r="I22" i="2" s="1"/>
  <c r="H17" i="2"/>
  <c r="I17" i="2" s="1"/>
  <c r="I39" i="2"/>
  <c r="I38" i="2"/>
  <c r="I36" i="2"/>
  <c r="I34" i="2"/>
  <c r="D41" i="2" l="1"/>
  <c r="I12" i="2" l="1"/>
  <c r="I14" i="2"/>
  <c r="I10" i="2"/>
  <c r="I11" i="2"/>
  <c r="I13" i="2"/>
</calcChain>
</file>

<file path=xl/sharedStrings.xml><?xml version="1.0" encoding="utf-8"?>
<sst xmlns="http://schemas.openxmlformats.org/spreadsheetml/2006/main" count="73" uniqueCount="65">
  <si>
    <t>It is expensive.</t>
  </si>
  <si>
    <t>She is smart.</t>
  </si>
  <si>
    <t>She can start soon.</t>
  </si>
  <si>
    <t>He should start.</t>
  </si>
  <si>
    <t>It will end tomorrow.</t>
  </si>
  <si>
    <t>It will be here.</t>
  </si>
  <si>
    <t>He is not here.</t>
  </si>
  <si>
    <t>He should be here.</t>
  </si>
  <si>
    <t>Can she start?</t>
  </si>
  <si>
    <t>He should not be here.</t>
  </si>
  <si>
    <t>The girls are happy.</t>
  </si>
  <si>
    <t>There are 3 girls here.</t>
  </si>
  <si>
    <t>She is a girl.</t>
  </si>
  <si>
    <t>They can wait here.</t>
  </si>
  <si>
    <t>They are girls.</t>
  </si>
  <si>
    <t>They are boys.</t>
  </si>
  <si>
    <t>There is 1 car there.</t>
  </si>
  <si>
    <t>It is a car.</t>
  </si>
  <si>
    <t>The boy is here.</t>
  </si>
  <si>
    <t>He can not speak English.</t>
  </si>
  <si>
    <t>It will not be here.</t>
  </si>
  <si>
    <t>The girl is happy.</t>
  </si>
  <si>
    <t>He is a boy.</t>
  </si>
  <si>
    <t>They are cars.</t>
  </si>
  <si>
    <t>Howard Area Community Center -- ESL3</t>
  </si>
  <si>
    <t>#end</t>
  </si>
  <si>
    <t>Student's name:</t>
  </si>
  <si>
    <t>Should he start?</t>
  </si>
  <si>
    <t>She can start.</t>
  </si>
  <si>
    <t>There is 1 boy here.</t>
  </si>
  <si>
    <t>There are 2 cars there.</t>
  </si>
  <si>
    <t>They will come.</t>
  </si>
  <si>
    <t>They are happy.</t>
  </si>
  <si>
    <t>"He", "is" and "a" are all singular.</t>
  </si>
  <si>
    <t>"He" is singular, whether here or not.</t>
  </si>
  <si>
    <t>"are' must have a plural subject.</t>
  </si>
  <si>
    <t>"is" must have a singular subject.</t>
  </si>
  <si>
    <t>"It" requires the singular form of "be".</t>
  </si>
  <si>
    <t>"She" requires the singular form of "be".</t>
  </si>
  <si>
    <t xml:space="preserve">The modal "can" requires the infinitive "start" </t>
  </si>
  <si>
    <t>The modal "will" requires the infinitive "end".</t>
  </si>
  <si>
    <t xml:space="preserve">The modal "will" requires the infinitive "be". </t>
  </si>
  <si>
    <t>A question requires a "?"</t>
  </si>
  <si>
    <t>If it were a question, it would say "Can she ..."</t>
  </si>
  <si>
    <t>The modal "can" requires the infinitive "wait".</t>
  </si>
  <si>
    <t>"cars" require a plural form of "be".</t>
  </si>
  <si>
    <t xml:space="preserve">One car requires "is" </t>
  </si>
  <si>
    <t>"They" and "are" both require plural</t>
  </si>
  <si>
    <t>If it is a question it's "Will they ...?"</t>
  </si>
  <si>
    <t>Modal, then "not", then the verb.</t>
  </si>
  <si>
    <t>They are plural, of course.</t>
  </si>
  <si>
    <t>One in each pair is a good English sentence. The other is never correct.</t>
  </si>
  <si>
    <t>A question needs a ?</t>
  </si>
  <si>
    <t>√</t>
  </si>
  <si>
    <t>Will they come?</t>
  </si>
  <si>
    <t xml:space="preserve"> CORRECT</t>
  </si>
  <si>
    <t>Any negative modal will be followed by "not".</t>
  </si>
  <si>
    <t>Any negative modal will be followed by "not"..</t>
  </si>
  <si>
    <t>Not a question, since doesn't start with "Should".</t>
  </si>
  <si>
    <t>The modal "should" requires the infinitive "be".</t>
  </si>
  <si>
    <t>"It", "is" and "a" are all singular.</t>
  </si>
  <si>
    <t>Because:</t>
  </si>
  <si>
    <t>Verb Forms</t>
  </si>
  <si>
    <t>Boys are here.</t>
  </si>
  <si>
    <t>Mark "x" next to the one with a MISTAKE. Then fix 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</si>
</sst>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Times New Roman"/>
      <family val="1"/>
    </font>
    <font>
      <sz val="11"/>
      <name val="Calibri"/>
      <family val="2"/>
      <scheme val="minor"/>
    </font>
    <font>
      <sz val="18"/>
      <name val="Calibri"/>
      <family val="2"/>
      <scheme val="minor"/>
    </font>
    <font>
      <sz val="16"/>
      <name val="Calibri"/>
      <family val="2"/>
      <scheme val="minor"/>
    </font>
    <font>
      <sz val="14"/>
      <name val="Times New Roman"/>
      <family val="1"/>
    </font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theme="0"/>
      <name val="Times New Roman"/>
      <family val="1"/>
    </font>
    <font>
      <sz val="11"/>
      <color theme="0"/>
      <name val="Calibri"/>
      <family val="2"/>
    </font>
    <font>
      <sz val="16"/>
      <color theme="1"/>
      <name val="Times New Roman"/>
      <family val="1"/>
    </font>
    <font>
      <sz val="16"/>
      <name val="Times New Roman"/>
      <family val="1"/>
    </font>
    <font>
      <u/>
      <sz val="16"/>
      <name val="Times New Roman"/>
      <family val="1"/>
    </font>
    <font>
      <b/>
      <sz val="15"/>
      <color rgb="FF00B050"/>
      <name val="Times New Roman"/>
      <family val="1"/>
    </font>
    <font>
      <u/>
      <sz val="1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49">
    <xf numFmtId="0" fontId="0" fillId="0" borderId="0" xfId="0"/>
    <xf numFmtId="0" fontId="1" fillId="0" borderId="0" xfId="0" applyFont="1"/>
    <xf numFmtId="0" fontId="3" fillId="0" borderId="0" xfId="0" applyFont="1" applyProtection="1"/>
    <xf numFmtId="0" fontId="1" fillId="3" borderId="0" xfId="0" applyFont="1" applyFill="1" applyProtection="1"/>
    <xf numFmtId="0" fontId="1" fillId="3" borderId="0" xfId="0" applyFont="1" applyFill="1"/>
    <xf numFmtId="0" fontId="3" fillId="0" borderId="0" xfId="0" applyFont="1" applyAlignment="1" applyProtection="1">
      <alignment horizontal="right"/>
    </xf>
    <xf numFmtId="0" fontId="3" fillId="0" borderId="0" xfId="0" applyFont="1" applyAlignment="1" applyProtection="1">
      <alignment horizontal="center"/>
    </xf>
    <xf numFmtId="0" fontId="3" fillId="0" borderId="0" xfId="0" applyFont="1" applyAlignment="1" applyProtection="1"/>
    <xf numFmtId="0" fontId="0" fillId="3" borderId="0" xfId="0" applyFill="1"/>
    <xf numFmtId="0" fontId="3" fillId="3" borderId="0" xfId="0" applyFont="1" applyFill="1"/>
    <xf numFmtId="0" fontId="6" fillId="0" borderId="0" xfId="0" applyFont="1" applyAlignment="1">
      <alignment horizontal="right"/>
    </xf>
    <xf numFmtId="0" fontId="5" fillId="3" borderId="0" xfId="0" applyFont="1" applyFill="1" applyAlignment="1">
      <alignment horizontal="center"/>
    </xf>
    <xf numFmtId="0" fontId="11" fillId="0" borderId="0" xfId="0" applyFont="1"/>
    <xf numFmtId="0" fontId="6" fillId="0" borderId="0" xfId="0" applyFont="1" applyAlignment="1">
      <alignment horizontal="left"/>
    </xf>
    <xf numFmtId="0" fontId="12" fillId="3" borderId="0" xfId="0" applyFont="1" applyFill="1"/>
    <xf numFmtId="0" fontId="4" fillId="3" borderId="0" xfId="0" applyFont="1" applyFill="1" applyAlignment="1" applyProtection="1">
      <alignment horizontal="center"/>
    </xf>
    <xf numFmtId="0" fontId="9" fillId="0" borderId="0" xfId="0" applyFont="1" applyAlignment="1">
      <alignment horizontal="center"/>
    </xf>
    <xf numFmtId="0" fontId="6" fillId="3" borderId="1" xfId="0" applyFont="1" applyFill="1" applyBorder="1" applyProtection="1">
      <protection locked="0"/>
    </xf>
    <xf numFmtId="0" fontId="9" fillId="0" borderId="0" xfId="0" applyFont="1"/>
    <xf numFmtId="0" fontId="13" fillId="3" borderId="2" xfId="0" applyFont="1" applyFill="1" applyBorder="1" applyAlignment="1">
      <alignment horizontal="right" vertical="center" wrapText="1"/>
    </xf>
    <xf numFmtId="0" fontId="1" fillId="3" borderId="0" xfId="0" applyFont="1" applyFill="1" applyAlignment="1">
      <alignment horizontal="right"/>
    </xf>
    <xf numFmtId="0" fontId="8" fillId="0" borderId="0" xfId="0" applyFont="1" applyAlignment="1">
      <alignment horizontal="right"/>
    </xf>
    <xf numFmtId="0" fontId="10" fillId="3" borderId="0" xfId="0" applyFont="1" applyFill="1" applyAlignment="1">
      <alignment horizontal="right"/>
    </xf>
    <xf numFmtId="9" fontId="9" fillId="3" borderId="0" xfId="1" applyFont="1" applyFill="1" applyAlignment="1">
      <alignment horizontal="left"/>
    </xf>
    <xf numFmtId="0" fontId="10" fillId="3" borderId="0" xfId="0" applyFont="1" applyFill="1"/>
    <xf numFmtId="0" fontId="15" fillId="3" borderId="0" xfId="0" applyFont="1" applyFill="1" applyBorder="1" applyAlignment="1">
      <alignment vertical="center" wrapText="1"/>
    </xf>
    <xf numFmtId="0" fontId="3" fillId="3" borderId="0" xfId="0" applyFont="1" applyFill="1" applyBorder="1"/>
    <xf numFmtId="0" fontId="2" fillId="3" borderId="0" xfId="0" applyFont="1" applyFill="1" applyAlignment="1">
      <alignment vertical="center" wrapText="1"/>
    </xf>
    <xf numFmtId="0" fontId="3" fillId="3" borderId="0" xfId="0" applyFont="1" applyFill="1" applyAlignment="1">
      <alignment horizontal="right"/>
    </xf>
    <xf numFmtId="0" fontId="3" fillId="0" borderId="0" xfId="0" applyFont="1" applyAlignment="1" applyProtection="1">
      <alignment horizontal="left"/>
    </xf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14" fillId="3" borderId="0" xfId="0" applyFont="1" applyFill="1" applyAlignment="1">
      <alignment horizontal="left" vertical="center" wrapText="1"/>
    </xf>
    <xf numFmtId="0" fontId="2" fillId="3" borderId="0" xfId="0" applyFont="1" applyFill="1" applyAlignment="1">
      <alignment horizontal="left" vertical="center" wrapText="1"/>
    </xf>
    <xf numFmtId="0" fontId="16" fillId="3" borderId="1" xfId="0" applyFont="1" applyFill="1" applyBorder="1" applyAlignment="1" applyProtection="1">
      <alignment vertical="center" wrapText="1"/>
    </xf>
    <xf numFmtId="0" fontId="1" fillId="3" borderId="0" xfId="0" applyFont="1" applyFill="1" applyBorder="1"/>
    <xf numFmtId="0" fontId="10" fillId="3" borderId="0" xfId="0" applyFont="1" applyFill="1" applyBorder="1" applyAlignment="1">
      <alignment horizontal="center"/>
    </xf>
    <xf numFmtId="0" fontId="10" fillId="3" borderId="0" xfId="0" applyFont="1" applyFill="1" applyBorder="1"/>
    <xf numFmtId="0" fontId="11" fillId="3" borderId="0" xfId="0" applyFont="1" applyFill="1" applyBorder="1"/>
    <xf numFmtId="0" fontId="8" fillId="2" borderId="1" xfId="0" applyFont="1" applyFill="1" applyBorder="1" applyAlignment="1" applyProtection="1">
      <alignment vertical="center" wrapText="1"/>
      <protection locked="0"/>
    </xf>
    <xf numFmtId="0" fontId="8" fillId="2" borderId="1" xfId="0" applyFont="1" applyFill="1" applyBorder="1" applyAlignment="1" applyProtection="1">
      <alignment vertical="center" wrapText="1"/>
    </xf>
    <xf numFmtId="0" fontId="4" fillId="3" borderId="0" xfId="0" applyFont="1" applyFill="1" applyAlignment="1" applyProtection="1">
      <alignment horizontal="center"/>
    </xf>
    <xf numFmtId="0" fontId="9" fillId="0" borderId="0" xfId="0" applyFont="1" applyAlignment="1">
      <alignment horizontal="center"/>
    </xf>
    <xf numFmtId="0" fontId="13" fillId="2" borderId="2" xfId="0" applyFont="1" applyFill="1" applyBorder="1" applyAlignment="1" applyProtection="1">
      <alignment vertical="center" wrapText="1"/>
      <protection locked="0"/>
    </xf>
    <xf numFmtId="0" fontId="13" fillId="2" borderId="3" xfId="0" applyFont="1" applyFill="1" applyBorder="1" applyAlignment="1" applyProtection="1">
      <alignment vertical="center" wrapText="1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9" fontId="5" fillId="3" borderId="5" xfId="1" applyFont="1" applyFill="1" applyBorder="1" applyAlignment="1">
      <alignment horizontal="right"/>
    </xf>
    <xf numFmtId="0" fontId="17" fillId="3" borderId="0" xfId="0" applyFont="1" applyFill="1" applyAlignment="1" applyProtection="1">
      <alignment horizontal="center"/>
    </xf>
  </cellXfs>
  <cellStyles count="2">
    <cellStyle name="Normal" xfId="0" builtinId="0"/>
    <cellStyle name="Percent" xfId="1" builtinId="5"/>
  </cellStyles>
  <dxfs count="14">
    <dxf>
      <font>
        <color theme="0"/>
      </font>
      <fill>
        <patternFill>
          <fgColor theme="0"/>
          <bgColor theme="5"/>
        </patternFill>
      </fill>
    </dxf>
    <dxf>
      <font>
        <color theme="5" tint="0.59996337778862885"/>
      </font>
      <fill>
        <patternFill>
          <bgColor theme="7" tint="0.79998168889431442"/>
        </patternFill>
      </fill>
    </dxf>
    <dxf>
      <font>
        <color theme="5" tint="0.59996337778862885"/>
      </font>
      <fill>
        <patternFill>
          <bgColor theme="7" tint="0.79998168889431442"/>
        </patternFill>
      </fill>
    </dxf>
    <dxf>
      <font>
        <color theme="0"/>
      </font>
      <fill>
        <patternFill>
          <fgColor theme="0"/>
        </patternFill>
      </fill>
    </dxf>
    <dxf>
      <font>
        <color theme="1"/>
      </font>
    </dxf>
    <dxf>
      <font>
        <color theme="0"/>
      </font>
      <fill>
        <patternFill>
          <fgColor theme="0"/>
          <bgColor theme="5"/>
        </patternFill>
      </fill>
    </dxf>
    <dxf>
      <font>
        <color theme="5" tint="0.59996337778862885"/>
      </font>
      <fill>
        <patternFill>
          <bgColor theme="7" tint="0.79998168889431442"/>
        </patternFill>
      </fill>
    </dxf>
    <dxf>
      <font>
        <color theme="5" tint="0.59996337778862885"/>
      </font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</patternFill>
      </fill>
    </dxf>
    <dxf>
      <font>
        <b val="0"/>
        <i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theme="7" tint="0.79998168889431442"/>
        </patternFill>
      </fill>
    </dxf>
    <dxf>
      <font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8A338-B972-4256-90E5-E4B160978BE7}">
  <dimension ref="A1:Q100"/>
  <sheetViews>
    <sheetView showGridLines="0" tabSelected="1" workbookViewId="0">
      <selection activeCell="E8" sqref="E8:G8"/>
    </sheetView>
  </sheetViews>
  <sheetFormatPr defaultRowHeight="14.4" x14ac:dyDescent="0.3"/>
  <cols>
    <col min="1" max="1" width="3.109375" customWidth="1"/>
    <col min="2" max="2" width="11.21875" style="20" customWidth="1"/>
    <col min="3" max="3" width="3.6640625" customWidth="1"/>
    <col min="4" max="4" width="28" customWidth="1"/>
    <col min="5" max="5" width="3.44140625" style="8" customWidth="1"/>
    <col min="6" max="6" width="3.33203125" customWidth="1"/>
    <col min="7" max="7" width="27.33203125" customWidth="1"/>
    <col min="8" max="8" width="10.88671875" style="32" customWidth="1"/>
    <col min="9" max="9" width="50" style="9" customWidth="1"/>
    <col min="10" max="10" width="3.77734375" style="1" customWidth="1"/>
    <col min="12" max="12" width="3.109375" customWidth="1"/>
  </cols>
  <sheetData>
    <row r="1" spans="1:17" ht="18" customHeight="1" x14ac:dyDescent="0.3">
      <c r="A1" s="4"/>
      <c r="B1" s="3"/>
      <c r="C1" s="4"/>
      <c r="D1" s="5"/>
      <c r="E1" s="6"/>
      <c r="F1" s="7"/>
      <c r="G1" s="2"/>
      <c r="H1" s="29"/>
      <c r="I1" s="2"/>
      <c r="J1"/>
    </row>
    <row r="2" spans="1:17" ht="18" customHeight="1" x14ac:dyDescent="0.45">
      <c r="A2" s="4"/>
      <c r="B2" s="4"/>
      <c r="C2" s="42" t="s">
        <v>24</v>
      </c>
      <c r="D2" s="42"/>
      <c r="E2" s="42"/>
      <c r="F2" s="42"/>
      <c r="G2" s="42"/>
      <c r="H2" s="30"/>
      <c r="I2" s="15"/>
      <c r="J2" s="36"/>
      <c r="K2" s="36"/>
      <c r="L2" s="36"/>
      <c r="M2" s="36"/>
      <c r="N2" s="36"/>
      <c r="O2" s="36"/>
      <c r="P2" s="36"/>
      <c r="Q2" s="36"/>
    </row>
    <row r="3" spans="1:17" ht="7.2" customHeight="1" x14ac:dyDescent="0.45">
      <c r="A3" s="4"/>
      <c r="B3" s="4"/>
      <c r="C3" s="15"/>
      <c r="H3" s="30"/>
      <c r="I3" s="15"/>
      <c r="J3" s="36"/>
      <c r="K3" s="36"/>
      <c r="L3" s="36"/>
      <c r="M3" s="36"/>
      <c r="N3" s="36"/>
      <c r="O3" s="36"/>
      <c r="P3" s="36"/>
      <c r="Q3" s="36"/>
    </row>
    <row r="4" spans="1:17" ht="23.4" x14ac:dyDescent="0.45">
      <c r="D4" s="48" t="s">
        <v>62</v>
      </c>
      <c r="E4" s="48"/>
      <c r="F4" s="48"/>
      <c r="G4" s="48"/>
      <c r="H4" s="13"/>
      <c r="I4" s="14" t="s">
        <v>53</v>
      </c>
      <c r="J4" s="36"/>
      <c r="K4" s="36"/>
      <c r="L4" s="36"/>
      <c r="M4" s="36"/>
      <c r="N4" s="36"/>
      <c r="O4" s="36"/>
      <c r="P4" s="36"/>
      <c r="Q4" s="36"/>
    </row>
    <row r="5" spans="1:17" ht="21" x14ac:dyDescent="0.4">
      <c r="B5" s="43" t="s">
        <v>51</v>
      </c>
      <c r="C5" s="43"/>
      <c r="D5" s="43"/>
      <c r="E5" s="43"/>
      <c r="F5" s="43"/>
      <c r="G5" s="43"/>
      <c r="H5" s="43"/>
      <c r="I5" s="16"/>
      <c r="J5" s="37"/>
      <c r="K5" s="36"/>
      <c r="L5" s="36"/>
      <c r="M5" s="36"/>
      <c r="N5" s="36"/>
      <c r="O5" s="36"/>
      <c r="P5" s="36"/>
      <c r="Q5" s="36"/>
    </row>
    <row r="6" spans="1:17" ht="21" x14ac:dyDescent="0.4">
      <c r="C6" s="43" t="s">
        <v>64</v>
      </c>
      <c r="D6" s="43"/>
      <c r="E6" s="43"/>
      <c r="F6" s="43"/>
      <c r="G6" s="43"/>
      <c r="H6" s="31"/>
      <c r="I6" s="11"/>
      <c r="J6" s="38"/>
      <c r="K6" s="36"/>
      <c r="L6" s="36"/>
      <c r="M6" s="36"/>
      <c r="N6" s="36"/>
      <c r="O6" s="36"/>
      <c r="P6" s="36"/>
      <c r="Q6" s="36"/>
    </row>
    <row r="7" spans="1:17" x14ac:dyDescent="0.3">
      <c r="J7" s="36"/>
      <c r="K7" s="36"/>
      <c r="L7" s="36"/>
      <c r="M7" s="36"/>
      <c r="N7" s="36"/>
      <c r="O7" s="36"/>
      <c r="P7" s="36"/>
      <c r="Q7" s="36"/>
    </row>
    <row r="8" spans="1:17" ht="21" x14ac:dyDescent="0.4">
      <c r="A8" s="18"/>
      <c r="B8" s="22"/>
      <c r="C8" s="18"/>
      <c r="D8" s="19" t="s">
        <v>26</v>
      </c>
      <c r="E8" s="44"/>
      <c r="F8" s="45"/>
      <c r="G8" s="46"/>
      <c r="H8" s="33"/>
      <c r="I8" s="25" t="s">
        <v>61</v>
      </c>
      <c r="J8" s="38"/>
      <c r="K8" s="38"/>
      <c r="L8" s="38"/>
      <c r="M8" s="36"/>
      <c r="N8" s="36"/>
      <c r="O8" s="36"/>
      <c r="P8" s="36"/>
      <c r="Q8" s="36"/>
    </row>
    <row r="9" spans="1:17" ht="18.600000000000001" x14ac:dyDescent="0.35">
      <c r="A9" s="12">
        <f>IF(E9=$I$4,1,0)</f>
        <v>0</v>
      </c>
      <c r="B9" s="10" t="str">
        <f>IF(AND(D9&lt;&gt;G9,C9="x",$A9=0),"Fix it!","")</f>
        <v/>
      </c>
      <c r="C9" s="17"/>
      <c r="D9" s="40" t="str">
        <f>[1]!wwsInput("Should he start.")</f>
        <v>Should he start.</v>
      </c>
      <c r="E9" s="35" t="str">
        <f>IF(TRIM(PROPER(D9))=TRIM(PROPER(G9)),$I$4,"")</f>
        <v/>
      </c>
      <c r="F9" s="17" t="str">
        <f>[1]!wwsInput()</f>
        <v/>
      </c>
      <c r="G9" s="41" t="s">
        <v>27</v>
      </c>
      <c r="H9" s="13" t="str">
        <f>IF(F9="x","It's good!","")</f>
        <v/>
      </c>
      <c r="I9" s="13" t="str">
        <f t="shared" ref="I9:I40" si="0">IF(OR(B9="Fix it!",H9="Fix it!"),J9,"")</f>
        <v/>
      </c>
      <c r="J9" s="39" t="s">
        <v>52</v>
      </c>
      <c r="K9" s="39"/>
      <c r="L9" s="39"/>
      <c r="M9" s="36"/>
      <c r="N9" s="36"/>
      <c r="O9" s="36"/>
      <c r="P9" s="36"/>
      <c r="Q9" s="36"/>
    </row>
    <row r="10" spans="1:17" ht="18.600000000000001" x14ac:dyDescent="0.35">
      <c r="A10" s="12">
        <f t="shared" ref="A10:A40" si="1">IF(E10=$I$4,1,0)</f>
        <v>0</v>
      </c>
      <c r="B10" s="21" t="str">
        <f t="shared" ref="B10:B14" si="2">IF(C10="x","It's good!","")</f>
        <v/>
      </c>
      <c r="C10" s="17" t="str">
        <f>[1]!wwsInput()</f>
        <v/>
      </c>
      <c r="D10" s="41" t="s">
        <v>0</v>
      </c>
      <c r="E10" s="35" t="str">
        <f t="shared" ref="E10:E40" si="3">IF(TRIM(PROPER(D10))=TRIM(PROPER(G10)),$I$4,"")</f>
        <v/>
      </c>
      <c r="F10" s="17" t="str">
        <f>[1]!wwsInput()</f>
        <v/>
      </c>
      <c r="G10" s="40" t="str">
        <f>[1]!wwsInput("It are expensive.")</f>
        <v>It are expensive.</v>
      </c>
      <c r="H10" s="13" t="str">
        <f t="shared" ref="H10:H14" si="4">IF(AND(D10&lt;&gt;G10,F10="x",$A10=0),"Fix it!","")</f>
        <v/>
      </c>
      <c r="I10" s="13" t="str">
        <f t="shared" si="0"/>
        <v/>
      </c>
      <c r="J10" s="39" t="s">
        <v>37</v>
      </c>
      <c r="K10" s="39"/>
      <c r="L10" s="39"/>
      <c r="M10" s="36"/>
      <c r="N10" s="36"/>
      <c r="O10" s="36"/>
      <c r="P10" s="36"/>
      <c r="Q10" s="36"/>
    </row>
    <row r="11" spans="1:17" ht="18.600000000000001" x14ac:dyDescent="0.35">
      <c r="A11" s="12">
        <f t="shared" si="1"/>
        <v>0</v>
      </c>
      <c r="B11" s="21" t="str">
        <f t="shared" si="2"/>
        <v/>
      </c>
      <c r="C11" s="17" t="str">
        <f>[1]!wwsInput()</f>
        <v/>
      </c>
      <c r="D11" s="41" t="s">
        <v>1</v>
      </c>
      <c r="E11" s="35" t="str">
        <f t="shared" si="3"/>
        <v/>
      </c>
      <c r="F11" s="17" t="str">
        <f>[1]!wwsInput()</f>
        <v/>
      </c>
      <c r="G11" s="40" t="str">
        <f>[1]!wwsInput("She are smart.")</f>
        <v>She are smart.</v>
      </c>
      <c r="H11" s="13" t="str">
        <f t="shared" si="4"/>
        <v/>
      </c>
      <c r="I11" s="13" t="str">
        <f t="shared" si="0"/>
        <v/>
      </c>
      <c r="J11" s="39" t="s">
        <v>38</v>
      </c>
      <c r="K11" s="39"/>
      <c r="L11" s="39"/>
      <c r="M11" s="36"/>
      <c r="N11" s="36"/>
      <c r="O11" s="36"/>
      <c r="P11" s="36"/>
      <c r="Q11" s="36"/>
    </row>
    <row r="12" spans="1:17" ht="18.600000000000001" x14ac:dyDescent="0.35">
      <c r="A12" s="12">
        <f t="shared" si="1"/>
        <v>0</v>
      </c>
      <c r="B12" s="21" t="str">
        <f t="shared" si="2"/>
        <v/>
      </c>
      <c r="C12" s="17" t="str">
        <f>[1]!wwsInput()</f>
        <v/>
      </c>
      <c r="D12" s="41" t="s">
        <v>22</v>
      </c>
      <c r="E12" s="35" t="str">
        <f t="shared" si="3"/>
        <v/>
      </c>
      <c r="F12" s="17" t="str">
        <f>[1]!wwsInput()</f>
        <v/>
      </c>
      <c r="G12" s="40" t="str">
        <f>[1]!wwsInput("He is a boys.")</f>
        <v>He is a boys.</v>
      </c>
      <c r="H12" s="13" t="str">
        <f t="shared" si="4"/>
        <v/>
      </c>
      <c r="I12" s="13" t="str">
        <f t="shared" si="0"/>
        <v/>
      </c>
      <c r="J12" s="39" t="s">
        <v>33</v>
      </c>
      <c r="K12" s="39"/>
      <c r="L12" s="39"/>
      <c r="M12" s="36"/>
      <c r="N12" s="36"/>
      <c r="O12" s="36"/>
      <c r="P12" s="36"/>
      <c r="Q12" s="36"/>
    </row>
    <row r="13" spans="1:17" ht="18.600000000000001" x14ac:dyDescent="0.35">
      <c r="A13" s="12">
        <f t="shared" si="1"/>
        <v>0</v>
      </c>
      <c r="B13" s="21" t="str">
        <f t="shared" si="2"/>
        <v/>
      </c>
      <c r="C13" s="17" t="str">
        <f>[1]!wwsInput()</f>
        <v/>
      </c>
      <c r="D13" s="41" t="s">
        <v>2</v>
      </c>
      <c r="E13" s="35" t="str">
        <f t="shared" si="3"/>
        <v/>
      </c>
      <c r="F13" s="17" t="str">
        <f>[1]!wwsInput()</f>
        <v/>
      </c>
      <c r="G13" s="40" t="str">
        <f>[1]!wwsInput("She can starts soon.")</f>
        <v>She can starts soon.</v>
      </c>
      <c r="H13" s="13" t="str">
        <f t="shared" si="4"/>
        <v/>
      </c>
      <c r="I13" s="13" t="str">
        <f t="shared" si="0"/>
        <v/>
      </c>
      <c r="J13" s="39" t="s">
        <v>39</v>
      </c>
      <c r="K13" s="39"/>
      <c r="L13" s="39"/>
      <c r="M13" s="36"/>
      <c r="N13" s="36"/>
      <c r="O13" s="36"/>
      <c r="P13" s="36"/>
      <c r="Q13" s="36"/>
    </row>
    <row r="14" spans="1:17" ht="18.600000000000001" x14ac:dyDescent="0.35">
      <c r="A14" s="12">
        <f t="shared" si="1"/>
        <v>0</v>
      </c>
      <c r="B14" s="21" t="str">
        <f t="shared" si="2"/>
        <v/>
      </c>
      <c r="C14" s="17" t="str">
        <f>[1]!wwsInput()</f>
        <v/>
      </c>
      <c r="D14" s="41" t="s">
        <v>3</v>
      </c>
      <c r="E14" s="35" t="str">
        <f t="shared" si="3"/>
        <v/>
      </c>
      <c r="F14" s="17" t="str">
        <f>[1]!wwsInput()</f>
        <v/>
      </c>
      <c r="G14" s="40" t="str">
        <f>[1]!wwsInput("He should start?")</f>
        <v>He should start?</v>
      </c>
      <c r="H14" s="13" t="str">
        <f t="shared" si="4"/>
        <v/>
      </c>
      <c r="I14" s="13" t="str">
        <f t="shared" si="0"/>
        <v/>
      </c>
      <c r="J14" s="39" t="s">
        <v>58</v>
      </c>
      <c r="K14" s="39"/>
      <c r="L14" s="39"/>
      <c r="M14" s="36"/>
      <c r="N14" s="36"/>
      <c r="O14" s="36"/>
      <c r="P14" s="36"/>
      <c r="Q14" s="36"/>
    </row>
    <row r="15" spans="1:17" ht="18.600000000000001" x14ac:dyDescent="0.35">
      <c r="A15" s="12">
        <f t="shared" si="1"/>
        <v>0</v>
      </c>
      <c r="B15" s="10" t="str">
        <f>IF(AND(D15&lt;&gt;G15,C15="x",$A15=0),"Fix it!","")</f>
        <v/>
      </c>
      <c r="C15" s="17" t="str">
        <f>[1]!wwsInput()</f>
        <v/>
      </c>
      <c r="D15" s="40" t="str">
        <f>[1]!wwsInput("It will ends tomorrow.")</f>
        <v>It will ends tomorrow.</v>
      </c>
      <c r="E15" s="35" t="str">
        <f t="shared" si="3"/>
        <v/>
      </c>
      <c r="F15" s="17" t="str">
        <f>[1]!wwsInput()</f>
        <v/>
      </c>
      <c r="G15" s="41" t="s">
        <v>4</v>
      </c>
      <c r="H15" s="13" t="str">
        <f>IF(F15="x","It's good!","")</f>
        <v/>
      </c>
      <c r="I15" s="13" t="str">
        <f t="shared" si="0"/>
        <v/>
      </c>
      <c r="J15" s="39" t="s">
        <v>40</v>
      </c>
      <c r="K15" s="39"/>
      <c r="L15" s="39"/>
      <c r="M15" s="36"/>
      <c r="N15" s="36"/>
      <c r="O15" s="36"/>
      <c r="P15" s="36"/>
      <c r="Q15" s="36"/>
    </row>
    <row r="16" spans="1:17" ht="18.600000000000001" x14ac:dyDescent="0.35">
      <c r="A16" s="12">
        <f t="shared" si="1"/>
        <v>0</v>
      </c>
      <c r="B16" s="10" t="str">
        <f>IF(AND(D16&lt;&gt;G16,C16="x",$A16=0),"Fix it!","")</f>
        <v/>
      </c>
      <c r="C16" s="17" t="str">
        <f>[1]!wwsInput()</f>
        <v/>
      </c>
      <c r="D16" s="40" t="str">
        <f>[1]!wwsInput("It will is here.")</f>
        <v>It will is here.</v>
      </c>
      <c r="E16" s="35" t="str">
        <f t="shared" si="3"/>
        <v/>
      </c>
      <c r="F16" s="17" t="str">
        <f>[1]!wwsInput()</f>
        <v/>
      </c>
      <c r="G16" s="41" t="s">
        <v>5</v>
      </c>
      <c r="H16" s="13" t="str">
        <f>IF(F16="x","It's good!","")</f>
        <v/>
      </c>
      <c r="I16" s="13" t="str">
        <f t="shared" si="0"/>
        <v/>
      </c>
      <c r="J16" s="39" t="s">
        <v>41</v>
      </c>
      <c r="K16" s="39"/>
      <c r="L16" s="39"/>
      <c r="M16" s="36"/>
      <c r="N16" s="36"/>
      <c r="O16" s="36"/>
      <c r="P16" s="36"/>
      <c r="Q16" s="36"/>
    </row>
    <row r="17" spans="1:17" ht="18.600000000000001" x14ac:dyDescent="0.35">
      <c r="A17" s="12">
        <f t="shared" si="1"/>
        <v>0</v>
      </c>
      <c r="B17" s="21" t="str">
        <f>IF(C17="x","It's good!","")</f>
        <v/>
      </c>
      <c r="C17" s="17" t="str">
        <f>[1]!wwsInput()</f>
        <v/>
      </c>
      <c r="D17" s="41" t="s">
        <v>21</v>
      </c>
      <c r="E17" s="35" t="str">
        <f t="shared" si="3"/>
        <v/>
      </c>
      <c r="F17" s="17" t="str">
        <f>[1]!wwsInput()</f>
        <v/>
      </c>
      <c r="G17" s="40" t="str">
        <f>[1]!wwsInput("The girls is happy.")</f>
        <v>The girls is happy.</v>
      </c>
      <c r="H17" s="13" t="str">
        <f t="shared" ref="H17" si="5">IF(AND(E17&lt;&gt;$I$4,F17="x"),"Fix it!","")</f>
        <v/>
      </c>
      <c r="I17" s="13" t="str">
        <f t="shared" si="0"/>
        <v/>
      </c>
      <c r="J17" s="39" t="s">
        <v>36</v>
      </c>
      <c r="K17" s="39"/>
      <c r="L17" s="39"/>
      <c r="M17" s="36"/>
      <c r="N17" s="36"/>
      <c r="O17" s="36"/>
      <c r="P17" s="36"/>
      <c r="Q17" s="36"/>
    </row>
    <row r="18" spans="1:17" ht="18.600000000000001" x14ac:dyDescent="0.35">
      <c r="A18" s="12">
        <f t="shared" si="1"/>
        <v>0</v>
      </c>
      <c r="B18" s="10" t="str">
        <f t="shared" ref="B18:B21" si="6">IF(AND(D18&lt;&gt;G18,C18="x",$A18=0),"Fix it!","")</f>
        <v/>
      </c>
      <c r="C18" s="17" t="str">
        <f>[1]!wwsInput()</f>
        <v/>
      </c>
      <c r="D18" s="40" t="str">
        <f>[1]!wwsInput("He are not here.")</f>
        <v>He are not here.</v>
      </c>
      <c r="E18" s="35" t="str">
        <f t="shared" si="3"/>
        <v/>
      </c>
      <c r="F18" s="17" t="str">
        <f>[1]!wwsInput()</f>
        <v/>
      </c>
      <c r="G18" s="41" t="s">
        <v>6</v>
      </c>
      <c r="H18" s="13" t="str">
        <f>IF(F18="x","It's good!","")</f>
        <v/>
      </c>
      <c r="I18" s="13" t="str">
        <f t="shared" si="0"/>
        <v/>
      </c>
      <c r="J18" s="39" t="s">
        <v>34</v>
      </c>
      <c r="K18" s="39"/>
      <c r="L18" s="39"/>
      <c r="M18" s="36"/>
      <c r="N18" s="36"/>
      <c r="O18" s="36"/>
      <c r="P18" s="36"/>
      <c r="Q18" s="36"/>
    </row>
    <row r="19" spans="1:17" ht="18.600000000000001" x14ac:dyDescent="0.35">
      <c r="A19" s="12">
        <f t="shared" si="1"/>
        <v>0</v>
      </c>
      <c r="B19" s="10" t="str">
        <f t="shared" si="6"/>
        <v/>
      </c>
      <c r="C19" s="17" t="str">
        <f>[1]!wwsInput()</f>
        <v/>
      </c>
      <c r="D19" s="40" t="str">
        <f>[1]!wwsInput("Boy are here.")</f>
        <v>Boy are here.</v>
      </c>
      <c r="E19" s="35" t="str">
        <f t="shared" si="3"/>
        <v/>
      </c>
      <c r="F19" s="17" t="str">
        <f>[1]!wwsInput()</f>
        <v/>
      </c>
      <c r="G19" s="41" t="s">
        <v>63</v>
      </c>
      <c r="H19" s="13" t="str">
        <f>IF(F19="x","It's good!","")</f>
        <v/>
      </c>
      <c r="I19" s="13" t="str">
        <f t="shared" si="0"/>
        <v/>
      </c>
      <c r="J19" s="39" t="s">
        <v>35</v>
      </c>
      <c r="K19" s="39"/>
      <c r="L19" s="39"/>
      <c r="M19" s="36"/>
      <c r="N19" s="36"/>
      <c r="O19" s="36"/>
      <c r="P19" s="36"/>
      <c r="Q19" s="36"/>
    </row>
    <row r="20" spans="1:17" ht="18.600000000000001" x14ac:dyDescent="0.35">
      <c r="A20" s="12">
        <f t="shared" si="1"/>
        <v>0</v>
      </c>
      <c r="B20" s="10" t="str">
        <f t="shared" si="6"/>
        <v/>
      </c>
      <c r="C20" s="17" t="str">
        <f>[1]!wwsInput()</f>
        <v/>
      </c>
      <c r="D20" s="40" t="str">
        <f>[1]!wwsInput("He should is here.")</f>
        <v>He should is here.</v>
      </c>
      <c r="E20" s="35" t="str">
        <f t="shared" si="3"/>
        <v/>
      </c>
      <c r="F20" s="17" t="str">
        <f>[1]!wwsInput()</f>
        <v/>
      </c>
      <c r="G20" s="41" t="s">
        <v>7</v>
      </c>
      <c r="H20" s="13" t="str">
        <f>IF(F20="x","It's good!","")</f>
        <v/>
      </c>
      <c r="I20" s="13" t="str">
        <f t="shared" si="0"/>
        <v/>
      </c>
      <c r="J20" s="39" t="s">
        <v>59</v>
      </c>
      <c r="K20" s="39"/>
      <c r="L20" s="39"/>
      <c r="M20" s="36"/>
      <c r="N20" s="36"/>
      <c r="O20" s="36"/>
      <c r="P20" s="36"/>
      <c r="Q20" s="36"/>
    </row>
    <row r="21" spans="1:17" ht="18.600000000000001" x14ac:dyDescent="0.35">
      <c r="A21" s="12">
        <f t="shared" si="1"/>
        <v>0</v>
      </c>
      <c r="B21" s="10" t="str">
        <f t="shared" si="6"/>
        <v/>
      </c>
      <c r="C21" s="17" t="str">
        <f>[1]!wwsInput()</f>
        <v/>
      </c>
      <c r="D21" s="40" t="str">
        <f>[1]!wwsInput("Can she start.")</f>
        <v>Can she start.</v>
      </c>
      <c r="E21" s="35" t="str">
        <f t="shared" si="3"/>
        <v/>
      </c>
      <c r="F21" s="17" t="str">
        <f>[1]!wwsInput()</f>
        <v/>
      </c>
      <c r="G21" s="41" t="s">
        <v>8</v>
      </c>
      <c r="H21" s="13" t="str">
        <f>IF(F21="x","It's good!","")</f>
        <v/>
      </c>
      <c r="I21" s="13" t="str">
        <f t="shared" si="0"/>
        <v/>
      </c>
      <c r="J21" s="39" t="s">
        <v>42</v>
      </c>
      <c r="K21" s="39"/>
      <c r="L21" s="39"/>
      <c r="M21" s="36"/>
      <c r="N21" s="36"/>
      <c r="O21" s="36"/>
      <c r="P21" s="36"/>
      <c r="Q21" s="36"/>
    </row>
    <row r="22" spans="1:17" ht="18.600000000000001" x14ac:dyDescent="0.35">
      <c r="A22" s="12">
        <f t="shared" si="1"/>
        <v>0</v>
      </c>
      <c r="B22" s="21" t="str">
        <f>IF(C22="x","It's good!","")</f>
        <v/>
      </c>
      <c r="C22" s="17" t="str">
        <f>[1]!wwsInput()</f>
        <v/>
      </c>
      <c r="D22" s="41" t="s">
        <v>9</v>
      </c>
      <c r="E22" s="35" t="str">
        <f t="shared" si="3"/>
        <v/>
      </c>
      <c r="F22" s="17" t="str">
        <f>[1]!wwsInput()</f>
        <v/>
      </c>
      <c r="G22" s="40" t="str">
        <f>[1]!wwsInput("He should no be here.")</f>
        <v>He should no be here.</v>
      </c>
      <c r="H22" s="13" t="str">
        <f t="shared" ref="H22:H24" si="7">IF(AND(E22&lt;&gt;$I$4,F22="x"),"Fix it!","")</f>
        <v/>
      </c>
      <c r="I22" s="13" t="str">
        <f t="shared" si="0"/>
        <v/>
      </c>
      <c r="J22" s="39" t="s">
        <v>57</v>
      </c>
      <c r="K22" s="39"/>
      <c r="L22" s="39"/>
      <c r="M22" s="36"/>
      <c r="N22" s="36"/>
      <c r="O22" s="36"/>
      <c r="P22" s="36"/>
      <c r="Q22" s="36"/>
    </row>
    <row r="23" spans="1:17" ht="18.600000000000001" x14ac:dyDescent="0.35">
      <c r="A23" s="12">
        <f t="shared" si="1"/>
        <v>0</v>
      </c>
      <c r="B23" s="21" t="str">
        <f t="shared" ref="B23:B24" si="8">IF(C23="x","It's good!","")</f>
        <v/>
      </c>
      <c r="C23" s="17" t="str">
        <f>[1]!wwsInput()</f>
        <v/>
      </c>
      <c r="D23" s="41" t="s">
        <v>10</v>
      </c>
      <c r="E23" s="35" t="str">
        <f t="shared" si="3"/>
        <v/>
      </c>
      <c r="F23" s="17" t="str">
        <f>[1]!wwsInput()</f>
        <v/>
      </c>
      <c r="G23" s="40" t="str">
        <f>[1]!wwsInput("The girl are happy.")</f>
        <v>The girl are happy.</v>
      </c>
      <c r="H23" s="13" t="str">
        <f t="shared" si="7"/>
        <v/>
      </c>
      <c r="I23" s="13" t="str">
        <f t="shared" si="0"/>
        <v/>
      </c>
      <c r="J23" s="39" t="s">
        <v>35</v>
      </c>
      <c r="K23" s="39"/>
      <c r="L23" s="39"/>
      <c r="M23" s="36"/>
      <c r="N23" s="36"/>
      <c r="O23" s="36"/>
      <c r="P23" s="36"/>
      <c r="Q23" s="36"/>
    </row>
    <row r="24" spans="1:17" ht="18.600000000000001" x14ac:dyDescent="0.35">
      <c r="A24" s="12">
        <f t="shared" si="1"/>
        <v>0</v>
      </c>
      <c r="B24" s="21" t="str">
        <f t="shared" si="8"/>
        <v/>
      </c>
      <c r="C24" s="17" t="str">
        <f>[1]!wwsInput()</f>
        <v/>
      </c>
      <c r="D24" s="41" t="s">
        <v>28</v>
      </c>
      <c r="E24" s="35" t="str">
        <f t="shared" si="3"/>
        <v/>
      </c>
      <c r="F24" s="17" t="str">
        <f>[1]!wwsInput()</f>
        <v/>
      </c>
      <c r="G24" s="40" t="str">
        <f>[1]!wwsInput("She can start?")</f>
        <v>She can start?</v>
      </c>
      <c r="H24" s="13" t="str">
        <f t="shared" si="7"/>
        <v/>
      </c>
      <c r="I24" s="13" t="str">
        <f t="shared" si="0"/>
        <v/>
      </c>
      <c r="J24" s="39" t="s">
        <v>43</v>
      </c>
      <c r="K24" s="39"/>
      <c r="L24" s="39"/>
      <c r="M24" s="36"/>
      <c r="N24" s="36"/>
      <c r="O24" s="36"/>
      <c r="P24" s="36"/>
      <c r="Q24" s="36"/>
    </row>
    <row r="25" spans="1:17" ht="18.600000000000001" x14ac:dyDescent="0.35">
      <c r="A25" s="12">
        <f t="shared" si="1"/>
        <v>0</v>
      </c>
      <c r="B25" s="10" t="str">
        <f t="shared" ref="B25:B26" si="9">IF(AND(D25&lt;&gt;G25,C25="x",$A25=0),"Fix it!","")</f>
        <v/>
      </c>
      <c r="C25" s="17" t="str">
        <f>[1]!wwsInput()</f>
        <v/>
      </c>
      <c r="D25" s="40" t="str">
        <f>[1]!wwsInput("There are 3 girl here.")</f>
        <v>There are 3 girl here.</v>
      </c>
      <c r="E25" s="35" t="str">
        <f t="shared" si="3"/>
        <v/>
      </c>
      <c r="F25" s="17" t="str">
        <f>[1]!wwsInput()</f>
        <v/>
      </c>
      <c r="G25" s="41" t="s">
        <v>11</v>
      </c>
      <c r="H25" s="13" t="str">
        <f>IF(F25="x","It's good!","")</f>
        <v/>
      </c>
      <c r="I25" s="13" t="str">
        <f t="shared" si="0"/>
        <v/>
      </c>
      <c r="J25" s="39" t="s">
        <v>35</v>
      </c>
      <c r="K25" s="39"/>
      <c r="L25" s="39"/>
      <c r="M25" s="36"/>
      <c r="N25" s="36"/>
      <c r="O25" s="36"/>
      <c r="P25" s="36"/>
      <c r="Q25" s="36"/>
    </row>
    <row r="26" spans="1:17" ht="18.600000000000001" x14ac:dyDescent="0.35">
      <c r="A26" s="12">
        <f t="shared" si="1"/>
        <v>0</v>
      </c>
      <c r="B26" s="10" t="str">
        <f t="shared" si="9"/>
        <v/>
      </c>
      <c r="C26" s="17" t="str">
        <f>[1]!wwsInput()</f>
        <v/>
      </c>
      <c r="D26" s="40" t="str">
        <f>[1]!wwsInput("She is a girls.")</f>
        <v>She is a girls.</v>
      </c>
      <c r="E26" s="35" t="str">
        <f t="shared" si="3"/>
        <v/>
      </c>
      <c r="F26" s="17" t="str">
        <f>[1]!wwsInput()</f>
        <v/>
      </c>
      <c r="G26" s="41" t="s">
        <v>12</v>
      </c>
      <c r="H26" s="13" t="str">
        <f>IF(F26="x","It's good!","")</f>
        <v/>
      </c>
      <c r="I26" s="13" t="str">
        <f t="shared" si="0"/>
        <v/>
      </c>
      <c r="J26" s="39" t="s">
        <v>36</v>
      </c>
      <c r="K26" s="39"/>
      <c r="L26" s="39"/>
      <c r="M26" s="36"/>
      <c r="N26" s="36"/>
      <c r="O26" s="36"/>
      <c r="P26" s="36"/>
      <c r="Q26" s="36"/>
    </row>
    <row r="27" spans="1:17" ht="18.600000000000001" x14ac:dyDescent="0.35">
      <c r="A27" s="12">
        <f t="shared" si="1"/>
        <v>0</v>
      </c>
      <c r="B27" s="21" t="str">
        <f t="shared" ref="B27:B29" si="10">IF(C27="x","It's good!","")</f>
        <v/>
      </c>
      <c r="C27" s="17" t="str">
        <f>[1]!wwsInput()</f>
        <v/>
      </c>
      <c r="D27" s="41" t="s">
        <v>13</v>
      </c>
      <c r="E27" s="35" t="str">
        <f t="shared" si="3"/>
        <v/>
      </c>
      <c r="F27" s="17" t="str">
        <f>[1]!wwsInput()</f>
        <v/>
      </c>
      <c r="G27" s="40" t="str">
        <f>[1]!wwsInput("They can waits here.")</f>
        <v>They can waits here.</v>
      </c>
      <c r="H27" s="13" t="str">
        <f t="shared" ref="H27:H29" si="11">IF(AND(E27&lt;&gt;$I$4,F27="x"),"Fix it!","")</f>
        <v/>
      </c>
      <c r="I27" s="13" t="str">
        <f t="shared" si="0"/>
        <v/>
      </c>
      <c r="J27" s="39" t="s">
        <v>44</v>
      </c>
      <c r="K27" s="39"/>
      <c r="L27" s="39"/>
      <c r="M27" s="36"/>
      <c r="N27" s="36"/>
      <c r="O27" s="36"/>
      <c r="P27" s="36"/>
      <c r="Q27" s="36"/>
    </row>
    <row r="28" spans="1:17" ht="18.600000000000001" x14ac:dyDescent="0.35">
      <c r="A28" s="12">
        <f t="shared" si="1"/>
        <v>0</v>
      </c>
      <c r="B28" s="21" t="str">
        <f t="shared" si="10"/>
        <v/>
      </c>
      <c r="C28" s="17" t="str">
        <f>[1]!wwsInput()</f>
        <v/>
      </c>
      <c r="D28" s="41" t="s">
        <v>29</v>
      </c>
      <c r="E28" s="35" t="str">
        <f t="shared" si="3"/>
        <v/>
      </c>
      <c r="F28" s="17" t="str">
        <f>[1]!wwsInput()</f>
        <v/>
      </c>
      <c r="G28" s="40" t="str">
        <f>[1]!wwsInput("There is 1 boys here.")</f>
        <v>There is 1 boys here.</v>
      </c>
      <c r="H28" s="13" t="str">
        <f t="shared" si="11"/>
        <v/>
      </c>
      <c r="I28" s="13" t="str">
        <f t="shared" si="0"/>
        <v/>
      </c>
      <c r="J28" s="39" t="s">
        <v>36</v>
      </c>
      <c r="K28" s="39"/>
      <c r="L28" s="39"/>
      <c r="M28" s="36"/>
      <c r="N28" s="36"/>
      <c r="O28" s="36"/>
      <c r="P28" s="36"/>
      <c r="Q28" s="36"/>
    </row>
    <row r="29" spans="1:17" ht="18.600000000000001" x14ac:dyDescent="0.35">
      <c r="A29" s="12">
        <f t="shared" si="1"/>
        <v>0</v>
      </c>
      <c r="B29" s="21" t="str">
        <f t="shared" si="10"/>
        <v/>
      </c>
      <c r="C29" s="17" t="str">
        <f>[1]!wwsInput()</f>
        <v/>
      </c>
      <c r="D29" s="41" t="s">
        <v>14</v>
      </c>
      <c r="E29" s="35" t="str">
        <f t="shared" si="3"/>
        <v/>
      </c>
      <c r="F29" s="17" t="str">
        <f>[1]!wwsInput()</f>
        <v/>
      </c>
      <c r="G29" s="40" t="str">
        <f>[1]!wwsInput("They are girl.")</f>
        <v>They are girl.</v>
      </c>
      <c r="H29" s="13" t="str">
        <f t="shared" si="11"/>
        <v/>
      </c>
      <c r="I29" s="13" t="str">
        <f t="shared" si="0"/>
        <v/>
      </c>
      <c r="J29" s="39" t="s">
        <v>35</v>
      </c>
      <c r="K29" s="39"/>
      <c r="L29" s="39"/>
      <c r="M29" s="36"/>
      <c r="N29" s="36"/>
      <c r="O29" s="36"/>
      <c r="P29" s="36"/>
      <c r="Q29" s="36"/>
    </row>
    <row r="30" spans="1:17" ht="18.600000000000001" x14ac:dyDescent="0.35">
      <c r="A30" s="12">
        <f t="shared" si="1"/>
        <v>0</v>
      </c>
      <c r="B30" s="10" t="str">
        <f t="shared" ref="B30:B31" si="12">IF(AND(D30&lt;&gt;G30,C30="x",$A30=0),"Fix it!","")</f>
        <v/>
      </c>
      <c r="C30" s="17" t="str">
        <f>[1]!wwsInput()</f>
        <v/>
      </c>
      <c r="D30" s="40" t="str">
        <f>[1]!wwsInput("They are boy.")</f>
        <v>They are boy.</v>
      </c>
      <c r="E30" s="35" t="str">
        <f t="shared" si="3"/>
        <v/>
      </c>
      <c r="F30" s="17" t="str">
        <f>[1]!wwsInput()</f>
        <v/>
      </c>
      <c r="G30" s="41" t="s">
        <v>15</v>
      </c>
      <c r="H30" s="13" t="str">
        <f>IF(F30="x","It's good!","")</f>
        <v/>
      </c>
      <c r="I30" s="13" t="str">
        <f t="shared" si="0"/>
        <v/>
      </c>
      <c r="J30" s="39" t="s">
        <v>35</v>
      </c>
      <c r="K30" s="39"/>
      <c r="L30" s="39"/>
      <c r="M30" s="36"/>
      <c r="N30" s="36"/>
      <c r="O30" s="36"/>
      <c r="P30" s="36"/>
      <c r="Q30" s="36"/>
    </row>
    <row r="31" spans="1:17" ht="18.600000000000001" x14ac:dyDescent="0.35">
      <c r="A31" s="12">
        <f t="shared" si="1"/>
        <v>0</v>
      </c>
      <c r="B31" s="10" t="str">
        <f t="shared" si="12"/>
        <v/>
      </c>
      <c r="C31" s="17" t="str">
        <f>[1]!wwsInput()</f>
        <v/>
      </c>
      <c r="D31" s="40" t="str">
        <f>[1]!wwsInput("There is 2 cars there.")</f>
        <v>There is 2 cars there.</v>
      </c>
      <c r="E31" s="35" t="str">
        <f t="shared" si="3"/>
        <v/>
      </c>
      <c r="F31" s="17" t="str">
        <f>[1]!wwsInput()</f>
        <v/>
      </c>
      <c r="G31" s="41" t="s">
        <v>30</v>
      </c>
      <c r="H31" s="13" t="str">
        <f>IF(F31="x","It's good!","")</f>
        <v/>
      </c>
      <c r="I31" s="13" t="str">
        <f t="shared" si="0"/>
        <v/>
      </c>
      <c r="J31" s="39" t="s">
        <v>45</v>
      </c>
      <c r="K31" s="39"/>
      <c r="L31" s="39"/>
      <c r="M31" s="36"/>
      <c r="N31" s="36"/>
      <c r="O31" s="36"/>
      <c r="P31" s="36"/>
      <c r="Q31" s="36"/>
    </row>
    <row r="32" spans="1:17" ht="18.600000000000001" x14ac:dyDescent="0.35">
      <c r="A32" s="12">
        <f t="shared" si="1"/>
        <v>0</v>
      </c>
      <c r="B32" s="21" t="str">
        <f t="shared" ref="B32:B33" si="13">IF(C32="x","It's good!","")</f>
        <v/>
      </c>
      <c r="C32" s="17" t="str">
        <f>[1]!wwsInput()</f>
        <v/>
      </c>
      <c r="D32" s="41" t="s">
        <v>54</v>
      </c>
      <c r="E32" s="35" t="str">
        <f t="shared" si="3"/>
        <v/>
      </c>
      <c r="F32" s="17" t="str">
        <f>[1]!wwsInput()</f>
        <v/>
      </c>
      <c r="G32" s="40" t="str">
        <f>[1]!wwsInput("Will they come.")</f>
        <v>Will they come.</v>
      </c>
      <c r="H32" s="13" t="str">
        <f t="shared" ref="H32:H33" si="14">IF(AND(E32&lt;&gt;$I$4,F32="x"),"Fix it!","")</f>
        <v/>
      </c>
      <c r="I32" s="13" t="str">
        <f t="shared" si="0"/>
        <v/>
      </c>
      <c r="J32" s="39" t="s">
        <v>42</v>
      </c>
      <c r="K32" s="39"/>
      <c r="L32" s="39"/>
      <c r="M32" s="36"/>
      <c r="N32" s="36"/>
      <c r="O32" s="36"/>
      <c r="P32" s="36"/>
      <c r="Q32" s="36"/>
    </row>
    <row r="33" spans="1:17" ht="18.600000000000001" x14ac:dyDescent="0.35">
      <c r="A33" s="12">
        <f t="shared" si="1"/>
        <v>0</v>
      </c>
      <c r="B33" s="21" t="str">
        <f t="shared" si="13"/>
        <v/>
      </c>
      <c r="C33" s="17" t="str">
        <f>[1]!wwsInput()</f>
        <v/>
      </c>
      <c r="D33" s="41" t="s">
        <v>16</v>
      </c>
      <c r="E33" s="35" t="str">
        <f t="shared" si="3"/>
        <v/>
      </c>
      <c r="F33" s="17" t="str">
        <f>[1]!wwsInput()</f>
        <v/>
      </c>
      <c r="G33" s="40" t="str">
        <f>[1]!wwsInput("There are 1 car there.")</f>
        <v>There are 1 car there.</v>
      </c>
      <c r="H33" s="13" t="str">
        <f t="shared" si="14"/>
        <v/>
      </c>
      <c r="I33" s="13" t="str">
        <f t="shared" si="0"/>
        <v/>
      </c>
      <c r="J33" s="39" t="s">
        <v>46</v>
      </c>
      <c r="K33" s="39"/>
      <c r="L33" s="39"/>
      <c r="M33" s="36"/>
      <c r="N33" s="36"/>
      <c r="O33" s="36"/>
      <c r="P33" s="36"/>
      <c r="Q33" s="36"/>
    </row>
    <row r="34" spans="1:17" ht="18.600000000000001" x14ac:dyDescent="0.35">
      <c r="A34" s="12">
        <f t="shared" si="1"/>
        <v>0</v>
      </c>
      <c r="B34" s="10" t="str">
        <f>IF(AND(D34&lt;&gt;G34,C34="x",$A34=0),"Fix it!","")</f>
        <v/>
      </c>
      <c r="C34" s="17" t="str">
        <f>[1]!wwsInput()</f>
        <v/>
      </c>
      <c r="D34" s="40" t="str">
        <f>[1]!wwsInput("It is a cars.")</f>
        <v>It is a cars.</v>
      </c>
      <c r="E34" s="35" t="str">
        <f t="shared" si="3"/>
        <v/>
      </c>
      <c r="F34" s="17" t="str">
        <f>[1]!wwsInput()</f>
        <v/>
      </c>
      <c r="G34" s="41" t="s">
        <v>17</v>
      </c>
      <c r="H34" s="13" t="str">
        <f>IF(F34="x","It's good!","")</f>
        <v/>
      </c>
      <c r="I34" s="13" t="str">
        <f t="shared" si="0"/>
        <v/>
      </c>
      <c r="J34" s="39" t="s">
        <v>60</v>
      </c>
      <c r="K34" s="39"/>
      <c r="L34" s="39"/>
      <c r="M34" s="36"/>
      <c r="N34" s="36"/>
      <c r="O34" s="36"/>
      <c r="P34" s="36"/>
      <c r="Q34" s="36"/>
    </row>
    <row r="35" spans="1:17" ht="18.600000000000001" x14ac:dyDescent="0.35">
      <c r="A35" s="12">
        <f t="shared" si="1"/>
        <v>0</v>
      </c>
      <c r="B35" s="21" t="str">
        <f>IF(C35="x","It's good!","")</f>
        <v/>
      </c>
      <c r="C35" s="17" t="str">
        <f>[1]!wwsInput()</f>
        <v/>
      </c>
      <c r="D35" s="41" t="s">
        <v>23</v>
      </c>
      <c r="E35" s="35" t="str">
        <f t="shared" si="3"/>
        <v/>
      </c>
      <c r="F35" s="17" t="str">
        <f>[1]!wwsInput()</f>
        <v/>
      </c>
      <c r="G35" s="40" t="str">
        <f>[1]!wwsInput("They are car.")</f>
        <v>They are car.</v>
      </c>
      <c r="H35" s="13" t="str">
        <f t="shared" ref="H35" si="15">IF(AND(E35&lt;&gt;$I$4,F35="x"),"Fix it!","")</f>
        <v/>
      </c>
      <c r="I35" s="13" t="str">
        <f t="shared" si="0"/>
        <v/>
      </c>
      <c r="J35" s="39" t="s">
        <v>47</v>
      </c>
      <c r="K35" s="39"/>
      <c r="L35" s="39"/>
      <c r="M35" s="36"/>
      <c r="N35" s="36"/>
      <c r="O35" s="36"/>
      <c r="P35" s="36"/>
      <c r="Q35" s="36"/>
    </row>
    <row r="36" spans="1:17" ht="18.600000000000001" x14ac:dyDescent="0.35">
      <c r="A36" s="12">
        <f t="shared" si="1"/>
        <v>0</v>
      </c>
      <c r="B36" s="10" t="str">
        <f>IF(AND(D36&lt;&gt;G36,C36="x",$A36=0),"Fix it!","")</f>
        <v/>
      </c>
      <c r="C36" s="17" t="str">
        <f>[1]!wwsInput()</f>
        <v/>
      </c>
      <c r="D36" s="40" t="str">
        <f>[1]!wwsInput("They will come?")</f>
        <v>They will come?</v>
      </c>
      <c r="E36" s="35" t="str">
        <f t="shared" si="3"/>
        <v/>
      </c>
      <c r="F36" s="17" t="str">
        <f>[1]!wwsInput()</f>
        <v/>
      </c>
      <c r="G36" s="41" t="s">
        <v>31</v>
      </c>
      <c r="H36" s="13" t="str">
        <f>IF(F36="x","It's good!","")</f>
        <v/>
      </c>
      <c r="I36" s="13" t="str">
        <f t="shared" si="0"/>
        <v/>
      </c>
      <c r="J36" s="39" t="s">
        <v>48</v>
      </c>
      <c r="K36" s="39"/>
      <c r="L36" s="39"/>
      <c r="M36" s="36"/>
      <c r="N36" s="36"/>
      <c r="O36" s="36"/>
      <c r="P36" s="36"/>
      <c r="Q36" s="36"/>
    </row>
    <row r="37" spans="1:17" ht="18.600000000000001" x14ac:dyDescent="0.35">
      <c r="A37" s="12">
        <f t="shared" si="1"/>
        <v>0</v>
      </c>
      <c r="B37" s="21" t="str">
        <f>IF(C37="x","It's good!","")</f>
        <v/>
      </c>
      <c r="C37" s="17" t="str">
        <f>[1]!wwsInput()</f>
        <v/>
      </c>
      <c r="D37" s="41" t="s">
        <v>18</v>
      </c>
      <c r="E37" s="35" t="str">
        <f t="shared" si="3"/>
        <v/>
      </c>
      <c r="F37" s="17" t="str">
        <f>[1]!wwsInput()</f>
        <v/>
      </c>
      <c r="G37" s="40" t="str">
        <f>[1]!wwsInput("The boys is here.")</f>
        <v>The boys is here.</v>
      </c>
      <c r="H37" s="13" t="str">
        <f t="shared" ref="H37" si="16">IF(AND(E37&lt;&gt;$I$4,F37="x"),"Fix it!","")</f>
        <v/>
      </c>
      <c r="I37" s="13" t="str">
        <f t="shared" si="0"/>
        <v/>
      </c>
      <c r="J37" s="39" t="s">
        <v>36</v>
      </c>
      <c r="K37" s="39"/>
      <c r="L37" s="39"/>
      <c r="M37" s="36"/>
      <c r="N37" s="36"/>
      <c r="O37" s="36"/>
      <c r="P37" s="36"/>
      <c r="Q37" s="36"/>
    </row>
    <row r="38" spans="1:17" ht="18.600000000000001" x14ac:dyDescent="0.35">
      <c r="A38" s="12">
        <f t="shared" si="1"/>
        <v>0</v>
      </c>
      <c r="B38" s="21" t="str">
        <f>IF(AND(D38&lt;&gt;G38,C38="x",$A38=0),"Fix it!","")</f>
        <v/>
      </c>
      <c r="C38" s="17" t="str">
        <f>[1]!wwsInput()</f>
        <v/>
      </c>
      <c r="D38" s="41" t="str">
        <f>[1]!wwsInput("He no can speak English.")</f>
        <v>He no can speak English.</v>
      </c>
      <c r="E38" s="35" t="str">
        <f t="shared" si="3"/>
        <v/>
      </c>
      <c r="F38" s="17" t="str">
        <f>[1]!wwsInput()</f>
        <v/>
      </c>
      <c r="G38" s="40" t="s">
        <v>19</v>
      </c>
      <c r="H38" s="13" t="str">
        <f>IF(F38="x","It's good!","")</f>
        <v/>
      </c>
      <c r="I38" s="13" t="str">
        <f t="shared" si="0"/>
        <v/>
      </c>
      <c r="J38" s="39" t="s">
        <v>56</v>
      </c>
      <c r="K38" s="39"/>
      <c r="L38" s="39"/>
      <c r="M38" s="36"/>
      <c r="N38" s="36"/>
      <c r="O38" s="36"/>
      <c r="P38" s="36"/>
      <c r="Q38" s="36"/>
    </row>
    <row r="39" spans="1:17" ht="18.600000000000001" x14ac:dyDescent="0.35">
      <c r="A39" s="12">
        <f t="shared" si="1"/>
        <v>0</v>
      </c>
      <c r="B39" s="21" t="str">
        <f>IF(C39="x","It's good!","")</f>
        <v/>
      </c>
      <c r="C39" s="17" t="str">
        <f>[1]!wwsInput()</f>
        <v/>
      </c>
      <c r="D39" s="41" t="s">
        <v>20</v>
      </c>
      <c r="E39" s="35" t="str">
        <f t="shared" si="3"/>
        <v/>
      </c>
      <c r="F39" s="17" t="str">
        <f>[1]!wwsInput()</f>
        <v/>
      </c>
      <c r="G39" s="40" t="str">
        <f>[1]!wwsInput("It will be not here.")</f>
        <v>It will be not here.</v>
      </c>
      <c r="H39" s="13" t="str">
        <f t="shared" ref="H39" si="17">IF(AND(E39&lt;&gt;$I$4,F39="x"),"Fix it!","")</f>
        <v/>
      </c>
      <c r="I39" s="13" t="str">
        <f t="shared" si="0"/>
        <v/>
      </c>
      <c r="J39" s="39" t="s">
        <v>49</v>
      </c>
      <c r="K39" s="39"/>
      <c r="L39" s="39"/>
      <c r="M39" s="36"/>
      <c r="N39" s="36"/>
      <c r="O39" s="36"/>
      <c r="P39" s="36"/>
      <c r="Q39" s="36"/>
    </row>
    <row r="40" spans="1:17" ht="18.600000000000001" x14ac:dyDescent="0.35">
      <c r="A40" s="12">
        <f t="shared" si="1"/>
        <v>0</v>
      </c>
      <c r="B40" s="10" t="str">
        <f>IF(AND(D40&lt;&gt;G40,C40="x",$A40=0),"Fix it!","")</f>
        <v/>
      </c>
      <c r="C40" s="17" t="str">
        <f>[1]!wwsInput()</f>
        <v/>
      </c>
      <c r="D40" s="40" t="str">
        <f>[1]!wwsInput("They is happy.")</f>
        <v>They is happy.</v>
      </c>
      <c r="E40" s="35" t="str">
        <f t="shared" si="3"/>
        <v/>
      </c>
      <c r="F40" s="17" t="str">
        <f>[1]!wwsInput()</f>
        <v/>
      </c>
      <c r="G40" s="41" t="s">
        <v>32</v>
      </c>
      <c r="H40" s="13" t="str">
        <f>IF(F40="x","It's good!","")</f>
        <v/>
      </c>
      <c r="I40" s="13" t="str">
        <f t="shared" si="0"/>
        <v/>
      </c>
      <c r="J40" s="39" t="s">
        <v>50</v>
      </c>
      <c r="K40" s="39"/>
      <c r="L40" s="39"/>
      <c r="M40" s="36"/>
      <c r="N40" s="36"/>
      <c r="O40" s="36"/>
      <c r="P40" s="36"/>
      <c r="Q40" s="36"/>
    </row>
    <row r="41" spans="1:17" ht="21" x14ac:dyDescent="0.4">
      <c r="A41" s="18"/>
      <c r="B41" s="22"/>
      <c r="C41" s="18"/>
      <c r="D41" s="47">
        <f>SUM(A9:A40)/32</f>
        <v>0</v>
      </c>
      <c r="E41" s="47"/>
      <c r="F41" s="23" t="s">
        <v>55</v>
      </c>
      <c r="G41" s="18"/>
      <c r="H41" s="31"/>
      <c r="I41" s="24"/>
      <c r="J41" s="38"/>
      <c r="K41" s="38"/>
      <c r="L41" s="38"/>
      <c r="M41" s="36"/>
      <c r="N41" s="36"/>
      <c r="O41" s="36"/>
      <c r="P41" s="36"/>
      <c r="Q41" s="36"/>
    </row>
    <row r="42" spans="1:17" x14ac:dyDescent="0.3">
      <c r="I42" s="4"/>
      <c r="J42" s="36"/>
      <c r="K42" s="36"/>
      <c r="L42" s="36"/>
      <c r="M42" s="36"/>
      <c r="N42" s="36"/>
      <c r="O42" s="36"/>
      <c r="P42" s="36"/>
      <c r="Q42" s="36"/>
    </row>
    <row r="43" spans="1:17" x14ac:dyDescent="0.3">
      <c r="I43" s="4"/>
      <c r="J43" s="36"/>
      <c r="K43" s="36" t="s">
        <v>25</v>
      </c>
      <c r="L43" s="36"/>
      <c r="M43" s="36"/>
      <c r="N43" s="36"/>
      <c r="O43" s="36"/>
      <c r="P43" s="36"/>
      <c r="Q43" s="36"/>
    </row>
    <row r="44" spans="1:17" x14ac:dyDescent="0.3">
      <c r="I44" s="4"/>
      <c r="J44" s="36"/>
      <c r="K44" s="36"/>
      <c r="L44" s="36"/>
      <c r="M44" s="36"/>
      <c r="N44" s="36"/>
      <c r="O44" s="36"/>
      <c r="P44" s="36"/>
      <c r="Q44" s="36"/>
    </row>
    <row r="45" spans="1:17" x14ac:dyDescent="0.3">
      <c r="I45" s="4"/>
      <c r="J45" s="36"/>
      <c r="K45" s="36"/>
      <c r="L45" s="36"/>
      <c r="M45" s="36"/>
      <c r="N45" s="36"/>
      <c r="O45" s="36"/>
      <c r="P45" s="36"/>
      <c r="Q45" s="36"/>
    </row>
    <row r="46" spans="1:17" ht="15.6" x14ac:dyDescent="0.3">
      <c r="B46" s="28"/>
      <c r="C46" s="9"/>
      <c r="D46" s="9"/>
      <c r="E46" s="9"/>
      <c r="F46" s="9"/>
      <c r="G46" s="27"/>
      <c r="H46" s="34"/>
      <c r="J46" s="36"/>
      <c r="K46" s="36"/>
      <c r="L46" s="36"/>
      <c r="M46" s="36"/>
      <c r="N46" s="36"/>
      <c r="O46" s="36"/>
      <c r="P46" s="36"/>
      <c r="Q46" s="36"/>
    </row>
    <row r="47" spans="1:17" ht="15.6" x14ac:dyDescent="0.3">
      <c r="B47" s="28"/>
      <c r="C47" s="9"/>
      <c r="D47" s="9"/>
      <c r="E47" s="9"/>
      <c r="F47" s="9"/>
      <c r="G47" s="27"/>
      <c r="H47" s="34"/>
      <c r="J47" s="36"/>
      <c r="K47" s="36"/>
      <c r="L47" s="36"/>
      <c r="M47" s="36"/>
      <c r="N47" s="36"/>
      <c r="O47" s="36"/>
      <c r="P47" s="36"/>
      <c r="Q47" s="36"/>
    </row>
    <row r="48" spans="1:17" ht="15.6" x14ac:dyDescent="0.3">
      <c r="B48" s="28"/>
      <c r="C48" s="9"/>
      <c r="D48" s="9"/>
      <c r="E48" s="9"/>
      <c r="F48" s="9"/>
      <c r="G48" s="27"/>
      <c r="H48" s="34"/>
      <c r="J48" s="36"/>
      <c r="K48" s="36"/>
      <c r="L48" s="36"/>
      <c r="M48" s="36"/>
      <c r="N48" s="36"/>
      <c r="O48" s="36"/>
      <c r="P48" s="36"/>
      <c r="Q48" s="36"/>
    </row>
    <row r="49" spans="2:17" ht="15.6" x14ac:dyDescent="0.3">
      <c r="B49" s="28"/>
      <c r="C49" s="9"/>
      <c r="D49" s="9"/>
      <c r="E49" s="9"/>
      <c r="F49" s="9"/>
      <c r="G49" s="27"/>
      <c r="H49" s="34"/>
      <c r="J49" s="36"/>
      <c r="K49" s="36"/>
      <c r="L49" s="36"/>
      <c r="M49" s="36"/>
      <c r="N49" s="36"/>
      <c r="O49" s="36"/>
      <c r="P49" s="36"/>
      <c r="Q49" s="36"/>
    </row>
    <row r="50" spans="2:17" ht="15.6" x14ac:dyDescent="0.3">
      <c r="B50" s="28"/>
      <c r="C50" s="9"/>
      <c r="D50" s="9"/>
      <c r="E50" s="9"/>
      <c r="F50" s="9"/>
      <c r="G50" s="27"/>
      <c r="H50" s="34"/>
      <c r="J50" s="36"/>
      <c r="K50" s="36"/>
      <c r="L50" s="36"/>
      <c r="M50" s="36"/>
      <c r="N50" s="36"/>
      <c r="O50" s="36"/>
      <c r="P50" s="36"/>
      <c r="Q50" s="36"/>
    </row>
    <row r="51" spans="2:17" ht="15.6" x14ac:dyDescent="0.3">
      <c r="B51" s="28"/>
      <c r="C51" s="9"/>
      <c r="D51" s="9"/>
      <c r="E51" s="9"/>
      <c r="F51" s="9"/>
      <c r="G51" s="27"/>
      <c r="H51" s="34"/>
      <c r="J51" s="36"/>
      <c r="K51" s="36"/>
      <c r="L51" s="36"/>
      <c r="M51" s="36"/>
      <c r="N51" s="36"/>
      <c r="O51" s="36"/>
      <c r="P51" s="36"/>
      <c r="Q51" s="36"/>
    </row>
    <row r="52" spans="2:17" ht="15.6" x14ac:dyDescent="0.3">
      <c r="B52" s="28"/>
      <c r="C52" s="9"/>
      <c r="D52" s="9"/>
      <c r="E52" s="9"/>
      <c r="F52" s="9"/>
      <c r="G52" s="27"/>
      <c r="H52" s="34"/>
      <c r="J52" s="36"/>
      <c r="K52" s="36"/>
      <c r="L52" s="36"/>
      <c r="M52" s="36"/>
      <c r="N52" s="36"/>
      <c r="O52" s="36"/>
      <c r="P52" s="36"/>
      <c r="Q52" s="36"/>
    </row>
    <row r="53" spans="2:17" ht="15.6" x14ac:dyDescent="0.3">
      <c r="B53" s="28"/>
      <c r="C53" s="9"/>
      <c r="D53" s="9"/>
      <c r="E53" s="9"/>
      <c r="F53" s="9"/>
      <c r="G53" s="27"/>
      <c r="H53" s="34"/>
      <c r="J53" s="36"/>
      <c r="K53" s="36"/>
      <c r="L53" s="36"/>
      <c r="M53" s="36"/>
      <c r="N53" s="36"/>
      <c r="O53" s="36"/>
      <c r="P53" s="36"/>
      <c r="Q53" s="36"/>
    </row>
    <row r="54" spans="2:17" ht="15.6" x14ac:dyDescent="0.3">
      <c r="B54" s="28"/>
      <c r="C54" s="9"/>
      <c r="D54" s="9"/>
      <c r="E54" s="9"/>
      <c r="F54" s="9"/>
      <c r="G54" s="27"/>
      <c r="H54" s="34"/>
      <c r="J54" s="36"/>
      <c r="K54" s="36"/>
      <c r="L54" s="36"/>
      <c r="M54" s="36"/>
      <c r="N54" s="36"/>
      <c r="O54" s="36"/>
      <c r="P54" s="36"/>
      <c r="Q54" s="36"/>
    </row>
    <row r="55" spans="2:17" ht="15.6" x14ac:dyDescent="0.3">
      <c r="B55" s="28"/>
      <c r="C55" s="9"/>
      <c r="D55" s="9"/>
      <c r="E55" s="9"/>
      <c r="F55" s="9"/>
      <c r="G55" s="27"/>
      <c r="H55" s="34"/>
      <c r="J55" s="36"/>
      <c r="K55" s="36"/>
      <c r="L55" s="36"/>
      <c r="M55" s="36"/>
      <c r="N55" s="36"/>
      <c r="O55" s="36"/>
      <c r="P55" s="36"/>
      <c r="Q55" s="36"/>
    </row>
    <row r="56" spans="2:17" ht="15.6" x14ac:dyDescent="0.3">
      <c r="B56" s="28"/>
      <c r="C56" s="9"/>
      <c r="D56" s="9"/>
      <c r="E56" s="9"/>
      <c r="F56" s="9"/>
      <c r="G56" s="27"/>
      <c r="H56" s="34"/>
      <c r="J56" s="36"/>
      <c r="K56" s="36"/>
      <c r="L56" s="36"/>
      <c r="M56" s="36"/>
      <c r="N56" s="36"/>
      <c r="O56" s="36"/>
      <c r="P56" s="36"/>
      <c r="Q56" s="36"/>
    </row>
    <row r="57" spans="2:17" ht="15.6" x14ac:dyDescent="0.3">
      <c r="B57" s="28"/>
      <c r="C57" s="9"/>
      <c r="D57" s="9"/>
      <c r="E57" s="9"/>
      <c r="F57" s="9"/>
      <c r="G57" s="27"/>
      <c r="H57" s="34"/>
      <c r="J57" s="36"/>
      <c r="K57" s="36"/>
      <c r="L57" s="36"/>
      <c r="M57" s="36"/>
      <c r="N57" s="36"/>
      <c r="O57" s="36"/>
      <c r="P57" s="36"/>
      <c r="Q57" s="36"/>
    </row>
    <row r="58" spans="2:17" ht="15.6" x14ac:dyDescent="0.3">
      <c r="B58" s="28"/>
      <c r="C58" s="9"/>
      <c r="D58" s="9"/>
      <c r="E58" s="9"/>
      <c r="F58" s="9"/>
      <c r="G58" s="27"/>
      <c r="H58" s="34"/>
      <c r="J58" s="36"/>
      <c r="K58" s="36"/>
      <c r="L58" s="36"/>
      <c r="M58" s="36"/>
      <c r="N58" s="36"/>
      <c r="O58" s="36"/>
      <c r="P58" s="36"/>
      <c r="Q58" s="36"/>
    </row>
    <row r="59" spans="2:17" ht="15.6" x14ac:dyDescent="0.3">
      <c r="B59" s="28"/>
      <c r="C59" s="9"/>
      <c r="D59" s="9"/>
      <c r="E59" s="9"/>
      <c r="F59" s="9"/>
      <c r="G59" s="27"/>
      <c r="H59" s="34"/>
      <c r="J59" s="36"/>
      <c r="K59" s="36"/>
      <c r="L59" s="36"/>
      <c r="M59" s="36"/>
      <c r="N59" s="36"/>
      <c r="O59" s="36"/>
      <c r="P59" s="36"/>
      <c r="Q59" s="36"/>
    </row>
    <row r="60" spans="2:17" ht="15.6" x14ac:dyDescent="0.3">
      <c r="B60" s="28"/>
      <c r="C60" s="9"/>
      <c r="D60" s="9"/>
      <c r="E60" s="9"/>
      <c r="F60" s="9"/>
      <c r="G60" s="27"/>
      <c r="H60" s="34"/>
      <c r="M60" s="26"/>
      <c r="N60" s="26"/>
      <c r="O60" s="26"/>
      <c r="P60" s="26"/>
    </row>
    <row r="61" spans="2:17" ht="15.6" x14ac:dyDescent="0.3">
      <c r="B61" s="28"/>
      <c r="C61" s="9"/>
      <c r="D61" s="9"/>
      <c r="E61" s="9"/>
      <c r="F61" s="9"/>
      <c r="G61" s="27"/>
      <c r="H61" s="34"/>
      <c r="M61" s="26"/>
      <c r="N61" s="26"/>
      <c r="O61" s="26"/>
      <c r="P61" s="26"/>
    </row>
    <row r="62" spans="2:17" ht="15.6" x14ac:dyDescent="0.3">
      <c r="B62" s="28"/>
      <c r="C62" s="9"/>
      <c r="D62" s="9"/>
      <c r="E62" s="9"/>
      <c r="F62" s="9"/>
      <c r="G62" s="27"/>
      <c r="H62" s="34"/>
      <c r="M62" s="26"/>
      <c r="N62" s="26"/>
      <c r="O62" s="26"/>
      <c r="P62" s="26"/>
    </row>
    <row r="63" spans="2:17" ht="15.6" x14ac:dyDescent="0.3">
      <c r="B63" s="28"/>
      <c r="C63" s="9"/>
      <c r="D63" s="9"/>
      <c r="E63" s="9"/>
      <c r="F63" s="9"/>
      <c r="G63" s="27"/>
      <c r="H63" s="34"/>
      <c r="M63" s="26"/>
      <c r="N63" s="26"/>
      <c r="O63" s="26"/>
      <c r="P63" s="26"/>
    </row>
    <row r="64" spans="2:17" ht="15.6" x14ac:dyDescent="0.3">
      <c r="B64" s="28"/>
      <c r="C64" s="9"/>
      <c r="D64" s="9"/>
      <c r="E64" s="9"/>
      <c r="F64" s="9"/>
      <c r="G64" s="27"/>
      <c r="H64" s="34"/>
      <c r="M64" s="26"/>
      <c r="N64" s="26"/>
      <c r="O64" s="26"/>
      <c r="P64" s="26"/>
    </row>
    <row r="65" spans="2:16" ht="15.6" x14ac:dyDescent="0.3">
      <c r="B65" s="28"/>
      <c r="C65" s="9"/>
      <c r="D65" s="9"/>
      <c r="E65" s="9"/>
      <c r="F65" s="9"/>
      <c r="G65" s="27"/>
      <c r="H65" s="34"/>
      <c r="M65" s="26"/>
      <c r="N65" s="26"/>
      <c r="O65" s="26"/>
      <c r="P65" s="26"/>
    </row>
    <row r="66" spans="2:16" ht="15.6" x14ac:dyDescent="0.3">
      <c r="B66" s="28"/>
      <c r="C66" s="9"/>
      <c r="D66" s="9"/>
      <c r="E66" s="9"/>
      <c r="F66" s="9"/>
      <c r="G66" s="27"/>
      <c r="H66" s="34"/>
      <c r="M66" s="26"/>
      <c r="N66" s="26"/>
      <c r="O66" s="26"/>
      <c r="P66" s="26"/>
    </row>
    <row r="67" spans="2:16" ht="15.6" x14ac:dyDescent="0.3">
      <c r="B67" s="28"/>
      <c r="C67" s="9"/>
      <c r="D67" s="9"/>
      <c r="E67" s="9"/>
      <c r="F67" s="9"/>
      <c r="G67" s="27"/>
      <c r="H67" s="34"/>
      <c r="M67" s="26"/>
      <c r="N67" s="26"/>
      <c r="O67" s="26"/>
      <c r="P67" s="26"/>
    </row>
    <row r="68" spans="2:16" ht="15.6" x14ac:dyDescent="0.3">
      <c r="B68" s="28"/>
      <c r="C68" s="9"/>
      <c r="D68" s="9"/>
      <c r="E68" s="9"/>
      <c r="F68" s="9"/>
      <c r="G68" s="27"/>
      <c r="H68" s="34"/>
      <c r="M68" s="26"/>
      <c r="N68" s="26"/>
      <c r="O68" s="26"/>
      <c r="P68" s="26"/>
    </row>
    <row r="69" spans="2:16" ht="15.6" x14ac:dyDescent="0.3">
      <c r="B69" s="28"/>
      <c r="C69" s="9"/>
      <c r="D69" s="9"/>
      <c r="E69" s="9"/>
      <c r="F69" s="9"/>
      <c r="G69" s="27"/>
      <c r="H69" s="34"/>
      <c r="M69" s="26"/>
      <c r="N69" s="26"/>
      <c r="O69" s="26"/>
      <c r="P69" s="26"/>
    </row>
    <row r="70" spans="2:16" ht="15.6" x14ac:dyDescent="0.3">
      <c r="B70" s="28"/>
      <c r="C70" s="9"/>
      <c r="D70" s="9"/>
      <c r="E70" s="9"/>
      <c r="F70" s="9"/>
      <c r="G70" s="27"/>
      <c r="H70" s="34"/>
      <c r="M70" s="26"/>
      <c r="N70" s="26"/>
      <c r="O70" s="26"/>
      <c r="P70" s="26"/>
    </row>
    <row r="71" spans="2:16" ht="15.6" x14ac:dyDescent="0.3">
      <c r="B71" s="28"/>
      <c r="C71" s="9"/>
      <c r="D71" s="9"/>
      <c r="E71" s="9"/>
      <c r="F71" s="9"/>
      <c r="G71" s="27"/>
      <c r="H71" s="34"/>
      <c r="M71" s="26"/>
      <c r="N71" s="26"/>
      <c r="O71" s="26"/>
      <c r="P71" s="26"/>
    </row>
    <row r="72" spans="2:16" ht="15.6" x14ac:dyDescent="0.3">
      <c r="B72" s="28"/>
      <c r="C72" s="9"/>
      <c r="D72" s="9"/>
      <c r="E72" s="9"/>
      <c r="F72" s="9"/>
      <c r="G72" s="27"/>
      <c r="H72" s="34"/>
      <c r="M72" s="26"/>
      <c r="N72" s="26"/>
      <c r="O72" s="26"/>
      <c r="P72" s="26"/>
    </row>
    <row r="73" spans="2:16" ht="15.6" x14ac:dyDescent="0.3">
      <c r="B73" s="28"/>
      <c r="C73" s="9"/>
      <c r="D73" s="9"/>
      <c r="E73" s="9"/>
      <c r="F73" s="9"/>
      <c r="G73" s="27"/>
      <c r="H73" s="34"/>
      <c r="M73" s="26"/>
      <c r="N73" s="26"/>
      <c r="O73" s="26"/>
      <c r="P73" s="26"/>
    </row>
    <row r="74" spans="2:16" ht="15.6" x14ac:dyDescent="0.3">
      <c r="B74" s="28"/>
      <c r="C74" s="9"/>
      <c r="D74" s="9"/>
      <c r="E74" s="9"/>
      <c r="F74" s="9"/>
      <c r="G74" s="27"/>
      <c r="H74" s="34"/>
      <c r="M74" s="26"/>
      <c r="N74" s="26"/>
      <c r="O74" s="26"/>
      <c r="P74" s="26"/>
    </row>
    <row r="75" spans="2:16" ht="15.6" x14ac:dyDescent="0.3">
      <c r="B75" s="28"/>
      <c r="C75" s="9"/>
      <c r="D75" s="9"/>
      <c r="E75" s="9"/>
      <c r="F75" s="9"/>
      <c r="G75" s="27"/>
      <c r="H75" s="34"/>
      <c r="M75" s="26"/>
      <c r="N75" s="26"/>
      <c r="O75" s="26"/>
      <c r="P75" s="26"/>
    </row>
    <row r="76" spans="2:16" ht="15.6" x14ac:dyDescent="0.3">
      <c r="B76" s="28"/>
      <c r="C76" s="9"/>
      <c r="D76" s="9"/>
      <c r="E76" s="9"/>
      <c r="F76" s="9"/>
      <c r="G76" s="27"/>
      <c r="H76" s="34"/>
      <c r="M76" s="26"/>
      <c r="N76" s="26"/>
      <c r="O76" s="26"/>
      <c r="P76" s="26"/>
    </row>
    <row r="77" spans="2:16" ht="15.6" x14ac:dyDescent="0.3">
      <c r="B77" s="28"/>
      <c r="C77" s="9"/>
      <c r="D77" s="9"/>
      <c r="E77" s="9"/>
      <c r="F77" s="9"/>
      <c r="G77" s="27"/>
      <c r="H77" s="34"/>
      <c r="M77" s="26"/>
      <c r="N77" s="26"/>
      <c r="O77" s="26"/>
      <c r="P77" s="26"/>
    </row>
    <row r="78" spans="2:16" x14ac:dyDescent="0.3">
      <c r="B78" s="28"/>
      <c r="C78" s="9"/>
      <c r="D78" s="9"/>
      <c r="E78" s="9"/>
      <c r="F78" s="9"/>
      <c r="G78" s="9"/>
      <c r="M78" s="26"/>
      <c r="N78" s="26"/>
      <c r="O78" s="26"/>
      <c r="P78" s="26"/>
    </row>
    <row r="79" spans="2:16" x14ac:dyDescent="0.3">
      <c r="B79" s="28"/>
      <c r="C79" s="9"/>
      <c r="D79" s="9"/>
      <c r="E79" s="9"/>
      <c r="F79" s="9"/>
      <c r="G79" s="9"/>
      <c r="M79" s="26"/>
      <c r="N79" s="26"/>
      <c r="O79" s="26"/>
      <c r="P79" s="26"/>
    </row>
    <row r="80" spans="2:16" x14ac:dyDescent="0.3">
      <c r="B80" s="28"/>
      <c r="C80" s="9"/>
      <c r="D80" s="9"/>
      <c r="E80" s="9"/>
      <c r="F80" s="9"/>
      <c r="G80" s="9"/>
      <c r="M80" s="26"/>
      <c r="N80" s="26"/>
      <c r="O80" s="26"/>
      <c r="P80" s="26"/>
    </row>
    <row r="81" spans="2:16" x14ac:dyDescent="0.3">
      <c r="B81" s="28"/>
      <c r="C81" s="9"/>
      <c r="D81" s="9"/>
      <c r="E81" s="9"/>
      <c r="F81" s="9"/>
      <c r="G81" s="9"/>
      <c r="M81" s="26"/>
      <c r="N81" s="26"/>
      <c r="O81" s="26"/>
      <c r="P81" s="26"/>
    </row>
    <row r="82" spans="2:16" x14ac:dyDescent="0.3">
      <c r="B82" s="28"/>
      <c r="C82" s="9"/>
      <c r="D82" s="9"/>
      <c r="E82" s="9"/>
      <c r="F82" s="9"/>
      <c r="G82" s="9"/>
      <c r="M82" s="26"/>
      <c r="N82" s="26"/>
      <c r="O82" s="26"/>
      <c r="P82" s="26"/>
    </row>
    <row r="83" spans="2:16" x14ac:dyDescent="0.3">
      <c r="B83" s="28"/>
      <c r="C83" s="9"/>
      <c r="D83" s="9"/>
      <c r="E83" s="9"/>
      <c r="F83" s="9"/>
      <c r="G83" s="9"/>
      <c r="M83" s="26"/>
      <c r="N83" s="26"/>
      <c r="O83" s="26"/>
      <c r="P83" s="26"/>
    </row>
    <row r="84" spans="2:16" x14ac:dyDescent="0.3">
      <c r="B84" s="28"/>
      <c r="C84" s="9"/>
      <c r="D84" s="9"/>
      <c r="E84" s="9"/>
      <c r="F84" s="9"/>
      <c r="G84" s="9"/>
      <c r="M84" s="26"/>
      <c r="N84" s="26"/>
      <c r="O84" s="26"/>
      <c r="P84" s="26"/>
    </row>
    <row r="85" spans="2:16" x14ac:dyDescent="0.3">
      <c r="B85" s="28"/>
      <c r="C85" s="9"/>
      <c r="D85" s="9"/>
      <c r="E85" s="9"/>
      <c r="F85" s="9"/>
      <c r="G85" s="9"/>
      <c r="M85" s="26"/>
      <c r="N85" s="26"/>
      <c r="O85" s="26"/>
      <c r="P85" s="26"/>
    </row>
    <row r="86" spans="2:16" x14ac:dyDescent="0.3">
      <c r="B86" s="28"/>
      <c r="C86" s="9"/>
      <c r="D86" s="9"/>
      <c r="E86" s="9"/>
      <c r="F86" s="9"/>
      <c r="G86" s="9"/>
      <c r="M86" s="26"/>
      <c r="N86" s="26"/>
      <c r="O86" s="26"/>
      <c r="P86" s="26"/>
    </row>
    <row r="87" spans="2:16" x14ac:dyDescent="0.3">
      <c r="B87" s="28"/>
      <c r="C87" s="9"/>
      <c r="D87" s="9"/>
      <c r="E87" s="9"/>
      <c r="F87" s="9"/>
      <c r="G87" s="9"/>
      <c r="M87" s="26"/>
      <c r="N87" s="26"/>
      <c r="O87" s="26"/>
      <c r="P87" s="26"/>
    </row>
    <row r="88" spans="2:16" x14ac:dyDescent="0.3">
      <c r="B88" s="28"/>
      <c r="C88" s="9"/>
      <c r="D88" s="9"/>
      <c r="E88" s="9"/>
      <c r="F88" s="9"/>
      <c r="G88" s="9"/>
      <c r="M88" s="26"/>
      <c r="N88" s="26"/>
      <c r="O88" s="26"/>
      <c r="P88" s="26"/>
    </row>
    <row r="89" spans="2:16" x14ac:dyDescent="0.3">
      <c r="B89" s="28"/>
      <c r="C89" s="9"/>
      <c r="D89" s="9"/>
      <c r="E89" s="9"/>
      <c r="F89" s="9"/>
      <c r="G89" s="9"/>
      <c r="M89" s="26"/>
      <c r="N89" s="26"/>
      <c r="O89" s="26"/>
      <c r="P89" s="26"/>
    </row>
    <row r="90" spans="2:16" x14ac:dyDescent="0.3">
      <c r="B90" s="28"/>
      <c r="C90" s="9"/>
      <c r="D90" s="9"/>
      <c r="E90" s="9"/>
      <c r="F90" s="9"/>
      <c r="G90" s="9"/>
      <c r="M90" s="26"/>
      <c r="N90" s="26"/>
      <c r="O90" s="26"/>
      <c r="P90" s="26"/>
    </row>
    <row r="91" spans="2:16" x14ac:dyDescent="0.3">
      <c r="B91" s="28"/>
      <c r="C91" s="9"/>
      <c r="D91" s="9"/>
      <c r="E91" s="9"/>
      <c r="F91" s="9"/>
      <c r="G91" s="9"/>
      <c r="M91" s="26"/>
      <c r="N91" s="26"/>
      <c r="O91" s="26"/>
      <c r="P91" s="26"/>
    </row>
    <row r="92" spans="2:16" x14ac:dyDescent="0.3">
      <c r="B92" s="28"/>
      <c r="C92" s="9"/>
      <c r="D92" s="9"/>
      <c r="E92" s="9"/>
      <c r="F92" s="9"/>
      <c r="G92" s="9"/>
      <c r="M92" s="26"/>
      <c r="N92" s="26"/>
      <c r="O92" s="26"/>
      <c r="P92" s="26"/>
    </row>
    <row r="93" spans="2:16" x14ac:dyDescent="0.3">
      <c r="B93" s="28"/>
      <c r="C93" s="9"/>
      <c r="D93" s="9"/>
      <c r="E93" s="9"/>
      <c r="F93" s="9"/>
      <c r="G93" s="9"/>
      <c r="M93" s="26"/>
      <c r="N93" s="26"/>
      <c r="O93" s="26"/>
      <c r="P93" s="26"/>
    </row>
    <row r="94" spans="2:16" x14ac:dyDescent="0.3">
      <c r="B94" s="28"/>
      <c r="C94" s="9"/>
      <c r="D94" s="9"/>
      <c r="E94" s="9"/>
      <c r="F94" s="9"/>
      <c r="G94" s="9"/>
      <c r="M94" s="26"/>
      <c r="N94" s="26"/>
      <c r="O94" s="26"/>
      <c r="P94" s="26"/>
    </row>
    <row r="95" spans="2:16" x14ac:dyDescent="0.3">
      <c r="B95" s="28"/>
      <c r="C95" s="9"/>
      <c r="D95" s="9"/>
      <c r="E95" s="9"/>
      <c r="F95" s="9"/>
      <c r="G95" s="9"/>
      <c r="M95" s="26"/>
      <c r="N95" s="26"/>
      <c r="O95" s="26"/>
      <c r="P95" s="26"/>
    </row>
    <row r="96" spans="2:16" x14ac:dyDescent="0.3">
      <c r="B96" s="28"/>
      <c r="C96" s="9"/>
      <c r="D96" s="9"/>
      <c r="E96" s="9"/>
      <c r="F96" s="9"/>
      <c r="G96" s="9"/>
      <c r="M96" s="26"/>
      <c r="N96" s="26"/>
      <c r="O96" s="26"/>
      <c r="P96" s="26"/>
    </row>
    <row r="97" spans="2:16" x14ac:dyDescent="0.3">
      <c r="B97" s="28"/>
      <c r="C97" s="9"/>
      <c r="D97" s="9"/>
      <c r="E97" s="9"/>
      <c r="F97" s="9"/>
      <c r="G97" s="9"/>
      <c r="M97" s="26"/>
      <c r="N97" s="26"/>
      <c r="O97" s="26"/>
      <c r="P97" s="26"/>
    </row>
    <row r="98" spans="2:16" x14ac:dyDescent="0.3">
      <c r="B98" s="28"/>
      <c r="C98" s="9"/>
      <c r="D98" s="9"/>
      <c r="E98" s="9"/>
      <c r="F98" s="9"/>
      <c r="G98" s="9"/>
      <c r="M98" s="26"/>
      <c r="N98" s="26"/>
      <c r="O98" s="26"/>
      <c r="P98" s="26"/>
    </row>
    <row r="99" spans="2:16" x14ac:dyDescent="0.3">
      <c r="B99" s="28"/>
      <c r="C99" s="9"/>
      <c r="D99" s="9"/>
      <c r="E99" s="9"/>
      <c r="F99" s="9"/>
      <c r="G99" s="9"/>
      <c r="M99" s="26"/>
      <c r="N99" s="26"/>
      <c r="O99" s="26"/>
      <c r="P99" s="26"/>
    </row>
    <row r="100" spans="2:16" x14ac:dyDescent="0.3">
      <c r="M100" s="26"/>
      <c r="N100" s="26"/>
      <c r="O100" s="26"/>
      <c r="P100" s="26"/>
    </row>
  </sheetData>
  <sheetProtection sheet="1" objects="1" scenarios="1" selectLockedCells="1"/>
  <mergeCells count="6">
    <mergeCell ref="B5:H5"/>
    <mergeCell ref="C6:G6"/>
    <mergeCell ref="E8:G8"/>
    <mergeCell ref="D41:E41"/>
    <mergeCell ref="C2:G2"/>
    <mergeCell ref="D4:G4"/>
  </mergeCells>
  <conditionalFormatting sqref="J9:J37 J39:J40">
    <cfRule type="expression" dxfId="13" priority="19">
      <formula>"h6=1"</formula>
    </cfRule>
  </conditionalFormatting>
  <conditionalFormatting sqref="E8">
    <cfRule type="expression" dxfId="12" priority="18">
      <formula>"e6=""x"""</formula>
    </cfRule>
  </conditionalFormatting>
  <conditionalFormatting sqref="I4">
    <cfRule type="expression" dxfId="11" priority="17">
      <formula>"""=""H1=""1"""""""</formula>
    </cfRule>
  </conditionalFormatting>
  <conditionalFormatting sqref="F9:F37 F39:F40">
    <cfRule type="expression" dxfId="10" priority="15">
      <formula>"$D$6=$H$1"</formula>
    </cfRule>
  </conditionalFormatting>
  <conditionalFormatting sqref="C9">
    <cfRule type="expression" dxfId="9" priority="14">
      <formula>"$D6=$H$1"</formula>
    </cfRule>
  </conditionalFormatting>
  <conditionalFormatting sqref="J4">
    <cfRule type="expression" dxfId="8" priority="13">
      <formula>"f7=c7"</formula>
    </cfRule>
  </conditionalFormatting>
  <conditionalFormatting sqref="D9:D37 D39:D40">
    <cfRule type="expression" dxfId="7" priority="11">
      <formula>"e6=""x"""</formula>
    </cfRule>
  </conditionalFormatting>
  <conditionalFormatting sqref="G9:G37 G39:G40">
    <cfRule type="expression" dxfId="6" priority="10">
      <formula>"e6=""x"""</formula>
    </cfRule>
  </conditionalFormatting>
  <conditionalFormatting sqref="C10:C37 C39:C40">
    <cfRule type="expression" dxfId="5" priority="6">
      <formula>"$D6=$H$1"</formula>
    </cfRule>
  </conditionalFormatting>
  <conditionalFormatting sqref="J38">
    <cfRule type="expression" dxfId="4" priority="5">
      <formula>"h6=1"</formula>
    </cfRule>
  </conditionalFormatting>
  <conditionalFormatting sqref="F38">
    <cfRule type="expression" dxfId="3" priority="4">
      <formula>"$D$6=$H$1"</formula>
    </cfRule>
  </conditionalFormatting>
  <conditionalFormatting sqref="D38">
    <cfRule type="expression" dxfId="2" priority="3">
      <formula>"e6=""x"""</formula>
    </cfRule>
  </conditionalFormatting>
  <conditionalFormatting sqref="G38">
    <cfRule type="expression" dxfId="1" priority="2">
      <formula>"e6=""x"""</formula>
    </cfRule>
  </conditionalFormatting>
  <conditionalFormatting sqref="C38">
    <cfRule type="expression" dxfId="0" priority="1">
      <formula>"$D6=$H$1"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Verb Forms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2019-07-23T21:26:22Z</dcterms:created>
  <dcterms:modified xsi:type="dcterms:W3CDTF">2019-07-28T19:03:24Z</dcterms:modified>
</cp:coreProperties>
</file>