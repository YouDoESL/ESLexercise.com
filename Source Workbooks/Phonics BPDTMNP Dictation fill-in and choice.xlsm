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11A02DFA-4C1F-4D5F-9C61-354627F93D5D}" xr6:coauthVersionLast="45" xr6:coauthVersionMax="45" xr10:uidLastSave="{00000000-0000-0000-0000-000000000000}"/>
  <bookViews>
    <workbookView xWindow="-108" yWindow="-108" windowWidth="23256" windowHeight="12576" tabRatio="650" firstSheet="1" activeTab="7" xr2:uid="{00000000-000D-0000-FFFF-FFFF00000000}"/>
  </bookViews>
  <sheets>
    <sheet name="NPT fillin" sheetId="7" r:id="rId1"/>
    <sheet name="Sheet3" sheetId="13" r:id="rId2"/>
    <sheet name="NPT 3-choice" sheetId="9" r:id="rId3"/>
    <sheet name="BGMDNPT cum assmt" sheetId="11" r:id="rId4"/>
    <sheet name="BPDTMN 2-choice" sheetId="14" r:id="rId5"/>
    <sheet name="BPDTMNmaster" sheetId="15" r:id="rId6"/>
    <sheet name="NPT fillin assess" sheetId="12" r:id="rId7"/>
    <sheet name="NPTmaster" sheetId="10" r:id="rId8"/>
  </sheets>
  <externalReferences>
    <externalReference r:id="rId9"/>
  </externalReferences>
  <definedNames>
    <definedName name="_xlnm.Print_Area" localSheetId="2">'NPT 3-choice'!$A$1:$O$20</definedName>
    <definedName name="_xlnm.Print_Area" localSheetId="7">NPTmaster!$A$1:$J$41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2" i="14" l="1"/>
  <c r="K61" i="14"/>
  <c r="K60" i="14"/>
  <c r="K59" i="14"/>
  <c r="K58" i="14"/>
  <c r="K57" i="14"/>
  <c r="K56" i="14"/>
  <c r="K55" i="14"/>
  <c r="K54" i="14"/>
  <c r="K53" i="14"/>
  <c r="K52" i="14"/>
  <c r="K51" i="14"/>
  <c r="K50" i="14"/>
  <c r="K49" i="14"/>
  <c r="K48" i="14"/>
  <c r="K47" i="14"/>
  <c r="K46" i="14"/>
  <c r="K45" i="14"/>
  <c r="K44" i="14"/>
  <c r="K43" i="14"/>
  <c r="K42" i="14"/>
  <c r="K41" i="14"/>
  <c r="K40" i="14"/>
  <c r="K39" i="14"/>
  <c r="K38" i="14"/>
  <c r="K37" i="14"/>
  <c r="K36" i="14"/>
  <c r="K35" i="14"/>
  <c r="K34" i="14"/>
  <c r="K33" i="14"/>
  <c r="K32" i="14"/>
  <c r="K31" i="14"/>
  <c r="K30" i="14"/>
  <c r="K29" i="14"/>
  <c r="K28" i="14"/>
  <c r="K27" i="14"/>
  <c r="K26" i="14"/>
  <c r="K25" i="14"/>
  <c r="K24" i="14"/>
  <c r="K23" i="14"/>
  <c r="K22" i="14"/>
  <c r="K21" i="14"/>
  <c r="K20" i="14"/>
  <c r="K19" i="14"/>
  <c r="K18" i="14"/>
  <c r="K17" i="14"/>
  <c r="K16" i="14"/>
  <c r="K15" i="14"/>
  <c r="K14" i="14"/>
  <c r="K13" i="14"/>
  <c r="K12" i="14"/>
  <c r="K11" i="14"/>
  <c r="K10" i="14"/>
  <c r="K9" i="14"/>
  <c r="K8" i="14"/>
  <c r="D6" i="15" l="1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F21" i="15" s="1"/>
  <c r="F22" i="15" s="1"/>
  <c r="F23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F7" i="14"/>
  <c r="F16" i="14"/>
  <c r="F50" i="14"/>
  <c r="F38" i="14"/>
  <c r="F32" i="14"/>
  <c r="F26" i="14"/>
  <c r="I23" i="14"/>
  <c r="F21" i="14"/>
  <c r="I43" i="14"/>
  <c r="F13" i="14"/>
  <c r="I39" i="14"/>
  <c r="I52" i="14"/>
  <c r="I12" i="14"/>
  <c r="I31" i="14"/>
  <c r="I51" i="14"/>
  <c r="F49" i="14"/>
  <c r="I60" i="14"/>
  <c r="I13" i="14"/>
  <c r="F30" i="14"/>
  <c r="F17" i="14"/>
  <c r="I25" i="14"/>
  <c r="I10" i="14"/>
  <c r="F11" i="14"/>
  <c r="F14" i="14"/>
  <c r="F44" i="14"/>
  <c r="F58" i="14"/>
  <c r="I56" i="14"/>
  <c r="F55" i="14"/>
  <c r="I45" i="14"/>
  <c r="I38" i="14"/>
  <c r="F40" i="14"/>
  <c r="F36" i="14"/>
  <c r="I44" i="14"/>
  <c r="I14" i="14"/>
  <c r="I11" i="14"/>
  <c r="I46" i="14"/>
  <c r="F18" i="14"/>
  <c r="I58" i="14"/>
  <c r="F53" i="14"/>
  <c r="F39" i="14"/>
  <c r="I50" i="14"/>
  <c r="F12" i="14"/>
  <c r="F47" i="14"/>
  <c r="F24" i="14"/>
  <c r="F8" i="14"/>
  <c r="I22" i="14"/>
  <c r="I28" i="14"/>
  <c r="F56" i="14"/>
  <c r="F22" i="14"/>
  <c r="F41" i="14"/>
  <c r="I17" i="14"/>
  <c r="A5" i="14"/>
  <c r="F57" i="14"/>
  <c r="F27" i="14"/>
  <c r="F61" i="14"/>
  <c r="I55" i="14"/>
  <c r="I48" i="14"/>
  <c r="I42" i="14"/>
  <c r="I33" i="14"/>
  <c r="F46" i="14"/>
  <c r="I30" i="14"/>
  <c r="I35" i="14"/>
  <c r="I40" i="14"/>
  <c r="F20" i="14"/>
  <c r="I36" i="14"/>
  <c r="F25" i="14"/>
  <c r="I19" i="14"/>
  <c r="I37" i="14"/>
  <c r="F9" i="14"/>
  <c r="I34" i="14"/>
  <c r="F45" i="14"/>
  <c r="F15" i="14"/>
  <c r="F59" i="14"/>
  <c r="I29" i="14"/>
  <c r="I41" i="14"/>
  <c r="I18" i="14"/>
  <c r="I32" i="14"/>
  <c r="F28" i="14"/>
  <c r="I26" i="14"/>
  <c r="I16" i="14"/>
  <c r="F48" i="14"/>
  <c r="I15" i="14"/>
  <c r="I61" i="14"/>
  <c r="F23" i="14"/>
  <c r="I20" i="14"/>
  <c r="F10" i="14"/>
  <c r="F33" i="14"/>
  <c r="I59" i="14"/>
  <c r="I8" i="14"/>
  <c r="F54" i="14"/>
  <c r="F34" i="14"/>
  <c r="I7" i="14"/>
  <c r="I54" i="14"/>
  <c r="F35" i="14"/>
  <c r="F52" i="14"/>
  <c r="I9" i="14"/>
  <c r="I49" i="14"/>
  <c r="I24" i="14"/>
  <c r="I21" i="14"/>
  <c r="I27" i="14"/>
  <c r="F19" i="14"/>
  <c r="I47" i="14"/>
  <c r="F60" i="14"/>
  <c r="I57" i="14"/>
  <c r="F43" i="14"/>
  <c r="F51" i="14"/>
  <c r="I53" i="14"/>
  <c r="F29" i="14"/>
  <c r="F37" i="14"/>
  <c r="F42" i="14"/>
  <c r="F31" i="14"/>
  <c r="B8" i="14" l="1"/>
  <c r="B14" i="14"/>
  <c r="B9" i="14"/>
  <c r="B16" i="14"/>
  <c r="B11" i="14"/>
  <c r="B18" i="14"/>
  <c r="B15" i="14"/>
  <c r="B12" i="14"/>
  <c r="B10" i="14"/>
  <c r="K7" i="14"/>
  <c r="B7" i="14"/>
  <c r="B13" i="14"/>
  <c r="B58" i="14"/>
  <c r="B23" i="14"/>
  <c r="B51" i="14"/>
  <c r="B29" i="14"/>
  <c r="B21" i="14"/>
  <c r="B26" i="14"/>
  <c r="B19" i="14"/>
  <c r="B35" i="14"/>
  <c r="B27" i="14"/>
  <c r="B56" i="14"/>
  <c r="B40" i="14"/>
  <c r="B43" i="14"/>
  <c r="B41" i="14"/>
  <c r="B37" i="14"/>
  <c r="B30" i="14"/>
  <c r="B59" i="14"/>
  <c r="B44" i="14"/>
  <c r="B28" i="14"/>
  <c r="B32" i="14"/>
  <c r="B60" i="14"/>
  <c r="B38" i="14"/>
  <c r="B33" i="14"/>
  <c r="B25" i="14"/>
  <c r="B46" i="14"/>
  <c r="B61" i="14"/>
  <c r="B47" i="14"/>
  <c r="B36" i="14"/>
  <c r="B31" i="14"/>
  <c r="B45" i="14"/>
  <c r="B22" i="14"/>
  <c r="B48" i="14"/>
  <c r="B55" i="14"/>
  <c r="B54" i="14"/>
  <c r="B57" i="14"/>
  <c r="B34" i="14"/>
  <c r="B50" i="14"/>
  <c r="B24" i="14"/>
  <c r="B39" i="14"/>
  <c r="B49" i="14"/>
  <c r="B52" i="14"/>
  <c r="B17" i="14"/>
  <c r="B53" i="14"/>
  <c r="B20" i="14"/>
  <c r="B42" i="14"/>
  <c r="I18" i="10"/>
  <c r="I19" i="10" s="1"/>
  <c r="I20" i="10" s="1"/>
  <c r="I21" i="10" s="1"/>
  <c r="I22" i="10" s="1"/>
  <c r="I23" i="10" s="1"/>
  <c r="I24" i="10" s="1"/>
  <c r="I25" i="10" s="1"/>
  <c r="I26" i="10" s="1"/>
  <c r="I27" i="10" s="1"/>
  <c r="I7" i="10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25" i="11"/>
  <c r="I14" i="9"/>
  <c r="F13" i="11"/>
  <c r="I24" i="11"/>
  <c r="F18" i="9"/>
  <c r="I12" i="9"/>
  <c r="L20" i="11"/>
  <c r="I23" i="11"/>
  <c r="F15" i="9"/>
  <c r="I17" i="9"/>
  <c r="I9" i="9"/>
  <c r="F11" i="9"/>
  <c r="C36" i="7"/>
  <c r="L18" i="11"/>
  <c r="I16" i="9"/>
  <c r="L12" i="11"/>
  <c r="L8" i="11"/>
  <c r="F10" i="9"/>
  <c r="L10" i="11"/>
  <c r="L13" i="9"/>
  <c r="L22" i="11"/>
  <c r="E37" i="7"/>
  <c r="L26" i="11"/>
  <c r="F17" i="9"/>
  <c r="C35" i="7"/>
  <c r="E36" i="7"/>
  <c r="L16" i="9"/>
  <c r="D39" i="7"/>
  <c r="L17" i="9"/>
  <c r="I20" i="11"/>
  <c r="F14" i="9"/>
  <c r="F16" i="9"/>
  <c r="F14" i="11"/>
  <c r="F16" i="11"/>
  <c r="I19" i="11"/>
  <c r="L9" i="11"/>
  <c r="I7" i="9"/>
  <c r="I13" i="11"/>
  <c r="I22" i="11"/>
  <c r="L11" i="9"/>
  <c r="L15" i="11"/>
  <c r="D38" i="7"/>
  <c r="F13" i="9"/>
  <c r="C38" i="7"/>
  <c r="C34" i="7"/>
  <c r="I26" i="11"/>
  <c r="F7" i="9"/>
  <c r="E38" i="7"/>
  <c r="F9" i="11"/>
  <c r="I15" i="9"/>
  <c r="F10" i="11"/>
  <c r="F24" i="11"/>
  <c r="L21" i="11"/>
  <c r="L23" i="11"/>
  <c r="F21" i="11"/>
  <c r="F27" i="11"/>
  <c r="I8" i="11"/>
  <c r="I8" i="9"/>
  <c r="F8" i="9"/>
  <c r="F23" i="11"/>
  <c r="I11" i="9"/>
  <c r="I27" i="11"/>
  <c r="D37" i="7"/>
  <c r="L18" i="9"/>
  <c r="D35" i="7"/>
  <c r="I10" i="11"/>
  <c r="A5" i="11"/>
  <c r="F12" i="9"/>
  <c r="L15" i="9"/>
  <c r="D36" i="7"/>
  <c r="E39" i="7"/>
  <c r="I12" i="11"/>
  <c r="L8" i="9"/>
  <c r="F19" i="11"/>
  <c r="F11" i="11"/>
  <c r="I18" i="9"/>
  <c r="L16" i="11"/>
  <c r="I9" i="11"/>
  <c r="I18" i="11"/>
  <c r="I17" i="11"/>
  <c r="L13" i="11"/>
  <c r="I15" i="11"/>
  <c r="F28" i="11"/>
  <c r="I16" i="11"/>
  <c r="I14" i="11"/>
  <c r="E35" i="7"/>
  <c r="F15" i="11"/>
  <c r="C37" i="7"/>
  <c r="L19" i="11"/>
  <c r="L7" i="11"/>
  <c r="F25" i="11"/>
  <c r="L28" i="11"/>
  <c r="I11" i="11"/>
  <c r="C39" i="7"/>
  <c r="L24" i="11"/>
  <c r="I13" i="9"/>
  <c r="F17" i="11"/>
  <c r="L14" i="9"/>
  <c r="F22" i="11"/>
  <c r="F12" i="11"/>
  <c r="F26" i="11"/>
  <c r="E34" i="7"/>
  <c r="F20" i="11"/>
  <c r="L25" i="11"/>
  <c r="L12" i="9"/>
  <c r="L27" i="11"/>
  <c r="L17" i="11"/>
  <c r="L9" i="9"/>
  <c r="F9" i="9"/>
  <c r="L10" i="9"/>
  <c r="I10" i="9"/>
  <c r="L7" i="9"/>
  <c r="I28" i="11"/>
  <c r="L14" i="11"/>
  <c r="I7" i="11"/>
  <c r="L11" i="11"/>
  <c r="F18" i="11"/>
  <c r="I21" i="11"/>
  <c r="D34" i="7"/>
  <c r="C6" i="14" l="1"/>
  <c r="F37" i="7"/>
  <c r="F39" i="7"/>
  <c r="F35" i="7"/>
  <c r="F36" i="7"/>
  <c r="F38" i="7"/>
  <c r="F34" i="7"/>
  <c r="B28" i="11"/>
  <c r="B27" i="11"/>
  <c r="B18" i="9"/>
  <c r="B17" i="9"/>
  <c r="B16" i="9"/>
  <c r="B15" i="9"/>
  <c r="B14" i="9"/>
  <c r="B13" i="9"/>
  <c r="B12" i="9"/>
  <c r="B11" i="9"/>
  <c r="B10" i="9"/>
  <c r="B9" i="9"/>
  <c r="B8" i="9"/>
  <c r="B7" i="9"/>
  <c r="A19" i="9" l="1"/>
  <c r="G25" i="12" l="1"/>
  <c r="G24" i="12"/>
  <c r="G23" i="12"/>
  <c r="G22" i="12"/>
  <c r="G21" i="12"/>
  <c r="G20" i="12"/>
  <c r="G18" i="12"/>
  <c r="C19" i="12"/>
  <c r="C20" i="12" s="1"/>
  <c r="C21" i="12" s="1"/>
  <c r="C22" i="12" s="1"/>
  <c r="C23" i="12" s="1"/>
  <c r="C24" i="12" s="1"/>
  <c r="C25" i="12" s="1"/>
  <c r="C18" i="12"/>
  <c r="B22" i="11"/>
  <c r="B21" i="11"/>
  <c r="B20" i="11"/>
  <c r="B19" i="11"/>
  <c r="B18" i="11"/>
  <c r="D7" i="1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B9" i="11" l="1"/>
  <c r="B8" i="11"/>
  <c r="B26" i="11"/>
  <c r="B13" i="11"/>
  <c r="B24" i="11"/>
  <c r="B12" i="11"/>
  <c r="B23" i="11"/>
  <c r="B11" i="11"/>
  <c r="B17" i="11"/>
  <c r="B10" i="11"/>
  <c r="B16" i="11"/>
  <c r="B15" i="11"/>
  <c r="B14" i="11"/>
  <c r="B25" i="11"/>
  <c r="G7" i="10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B7" i="10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F9" i="7" l="1"/>
  <c r="H9" i="7" s="1"/>
  <c r="D7" i="9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E33" i="7"/>
  <c r="C14" i="7"/>
  <c r="C23" i="7"/>
  <c r="C11" i="7"/>
  <c r="C30" i="7"/>
  <c r="E22" i="7"/>
  <c r="C22" i="7"/>
  <c r="C18" i="7"/>
  <c r="C33" i="7"/>
  <c r="E21" i="7"/>
  <c r="E20" i="7"/>
  <c r="E27" i="7"/>
  <c r="C16" i="7"/>
  <c r="E31" i="7"/>
  <c r="E25" i="7"/>
  <c r="C12" i="7"/>
  <c r="E24" i="7"/>
  <c r="C20" i="7"/>
  <c r="E12" i="7"/>
  <c r="E16" i="7"/>
  <c r="E11" i="7"/>
  <c r="E29" i="7"/>
  <c r="C10" i="7"/>
  <c r="C29" i="7"/>
  <c r="C19" i="7"/>
  <c r="E15" i="7"/>
  <c r="C13" i="7"/>
  <c r="E10" i="7"/>
  <c r="C32" i="7"/>
  <c r="E14" i="7"/>
  <c r="E18" i="7"/>
  <c r="E30" i="7"/>
  <c r="E26" i="7"/>
  <c r="C31" i="7"/>
  <c r="E17" i="7"/>
  <c r="E28" i="7"/>
  <c r="C26" i="7"/>
  <c r="C15" i="7"/>
  <c r="C27" i="7"/>
  <c r="C25" i="7"/>
  <c r="C28" i="7"/>
  <c r="E23" i="7"/>
  <c r="E19" i="7"/>
  <c r="C17" i="7"/>
  <c r="E13" i="7"/>
  <c r="E32" i="7"/>
  <c r="C21" i="7"/>
  <c r="C24" i="7"/>
  <c r="F33" i="7" l="1"/>
  <c r="H33" i="7"/>
  <c r="F32" i="7"/>
  <c r="H32" i="7" s="1"/>
  <c r="F31" i="7"/>
  <c r="H31" i="7" s="1"/>
  <c r="F30" i="7"/>
  <c r="H30" i="7" s="1"/>
  <c r="F29" i="7"/>
  <c r="H29" i="7" s="1"/>
  <c r="F28" i="7"/>
  <c r="H28" i="7" s="1"/>
  <c r="F27" i="7"/>
  <c r="H27" i="7" s="1"/>
  <c r="F26" i="7"/>
  <c r="H26" i="7" s="1"/>
  <c r="F25" i="7"/>
  <c r="H25" i="7" s="1"/>
  <c r="F24" i="7"/>
  <c r="H24" i="7" s="1"/>
  <c r="F23" i="7"/>
  <c r="H23" i="7" s="1"/>
  <c r="F22" i="7"/>
  <c r="H22" i="7" s="1"/>
  <c r="F21" i="7"/>
  <c r="H21" i="7" s="1"/>
  <c r="F20" i="7"/>
  <c r="H20" i="7" s="1"/>
  <c r="F19" i="7"/>
  <c r="H19" i="7" s="1"/>
  <c r="F18" i="7"/>
  <c r="H18" i="7" s="1"/>
  <c r="F17" i="7"/>
  <c r="H17" i="7" s="1"/>
  <c r="F16" i="7"/>
  <c r="H16" i="7" s="1"/>
  <c r="F15" i="7"/>
  <c r="H15" i="7" s="1"/>
  <c r="F14" i="7"/>
  <c r="H14" i="7" s="1"/>
  <c r="F13" i="7"/>
  <c r="H13" i="7" s="1"/>
  <c r="F12" i="7"/>
  <c r="H12" i="7" s="1"/>
  <c r="F11" i="7"/>
  <c r="H11" i="7" s="1"/>
  <c r="F10" i="7"/>
  <c r="H10" i="7" s="1"/>
  <c r="B19" i="9"/>
  <c r="B7" i="11"/>
  <c r="A26" i="11" s="1"/>
  <c r="C6" i="11" s="1"/>
</calcChain>
</file>

<file path=xl/sharedStrings.xml><?xml version="1.0" encoding="utf-8"?>
<sst xmlns="http://schemas.openxmlformats.org/spreadsheetml/2006/main" count="651" uniqueCount="160">
  <si>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</si>
  <si>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</si>
  <si>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</si>
  <si>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</si>
  <si>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</si>
  <si>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</si>
  <si>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</si>
  <si>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</si>
  <si>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</si>
  <si>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</si>
  <si>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</si>
  <si>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</si>
  <si>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</si>
  <si>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</si>
  <si>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</si>
  <si>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</si>
  <si>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</si>
  <si>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</si>
  <si>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</si>
  <si>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</si>
  <si>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</si>
  <si>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</si>
  <si>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</si>
  <si>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</si>
  <si>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</si>
  <si>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</si>
  <si>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</si>
  <si>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</si>
  <si>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</si>
  <si>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</si>
  <si>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</si>
  <si>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</si>
  <si>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</si>
  <si>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</si>
  <si>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</si>
  <si>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</si>
  <si>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</si>
  <si>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</si>
  <si>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</si>
  <si>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</si>
  <si>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</si>
  <si>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</si>
  <si>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</si>
  <si>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</si>
  <si>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</si>
  <si>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</si>
  <si>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</si>
  <si>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</si>
  <si>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</si>
  <si>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</si>
  <si>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</si>
  <si>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</si>
  <si>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</si>
  <si>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</si>
  <si>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</si>
  <si>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</si>
  <si>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</si>
  <si>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beg</t>
  </si>
  <si>
    <t>did</t>
  </si>
  <si>
    <t>gig</t>
  </si>
  <si>
    <t>dim</t>
  </si>
  <si>
    <t>bob</t>
  </si>
  <si>
    <t>gob</t>
  </si>
  <si>
    <t>mob</t>
  </si>
  <si>
    <t>gum</t>
  </si>
  <si>
    <t>mug</t>
  </si>
  <si>
    <t>bum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</si>
  <si>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</si>
  <si>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</si>
  <si>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</si>
  <si>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</si>
  <si>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</si>
  <si>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</si>
  <si>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Teacher list:</t>
  </si>
  <si>
    <t>here</t>
  </si>
  <si>
    <t>top</t>
  </si>
  <si>
    <t>Student:</t>
  </si>
  <si>
    <t>m</t>
  </si>
  <si>
    <t>d</t>
  </si>
  <si>
    <t>pat</t>
  </si>
  <si>
    <t>nap</t>
  </si>
  <si>
    <t>tap</t>
  </si>
  <si>
    <t>tan</t>
  </si>
  <si>
    <t>ten</t>
  </si>
  <si>
    <t>pep</t>
  </si>
  <si>
    <t>net</t>
  </si>
  <si>
    <t>pen</t>
  </si>
  <si>
    <t>pet</t>
  </si>
  <si>
    <t>pip</t>
  </si>
  <si>
    <t>pit</t>
  </si>
  <si>
    <t>tip</t>
  </si>
  <si>
    <t>nip</t>
  </si>
  <si>
    <t>tin</t>
  </si>
  <si>
    <t>not</t>
  </si>
  <si>
    <t>tot</t>
  </si>
  <si>
    <t>pop</t>
  </si>
  <si>
    <t>pot</t>
  </si>
  <si>
    <t>pup</t>
  </si>
  <si>
    <t>nun</t>
  </si>
  <si>
    <t>nut</t>
  </si>
  <si>
    <t>pun</t>
  </si>
  <si>
    <t>3-letter words for NPT exercises -- ESL4, Stan Levin</t>
  </si>
  <si>
    <t>p</t>
  </si>
  <si>
    <t>n</t>
  </si>
  <si>
    <t>ban</t>
  </si>
  <si>
    <t>bit</t>
  </si>
  <si>
    <t>bet</t>
  </si>
  <si>
    <t>men</t>
  </si>
  <si>
    <t>(EXTRA</t>
  </si>
  <si>
    <t>CREDIT)</t>
  </si>
  <si>
    <t>map</t>
  </si>
  <si>
    <t>nab</t>
  </si>
  <si>
    <t>nag</t>
  </si>
  <si>
    <t>tag</t>
  </si>
  <si>
    <t>man</t>
  </si>
  <si>
    <t>mat</t>
  </si>
  <si>
    <t>pad</t>
  </si>
  <si>
    <t>peg</t>
  </si>
  <si>
    <t>pig</t>
  </si>
  <si>
    <t>din</t>
  </si>
  <si>
    <t>dip</t>
  </si>
  <si>
    <t>pod</t>
  </si>
  <si>
    <t>got</t>
  </si>
  <si>
    <t>bot</t>
  </si>
  <si>
    <t>bop</t>
  </si>
  <si>
    <t>mop</t>
  </si>
  <si>
    <t>tub</t>
  </si>
  <si>
    <t>gun</t>
  </si>
  <si>
    <t>Phonics BGMDNPT Assessment -- Stan Nevin</t>
  </si>
  <si>
    <t>cumulative</t>
  </si>
  <si>
    <t>assessmt</t>
  </si>
  <si>
    <t>NPT fill-in</t>
  </si>
  <si>
    <t>NPT 3-choice</t>
  </si>
  <si>
    <t>NPT words -- Stan Nevin</t>
  </si>
  <si>
    <t>Phonics BPDTMN Assessment -- Stan Nevin</t>
  </si>
  <si>
    <t>dot</t>
  </si>
  <si>
    <t>dun</t>
  </si>
  <si>
    <t>met</t>
  </si>
  <si>
    <t>den</t>
  </si>
  <si>
    <t>tab</t>
  </si>
  <si>
    <t>nub</t>
  </si>
  <si>
    <t>bub</t>
  </si>
  <si>
    <t>pub</t>
  </si>
  <si>
    <t>mod</t>
  </si>
  <si>
    <t>nod</t>
  </si>
  <si>
    <t>dud</t>
  </si>
  <si>
    <t>bib</t>
  </si>
  <si>
    <t>bid</t>
  </si>
  <si>
    <t>mam</t>
  </si>
  <si>
    <t>BPDTMN words, scrambled</t>
  </si>
  <si>
    <t>NOTE: earlier  variations of this task</t>
  </si>
  <si>
    <t>did not correct for Javascript's</t>
  </si>
  <si>
    <t>(prior to 8/27/19)</t>
  </si>
  <si>
    <t>non-equivalence: "y"&lt;&gt;"Y" .</t>
  </si>
  <si>
    <t>wwssetup("=HTTPS",TRUE)</t>
  </si>
  <si>
    <t>wwsSetup("=HTTPS".TRUE)</t>
  </si>
  <si>
    <t>SCORE:</t>
  </si>
  <si>
    <t>Taken out of commission  Aug 2020</t>
  </si>
  <si>
    <t>Use Sets A,B,C instead</t>
  </si>
  <si>
    <t>Decommissioned August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</si>
</sst>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.5"/>
      <color rgb="FF222222"/>
      <name val="Times New Roman"/>
      <family val="1"/>
    </font>
    <font>
      <sz val="18"/>
      <name val="Calibri"/>
      <family val="2"/>
    </font>
    <font>
      <sz val="10.5"/>
      <color theme="0"/>
      <name val="Times New Roman"/>
      <family val="1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b/>
      <sz val="14"/>
      <color theme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DD7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94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1" fontId="1" fillId="0" borderId="0" xfId="0" applyNumberFormat="1" applyFont="1" applyAlignment="1" applyProtection="1">
      <alignment horizontal="center"/>
    </xf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9" fontId="8" fillId="0" borderId="0" xfId="2" applyFont="1" applyAlignment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0" fontId="19" fillId="2" borderId="0" xfId="0" applyFont="1" applyFill="1" applyBorder="1" applyAlignment="1" applyProtection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9" fillId="0" borderId="0" xfId="0" applyFont="1" applyBorder="1" applyAlignment="1" applyProtection="1">
      <alignment horizontal="left"/>
    </xf>
    <xf numFmtId="0" fontId="20" fillId="0" borderId="0" xfId="0" applyFont="1" applyProtection="1"/>
    <xf numFmtId="0" fontId="27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left"/>
    </xf>
    <xf numFmtId="0" fontId="29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5" fillId="0" borderId="0" xfId="0" applyFont="1" applyProtection="1"/>
    <xf numFmtId="0" fontId="10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8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0" fontId="3" fillId="0" borderId="0" xfId="0" applyFont="1" applyAlignment="1" applyProtection="1">
      <alignment horizontal="left"/>
    </xf>
    <xf numFmtId="1" fontId="1" fillId="0" borderId="0" xfId="0" applyNumberFormat="1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0" fontId="9" fillId="0" borderId="2" xfId="1" applyBorder="1" applyProtection="1">
      <protection locked="0"/>
    </xf>
    <xf numFmtId="1" fontId="10" fillId="0" borderId="0" xfId="0" applyNumberFormat="1" applyFont="1" applyAlignment="1" applyProtection="1">
      <alignment horizontal="center"/>
    </xf>
    <xf numFmtId="0" fontId="9" fillId="0" borderId="0" xfId="1" applyBorder="1" applyProtection="1"/>
    <xf numFmtId="1" fontId="1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5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31" fillId="0" borderId="0" xfId="0" applyFont="1" applyAlignment="1" applyProtection="1">
      <alignment horizontal="right"/>
    </xf>
    <xf numFmtId="1" fontId="1" fillId="0" borderId="0" xfId="0" applyNumberFormat="1" applyFont="1" applyAlignment="1" applyProtection="1">
      <alignment horizontal="right"/>
    </xf>
    <xf numFmtId="0" fontId="0" fillId="0" borderId="0" xfId="0" applyFont="1"/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0" fontId="32" fillId="0" borderId="0" xfId="0" applyFont="1"/>
    <xf numFmtId="0" fontId="5" fillId="0" borderId="0" xfId="0" applyFont="1"/>
    <xf numFmtId="0" fontId="33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29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7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24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 applyProtection="1">
      <alignment horizontal="left"/>
    </xf>
    <xf numFmtId="0" fontId="36" fillId="0" borderId="0" xfId="0" applyFont="1" applyProtection="1"/>
    <xf numFmtId="0" fontId="23" fillId="0" borderId="0" xfId="0" applyFont="1" applyProtection="1"/>
    <xf numFmtId="0" fontId="23" fillId="2" borderId="0" xfId="0" applyFont="1" applyFill="1" applyBorder="1" applyAlignment="1" applyProtection="1">
      <alignment horizontal="center"/>
      <protection locked="0"/>
    </xf>
    <xf numFmtId="0" fontId="5" fillId="2" borderId="0" xfId="0" applyFont="1" applyFill="1" applyBorder="1"/>
    <xf numFmtId="0" fontId="19" fillId="2" borderId="0" xfId="0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vertical="center" wrapText="1"/>
    </xf>
    <xf numFmtId="9" fontId="8" fillId="0" borderId="5" xfId="2" applyFont="1" applyBorder="1" applyAlignment="1" applyProtection="1">
      <alignment horizontal="center"/>
    </xf>
    <xf numFmtId="9" fontId="8" fillId="0" borderId="6" xfId="2" applyFont="1" applyBorder="1" applyAlignment="1" applyProtection="1">
      <alignment horizontal="center"/>
    </xf>
    <xf numFmtId="9" fontId="8" fillId="0" borderId="7" xfId="2" applyFont="1" applyBorder="1" applyAlignment="1" applyProtection="1">
      <alignment horizontal="center"/>
    </xf>
    <xf numFmtId="0" fontId="8" fillId="5" borderId="1" xfId="0" applyFont="1" applyFill="1" applyBorder="1" applyAlignment="1" applyProtection="1">
      <alignment horizontal="center"/>
    </xf>
    <xf numFmtId="0" fontId="0" fillId="2" borderId="0" xfId="0" applyFill="1" applyBorder="1" applyProtection="1"/>
    <xf numFmtId="0" fontId="0" fillId="0" borderId="0" xfId="0" applyBorder="1" applyAlignment="1" applyProtection="1">
      <alignment horizontal="left"/>
    </xf>
    <xf numFmtId="0" fontId="0" fillId="0" borderId="0" xfId="0" applyFont="1" applyBorder="1"/>
    <xf numFmtId="0" fontId="5" fillId="0" borderId="0" xfId="0" applyFont="1" applyBorder="1" applyProtection="1"/>
    <xf numFmtId="0" fontId="24" fillId="0" borderId="4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0" fillId="2" borderId="0" xfId="0" applyFill="1"/>
    <xf numFmtId="0" fontId="0" fillId="3" borderId="0" xfId="0" applyFill="1"/>
    <xf numFmtId="0" fontId="2" fillId="2" borderId="0" xfId="0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left"/>
    </xf>
    <xf numFmtId="0" fontId="8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left"/>
    </xf>
    <xf numFmtId="0" fontId="19" fillId="2" borderId="0" xfId="0" applyFont="1" applyFill="1" applyAlignment="1" applyProtection="1">
      <alignment horizontal="center"/>
    </xf>
    <xf numFmtId="0" fontId="2" fillId="2" borderId="0" xfId="0" applyFont="1" applyFill="1"/>
    <xf numFmtId="0" fontId="37" fillId="2" borderId="0" xfId="0" applyFont="1" applyFill="1" applyBorder="1" applyAlignment="1">
      <alignment vertical="center" wrapText="1"/>
    </xf>
    <xf numFmtId="0" fontId="9" fillId="0" borderId="3" xfId="1" applyBorder="1" applyAlignment="1" applyProtection="1">
      <alignment horizontal="left"/>
      <protection locked="0"/>
    </xf>
    <xf numFmtId="1" fontId="1" fillId="0" borderId="0" xfId="0" applyNumberFormat="1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9" fontId="19" fillId="0" borderId="0" xfId="2" applyFont="1" applyAlignment="1" applyProtection="1">
      <alignment horizontal="center"/>
    </xf>
    <xf numFmtId="1" fontId="1" fillId="2" borderId="0" xfId="0" applyNumberFormat="1" applyFont="1" applyFill="1" applyAlignment="1" applyProtection="1">
      <alignment horizontal="left"/>
    </xf>
    <xf numFmtId="0" fontId="38" fillId="0" borderId="0" xfId="0" applyFont="1" applyAlignment="1">
      <alignment vertical="center" wrapText="1"/>
    </xf>
    <xf numFmtId="0" fontId="39" fillId="0" borderId="0" xfId="0" applyFont="1" applyAlignment="1">
      <alignment vertical="center" wrapText="1"/>
    </xf>
    <xf numFmtId="0" fontId="8" fillId="3" borderId="8" xfId="0" applyFont="1" applyFill="1" applyBorder="1" applyAlignment="1" applyProtection="1">
      <alignment horizontal="center"/>
      <protection locked="0"/>
    </xf>
    <xf numFmtId="1" fontId="1" fillId="2" borderId="0" xfId="0" applyNumberFormat="1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left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0" fontId="0" fillId="0" borderId="0" xfId="0" applyAlignment="1">
      <alignment vertical="center"/>
    </xf>
    <xf numFmtId="1" fontId="0" fillId="0" borderId="0" xfId="0" applyNumberFormat="1" applyAlignment="1" applyProtection="1">
      <alignment horizontal="right"/>
    </xf>
    <xf numFmtId="0" fontId="40" fillId="2" borderId="0" xfId="0" applyFont="1" applyFill="1" applyAlignment="1" applyProtection="1">
      <alignment horizontal="left"/>
    </xf>
    <xf numFmtId="0" fontId="24" fillId="0" borderId="9" xfId="0" applyFont="1" applyBorder="1" applyAlignment="1">
      <alignment horizontal="center" vertical="center" wrapText="1"/>
    </xf>
    <xf numFmtId="0" fontId="8" fillId="3" borderId="7" xfId="0" applyFont="1" applyFill="1" applyBorder="1" applyAlignment="1" applyProtection="1">
      <alignment horizontal="center"/>
      <protection locked="0"/>
    </xf>
    <xf numFmtId="0" fontId="8" fillId="3" borderId="10" xfId="0" applyFont="1" applyFill="1" applyBorder="1" applyAlignment="1" applyProtection="1">
      <alignment horizontal="center"/>
      <protection locked="0"/>
    </xf>
    <xf numFmtId="0" fontId="8" fillId="3" borderId="4" xfId="0" applyFont="1" applyFill="1" applyBorder="1" applyAlignment="1" applyProtection="1">
      <alignment horizontal="center"/>
      <protection locked="0"/>
    </xf>
    <xf numFmtId="1" fontId="1" fillId="0" borderId="0" xfId="0" applyNumberFormat="1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1" fontId="1" fillId="2" borderId="0" xfId="0" applyNumberFormat="1" applyFont="1" applyFill="1" applyAlignment="1" applyProtection="1">
      <alignment horizontal="center"/>
    </xf>
    <xf numFmtId="0" fontId="1" fillId="3" borderId="0" xfId="0" applyFont="1" applyFill="1" applyAlignment="1">
      <alignment horizontal="right"/>
    </xf>
    <xf numFmtId="9" fontId="1" fillId="2" borderId="0" xfId="2" applyFont="1" applyFill="1" applyAlignment="1" applyProtection="1">
      <alignment horizontal="center"/>
    </xf>
    <xf numFmtId="9" fontId="1" fillId="2" borderId="0" xfId="2" applyFont="1" applyFill="1" applyAlignment="1" applyProtection="1">
      <alignment horizontal="center" vertical="center"/>
    </xf>
    <xf numFmtId="1" fontId="1" fillId="2" borderId="0" xfId="0" applyNumberFormat="1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34" fillId="0" borderId="0" xfId="0" applyFont="1" applyAlignment="1">
      <alignment horizontal="center"/>
    </xf>
    <xf numFmtId="9" fontId="5" fillId="0" borderId="0" xfId="0" applyNumberFormat="1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169"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aye.com/HACC/NPTmaster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NPTmaster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NPTmaster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BPDTMNmaster.ht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U42"/>
  <sheetViews>
    <sheetView showGridLines="0" topLeftCell="A30" workbookViewId="0">
      <selection activeCell="G39" sqref="G8:G39"/>
    </sheetView>
  </sheetViews>
  <sheetFormatPr defaultRowHeight="21" x14ac:dyDescent="0.4"/>
  <cols>
    <col min="1" max="1" width="12.77734375" customWidth="1"/>
    <col min="2" max="2" width="5.77734375" style="16" customWidth="1"/>
    <col min="3" max="3" width="3.44140625" customWidth="1"/>
    <col min="4" max="4" width="3.33203125" customWidth="1"/>
    <col min="5" max="5" width="3" customWidth="1"/>
    <col min="6" max="6" width="9.77734375" style="59" customWidth="1"/>
    <col min="7" max="7" width="9.77734375" style="43" customWidth="1"/>
    <col min="8" max="8" width="5.77734375" style="39" customWidth="1"/>
    <col min="9" max="9" width="3.44140625" style="19" customWidth="1"/>
    <col min="10" max="10" width="9.109375" style="20" customWidth="1"/>
    <col min="11" max="11" width="3.44140625" style="10" customWidth="1"/>
    <col min="12" max="12" width="3.44140625" style="19" customWidth="1"/>
    <col min="13" max="13" width="9.109375" style="14" customWidth="1"/>
    <col min="14" max="14" width="6.77734375" customWidth="1"/>
    <col min="15" max="15" width="10.21875" style="10" customWidth="1"/>
    <col min="16" max="16" width="8.88671875" style="13"/>
  </cols>
  <sheetData>
    <row r="1" spans="1:21" x14ac:dyDescent="0.4">
      <c r="A1" s="103" t="s">
        <v>73</v>
      </c>
      <c r="B1" s="154" t="s">
        <v>74</v>
      </c>
    </row>
    <row r="3" spans="1:21" s="21" customFormat="1" ht="21" customHeight="1" x14ac:dyDescent="0.4">
      <c r="A3" s="61"/>
      <c r="B3" s="62"/>
      <c r="D3" s="63"/>
      <c r="E3" s="64" t="s">
        <v>1</v>
      </c>
      <c r="F3" s="65"/>
      <c r="G3" s="43"/>
      <c r="H3" s="78"/>
      <c r="I3" s="68"/>
      <c r="J3" s="69"/>
      <c r="K3" s="67"/>
      <c r="O3" s="66"/>
      <c r="P3" s="66"/>
      <c r="Q3" s="30" t="s">
        <v>46</v>
      </c>
      <c r="R3" s="66"/>
      <c r="S3" s="66"/>
    </row>
    <row r="4" spans="1:21" s="23" customFormat="1" ht="21" customHeight="1" x14ac:dyDescent="0.45">
      <c r="A4" s="179" t="s">
        <v>44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70"/>
      <c r="O4" s="70"/>
      <c r="P4" s="71"/>
      <c r="Q4" s="72"/>
      <c r="R4" s="72"/>
      <c r="S4" s="72"/>
    </row>
    <row r="5" spans="1:21" s="24" customFormat="1" ht="21" customHeight="1" x14ac:dyDescent="0.35">
      <c r="A5" s="180" t="s">
        <v>71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73"/>
      <c r="O5" s="6"/>
      <c r="P5" s="76"/>
      <c r="Q5" s="73"/>
      <c r="R5" s="73"/>
      <c r="S5" s="73"/>
    </row>
    <row r="6" spans="1:21" x14ac:dyDescent="0.4">
      <c r="A6" s="1"/>
      <c r="B6" s="15"/>
      <c r="C6" s="181" t="s">
        <v>133</v>
      </c>
      <c r="D6" s="181"/>
      <c r="E6" s="181"/>
      <c r="F6" s="181"/>
      <c r="G6" s="181"/>
      <c r="H6" s="181"/>
      <c r="I6" s="181"/>
      <c r="J6" s="37"/>
      <c r="K6" s="5"/>
      <c r="L6" s="17"/>
      <c r="M6" s="36"/>
      <c r="N6" s="7"/>
      <c r="O6" s="5"/>
      <c r="P6" s="11"/>
      <c r="Q6" s="2"/>
      <c r="R6" s="2"/>
      <c r="S6" s="2"/>
    </row>
    <row r="7" spans="1:21" x14ac:dyDescent="0.4">
      <c r="A7" s="178" t="s">
        <v>0</v>
      </c>
      <c r="B7" s="178"/>
      <c r="C7" s="178"/>
      <c r="D7" s="178"/>
      <c r="E7" s="178"/>
      <c r="F7" s="58"/>
      <c r="G7" s="78"/>
      <c r="H7" s="4"/>
      <c r="I7" s="17"/>
      <c r="J7" s="37"/>
      <c r="K7" s="5"/>
      <c r="L7" s="17"/>
      <c r="M7" s="1"/>
      <c r="N7" s="2"/>
      <c r="O7" s="5"/>
      <c r="P7" s="11"/>
      <c r="Q7" s="2"/>
      <c r="R7" s="2"/>
      <c r="S7" s="2"/>
    </row>
    <row r="8" spans="1:21" x14ac:dyDescent="0.4">
      <c r="A8" s="77"/>
      <c r="B8" s="51"/>
      <c r="C8" s="77"/>
      <c r="D8" s="77"/>
      <c r="E8" s="77"/>
      <c r="F8" s="58"/>
      <c r="H8" s="4"/>
      <c r="I8" s="17"/>
      <c r="J8" s="37"/>
      <c r="K8" s="5"/>
      <c r="L8" s="17"/>
      <c r="M8" s="1"/>
      <c r="N8" s="2"/>
      <c r="O8" s="5"/>
      <c r="P8" s="11"/>
      <c r="Q8" s="2"/>
      <c r="R8" s="2"/>
      <c r="S8" s="2"/>
    </row>
    <row r="9" spans="1:21" x14ac:dyDescent="0.4">
      <c r="A9" s="50"/>
      <c r="B9" s="51" t="str">
        <f>CONCATENATE(B8+1,".")</f>
        <v>1.</v>
      </c>
      <c r="C9" s="57" t="s">
        <v>102</v>
      </c>
      <c r="D9" s="28" t="s">
        <v>3</v>
      </c>
      <c r="E9" s="57" t="s">
        <v>103</v>
      </c>
      <c r="F9" s="56" t="str">
        <f>IF(CONCATENATE(C9,D9,E9)=G9,$E$3,"")</f>
        <v>√</v>
      </c>
      <c r="G9" s="129" t="s">
        <v>39</v>
      </c>
      <c r="H9" s="32">
        <f>IF(F9=$E$3,1,0)</f>
        <v>1</v>
      </c>
      <c r="I9" s="34"/>
      <c r="J9" s="33"/>
      <c r="K9" s="43"/>
      <c r="L9" s="34"/>
      <c r="M9" s="33"/>
      <c r="N9" s="43"/>
      <c r="O9" s="9"/>
      <c r="P9" s="29"/>
      <c r="Q9" s="2"/>
      <c r="R9" s="18" t="s">
        <v>5</v>
      </c>
      <c r="S9" s="18" t="s">
        <v>6</v>
      </c>
      <c r="T9" s="18" t="s">
        <v>5</v>
      </c>
      <c r="U9" s="12" t="s">
        <v>33</v>
      </c>
    </row>
    <row r="10" spans="1:21" x14ac:dyDescent="0.4">
      <c r="A10" s="50"/>
      <c r="B10" s="51" t="str">
        <f t="shared" ref="B10:B39" si="0">CONCATENATE(B9+1,".")</f>
        <v>2.</v>
      </c>
      <c r="C10" s="60" t="str">
        <f>[1]!wwsInput()</f>
        <v/>
      </c>
      <c r="D10" s="28" t="s">
        <v>3</v>
      </c>
      <c r="E10" s="60" t="str">
        <f>[1]!wwsInput()</f>
        <v/>
      </c>
      <c r="F10" s="56" t="str">
        <f t="shared" ref="F10:F39" si="1">IF(CONCATENATE(C10,D10,E10)=G10,$E$3,"")</f>
        <v/>
      </c>
      <c r="G10" s="129" t="s">
        <v>79</v>
      </c>
      <c r="H10" s="32">
        <f t="shared" ref="H10:H33" si="2">IF(F10=$E$3,1,0)</f>
        <v>0</v>
      </c>
      <c r="I10" s="34"/>
      <c r="J10" s="33"/>
      <c r="K10" s="43"/>
      <c r="L10" s="34"/>
      <c r="M10" s="33"/>
      <c r="N10" s="43"/>
      <c r="O10" s="9"/>
      <c r="P10" s="29"/>
      <c r="Q10" s="2"/>
      <c r="R10" s="18" t="s">
        <v>7</v>
      </c>
      <c r="S10" s="18" t="s">
        <v>8</v>
      </c>
      <c r="T10" s="18" t="s">
        <v>9</v>
      </c>
      <c r="U10" s="12" t="s">
        <v>25</v>
      </c>
    </row>
    <row r="11" spans="1:21" x14ac:dyDescent="0.4">
      <c r="A11" s="50"/>
      <c r="B11" s="51" t="str">
        <f t="shared" si="0"/>
        <v>3.</v>
      </c>
      <c r="C11" s="60" t="str">
        <f>[1]!wwsInput()</f>
        <v/>
      </c>
      <c r="D11" s="28" t="s">
        <v>3</v>
      </c>
      <c r="E11" s="60" t="str">
        <f>[1]!wwsInput()</f>
        <v/>
      </c>
      <c r="F11" s="56" t="str">
        <f t="shared" si="1"/>
        <v/>
      </c>
      <c r="G11" s="129" t="s">
        <v>80</v>
      </c>
      <c r="H11" s="32">
        <f t="shared" si="2"/>
        <v>0</v>
      </c>
      <c r="I11" s="34"/>
      <c r="J11" s="33"/>
      <c r="K11" s="43"/>
      <c r="L11" s="34"/>
      <c r="M11" s="33"/>
      <c r="N11" s="43"/>
      <c r="O11" s="9"/>
      <c r="P11" s="29"/>
      <c r="Q11" s="2"/>
      <c r="R11" s="18" t="s">
        <v>9</v>
      </c>
      <c r="S11" s="18" t="s">
        <v>10</v>
      </c>
      <c r="T11" s="18" t="s">
        <v>7</v>
      </c>
      <c r="U11" s="12" t="s">
        <v>13</v>
      </c>
    </row>
    <row r="12" spans="1:21" x14ac:dyDescent="0.4">
      <c r="A12" s="50"/>
      <c r="B12" s="51" t="str">
        <f t="shared" si="0"/>
        <v>4.</v>
      </c>
      <c r="C12" s="60" t="str">
        <f>[1]!wwsInput()</f>
        <v/>
      </c>
      <c r="D12" s="28" t="s">
        <v>3</v>
      </c>
      <c r="E12" s="60" t="str">
        <f>[1]!wwsInput()</f>
        <v/>
      </c>
      <c r="F12" s="56" t="str">
        <f t="shared" si="1"/>
        <v/>
      </c>
      <c r="G12" s="129" t="s">
        <v>81</v>
      </c>
      <c r="H12" s="32">
        <f t="shared" si="2"/>
        <v>0</v>
      </c>
      <c r="I12" s="34"/>
      <c r="J12" s="33"/>
      <c r="K12" s="43"/>
      <c r="L12" s="34"/>
      <c r="M12" s="33"/>
      <c r="N12" s="43"/>
      <c r="O12" s="9"/>
      <c r="P12" s="29"/>
      <c r="Q12" s="2"/>
      <c r="R12" s="18" t="s">
        <v>11</v>
      </c>
      <c r="S12" s="18" t="s">
        <v>12</v>
      </c>
      <c r="T12" s="18" t="s">
        <v>11</v>
      </c>
      <c r="U12" s="12" t="s">
        <v>8</v>
      </c>
    </row>
    <row r="13" spans="1:21" x14ac:dyDescent="0.4">
      <c r="A13" s="50"/>
      <c r="B13" s="51" t="str">
        <f t="shared" si="0"/>
        <v>5.</v>
      </c>
      <c r="C13" s="60" t="str">
        <f>[1]!wwsInput()</f>
        <v/>
      </c>
      <c r="D13" s="28" t="s">
        <v>3</v>
      </c>
      <c r="E13" s="60" t="str">
        <f>[1]!wwsInput()</f>
        <v/>
      </c>
      <c r="F13" s="56" t="str">
        <f t="shared" si="1"/>
        <v/>
      </c>
      <c r="G13" s="129" t="s">
        <v>82</v>
      </c>
      <c r="H13" s="32">
        <f t="shared" si="2"/>
        <v>0</v>
      </c>
      <c r="I13" s="34"/>
      <c r="J13" s="33"/>
      <c r="K13" s="43"/>
      <c r="L13" s="34"/>
      <c r="M13" s="33"/>
      <c r="N13" s="43"/>
      <c r="O13" s="9"/>
      <c r="P13" s="29"/>
      <c r="Q13" s="2"/>
      <c r="R13" s="18" t="s">
        <v>13</v>
      </c>
      <c r="S13" s="18" t="s">
        <v>14</v>
      </c>
      <c r="T13" s="18" t="s">
        <v>26</v>
      </c>
      <c r="U13" s="12" t="s">
        <v>18</v>
      </c>
    </row>
    <row r="14" spans="1:21" x14ac:dyDescent="0.4">
      <c r="A14" s="1"/>
      <c r="B14" s="15" t="str">
        <f t="shared" si="0"/>
        <v>6.</v>
      </c>
      <c r="C14" s="60" t="str">
        <f>[1]!wwsInput()</f>
        <v/>
      </c>
      <c r="D14" s="28" t="s">
        <v>69</v>
      </c>
      <c r="E14" s="60" t="str">
        <f>[1]!wwsInput()</f>
        <v/>
      </c>
      <c r="F14" s="56" t="str">
        <f t="shared" si="1"/>
        <v/>
      </c>
      <c r="G14" s="129" t="s">
        <v>83</v>
      </c>
      <c r="H14" s="32">
        <f t="shared" si="2"/>
        <v>0</v>
      </c>
      <c r="I14" s="34"/>
      <c r="J14" s="33"/>
      <c r="K14" s="43"/>
      <c r="L14" s="34"/>
      <c r="M14" s="33"/>
      <c r="N14" s="43"/>
      <c r="O14" s="9"/>
      <c r="P14" s="29"/>
      <c r="Q14" s="2"/>
      <c r="R14" s="18" t="s">
        <v>15</v>
      </c>
      <c r="S14" s="18" t="s">
        <v>16</v>
      </c>
      <c r="T14" s="18" t="s">
        <v>22</v>
      </c>
      <c r="U14" s="12" t="s">
        <v>31</v>
      </c>
    </row>
    <row r="15" spans="1:21" x14ac:dyDescent="0.4">
      <c r="A15" s="1"/>
      <c r="B15" s="15" t="str">
        <f t="shared" si="0"/>
        <v>7.</v>
      </c>
      <c r="C15" s="60" t="str">
        <f>[1]!wwsInput()</f>
        <v/>
      </c>
      <c r="D15" s="28" t="s">
        <v>69</v>
      </c>
      <c r="E15" s="60" t="str">
        <f>[1]!wwsInput()</f>
        <v/>
      </c>
      <c r="F15" s="56" t="str">
        <f t="shared" si="1"/>
        <v/>
      </c>
      <c r="G15" s="129" t="s">
        <v>84</v>
      </c>
      <c r="H15" s="32">
        <f t="shared" si="2"/>
        <v>0</v>
      </c>
      <c r="I15" s="34"/>
      <c r="J15" s="33"/>
      <c r="K15" s="43"/>
      <c r="L15" s="34"/>
      <c r="M15" s="33"/>
      <c r="N15" s="43"/>
      <c r="O15" s="9"/>
      <c r="P15" s="29"/>
      <c r="Q15" s="2"/>
      <c r="R15" s="18" t="s">
        <v>17</v>
      </c>
      <c r="S15" s="18" t="s">
        <v>18</v>
      </c>
      <c r="T15" s="18" t="s">
        <v>20</v>
      </c>
      <c r="U15" s="12" t="s">
        <v>10</v>
      </c>
    </row>
    <row r="16" spans="1:21" x14ac:dyDescent="0.4">
      <c r="A16" s="1"/>
      <c r="B16" s="15" t="str">
        <f t="shared" si="0"/>
        <v>8.</v>
      </c>
      <c r="C16" s="60" t="str">
        <f>[1]!wwsInput()</f>
        <v/>
      </c>
      <c r="D16" s="28" t="s">
        <v>69</v>
      </c>
      <c r="E16" s="60" t="str">
        <f>[1]!wwsInput()</f>
        <v/>
      </c>
      <c r="F16" s="56" t="str">
        <f t="shared" si="1"/>
        <v/>
      </c>
      <c r="G16" s="129" t="s">
        <v>85</v>
      </c>
      <c r="H16" s="32">
        <f t="shared" si="2"/>
        <v>0</v>
      </c>
      <c r="I16" s="34"/>
      <c r="J16" s="33"/>
      <c r="K16" s="43"/>
      <c r="L16" s="34"/>
      <c r="M16" s="33"/>
      <c r="N16" s="43"/>
      <c r="O16" s="9"/>
      <c r="P16" s="29"/>
      <c r="Q16" s="2"/>
      <c r="R16" s="18" t="s">
        <v>19</v>
      </c>
      <c r="S16" s="18" t="s">
        <v>20</v>
      </c>
      <c r="T16" s="18" t="s">
        <v>24</v>
      </c>
      <c r="U16" s="12" t="s">
        <v>21</v>
      </c>
    </row>
    <row r="17" spans="1:21" x14ac:dyDescent="0.4">
      <c r="A17" s="1"/>
      <c r="B17" s="15" t="str">
        <f t="shared" si="0"/>
        <v>9.</v>
      </c>
      <c r="C17" s="60" t="str">
        <f>[1]!wwsInput()</f>
        <v/>
      </c>
      <c r="D17" s="28" t="s">
        <v>69</v>
      </c>
      <c r="E17" s="60" t="str">
        <f>[1]!wwsInput()</f>
        <v/>
      </c>
      <c r="F17" s="56" t="str">
        <f t="shared" si="1"/>
        <v/>
      </c>
      <c r="G17" s="129" t="s">
        <v>86</v>
      </c>
      <c r="H17" s="32">
        <f t="shared" si="2"/>
        <v>0</v>
      </c>
      <c r="I17" s="34"/>
      <c r="J17" s="33"/>
      <c r="K17" s="43"/>
      <c r="L17" s="34"/>
      <c r="M17" s="33"/>
      <c r="N17" s="43"/>
      <c r="O17" s="9"/>
      <c r="P17" s="29"/>
      <c r="Q17" s="2"/>
      <c r="R17" s="18" t="s">
        <v>20</v>
      </c>
      <c r="S17" s="18" t="s">
        <v>21</v>
      </c>
      <c r="T17" s="18" t="s">
        <v>17</v>
      </c>
      <c r="U17" s="12" t="s">
        <v>35</v>
      </c>
    </row>
    <row r="18" spans="1:21" x14ac:dyDescent="0.4">
      <c r="A18" s="1"/>
      <c r="B18" s="15" t="str">
        <f t="shared" si="0"/>
        <v>10.</v>
      </c>
      <c r="C18" s="60" t="str">
        <f>[1]!wwsInput()</f>
        <v/>
      </c>
      <c r="D18" s="28" t="s">
        <v>69</v>
      </c>
      <c r="E18" s="60">
        <f>[1]!wwsInput()</f>
        <v>0</v>
      </c>
      <c r="F18" s="56" t="str">
        <f t="shared" si="1"/>
        <v/>
      </c>
      <c r="G18" s="129" t="s">
        <v>87</v>
      </c>
      <c r="H18" s="32">
        <f t="shared" si="2"/>
        <v>0</v>
      </c>
      <c r="I18" s="34"/>
      <c r="J18" s="33"/>
      <c r="K18" s="43"/>
      <c r="L18" s="34"/>
      <c r="M18" s="33"/>
      <c r="N18" s="43"/>
      <c r="O18" s="9"/>
      <c r="P18" s="29"/>
      <c r="Q18" s="2"/>
      <c r="R18" s="18" t="s">
        <v>22</v>
      </c>
      <c r="S18" s="18" t="s">
        <v>23</v>
      </c>
      <c r="T18" s="18" t="s">
        <v>15</v>
      </c>
      <c r="U18" s="12" t="s">
        <v>40</v>
      </c>
    </row>
    <row r="19" spans="1:21" x14ac:dyDescent="0.4">
      <c r="A19" s="1"/>
      <c r="B19" s="15" t="str">
        <f t="shared" si="0"/>
        <v>11.</v>
      </c>
      <c r="C19" s="60" t="str">
        <f>[1]!wwsInput()</f>
        <v/>
      </c>
      <c r="D19" s="28" t="s">
        <v>41</v>
      </c>
      <c r="E19" s="60">
        <f>[1]!wwsInput()</f>
        <v>0</v>
      </c>
      <c r="F19" s="56" t="str">
        <f t="shared" si="1"/>
        <v/>
      </c>
      <c r="G19" s="129" t="s">
        <v>88</v>
      </c>
      <c r="H19" s="32">
        <f t="shared" si="2"/>
        <v>0</v>
      </c>
      <c r="I19" s="34"/>
      <c r="J19" s="33"/>
      <c r="K19" s="43"/>
      <c r="L19" s="34"/>
      <c r="M19" s="33"/>
      <c r="N19" s="43"/>
      <c r="O19" s="9"/>
      <c r="P19" s="29"/>
      <c r="Q19" s="2"/>
      <c r="R19" s="18" t="s">
        <v>24</v>
      </c>
      <c r="S19" s="18" t="s">
        <v>25</v>
      </c>
      <c r="T19" s="18" t="s">
        <v>19</v>
      </c>
      <c r="U19" s="12" t="s">
        <v>8</v>
      </c>
    </row>
    <row r="20" spans="1:21" x14ac:dyDescent="0.4">
      <c r="A20" s="1"/>
      <c r="B20" s="15" t="str">
        <f t="shared" si="0"/>
        <v>12.</v>
      </c>
      <c r="C20" s="60" t="str">
        <f>[1]!wwsInput()</f>
        <v/>
      </c>
      <c r="D20" s="28" t="s">
        <v>41</v>
      </c>
      <c r="E20" s="60">
        <f>[1]!wwsInput()</f>
        <v>0</v>
      </c>
      <c r="F20" s="56" t="str">
        <f t="shared" si="1"/>
        <v/>
      </c>
      <c r="G20" s="129" t="s">
        <v>89</v>
      </c>
      <c r="H20" s="32">
        <f t="shared" si="2"/>
        <v>0</v>
      </c>
      <c r="I20" s="34"/>
      <c r="J20" s="33"/>
      <c r="K20" s="43"/>
      <c r="L20" s="34"/>
      <c r="M20" s="33"/>
      <c r="N20" s="43"/>
      <c r="O20" s="9"/>
      <c r="P20" s="29"/>
      <c r="Q20" s="2"/>
      <c r="R20" s="18" t="s">
        <v>26</v>
      </c>
      <c r="S20" s="18" t="s">
        <v>27</v>
      </c>
      <c r="T20" s="18" t="s">
        <v>13</v>
      </c>
      <c r="U20" s="12" t="s">
        <v>26</v>
      </c>
    </row>
    <row r="21" spans="1:21" x14ac:dyDescent="0.4">
      <c r="A21" s="1"/>
      <c r="B21" s="15" t="str">
        <f t="shared" si="0"/>
        <v>13.</v>
      </c>
      <c r="C21" s="60" t="str">
        <f>[1]!wwsInput()</f>
        <v/>
      </c>
      <c r="D21" s="28" t="s">
        <v>41</v>
      </c>
      <c r="E21" s="60">
        <f>[1]!wwsInput()</f>
        <v>0</v>
      </c>
      <c r="F21" s="56" t="str">
        <f t="shared" si="1"/>
        <v/>
      </c>
      <c r="G21" s="129" t="s">
        <v>90</v>
      </c>
      <c r="H21" s="32">
        <f t="shared" si="2"/>
        <v>0</v>
      </c>
      <c r="I21" s="34"/>
      <c r="J21" s="33"/>
      <c r="K21" s="43"/>
      <c r="L21" s="34"/>
      <c r="M21" s="33"/>
      <c r="N21" s="43"/>
      <c r="O21" s="9"/>
      <c r="P21" s="29"/>
      <c r="Q21" s="2"/>
      <c r="R21" s="18" t="s">
        <v>28</v>
      </c>
      <c r="S21" s="18" t="s">
        <v>29</v>
      </c>
      <c r="T21" s="18" t="s">
        <v>36</v>
      </c>
      <c r="U21" s="12" t="s">
        <v>12</v>
      </c>
    </row>
    <row r="22" spans="1:21" x14ac:dyDescent="0.4">
      <c r="A22" s="1"/>
      <c r="B22" s="15" t="str">
        <f t="shared" si="0"/>
        <v>14.</v>
      </c>
      <c r="C22" s="60" t="str">
        <f>[1]!wwsInput()</f>
        <v/>
      </c>
      <c r="D22" s="28" t="s">
        <v>41</v>
      </c>
      <c r="E22" s="60">
        <f>[1]!wwsInput()</f>
        <v>0</v>
      </c>
      <c r="F22" s="56" t="str">
        <f t="shared" si="1"/>
        <v/>
      </c>
      <c r="G22" s="129" t="s">
        <v>91</v>
      </c>
      <c r="H22" s="32">
        <f t="shared" si="2"/>
        <v>0</v>
      </c>
      <c r="I22" s="34"/>
      <c r="J22" s="33"/>
      <c r="K22" s="43"/>
      <c r="L22" s="34"/>
      <c r="M22" s="33"/>
      <c r="N22" s="43"/>
      <c r="O22" s="9"/>
      <c r="P22" s="29"/>
      <c r="Q22" s="2"/>
      <c r="R22" s="18" t="s">
        <v>30</v>
      </c>
      <c r="S22" s="18" t="s">
        <v>31</v>
      </c>
      <c r="T22" s="18" t="s">
        <v>37</v>
      </c>
      <c r="U22" s="12" t="s">
        <v>16</v>
      </c>
    </row>
    <row r="23" spans="1:21" x14ac:dyDescent="0.4">
      <c r="A23" s="1"/>
      <c r="B23" s="15" t="str">
        <f t="shared" si="0"/>
        <v>15.</v>
      </c>
      <c r="C23" s="60" t="str">
        <f>[1]!wwsInput()</f>
        <v/>
      </c>
      <c r="D23" s="28" t="s">
        <v>41</v>
      </c>
      <c r="E23" s="60">
        <f>[1]!wwsInput()</f>
        <v>0</v>
      </c>
      <c r="F23" s="56" t="str">
        <f t="shared" si="1"/>
        <v/>
      </c>
      <c r="G23" s="129" t="s">
        <v>38</v>
      </c>
      <c r="H23" s="32">
        <f t="shared" si="2"/>
        <v>0</v>
      </c>
      <c r="I23" s="34"/>
      <c r="J23" s="33"/>
      <c r="K23" s="43"/>
      <c r="L23" s="34"/>
      <c r="M23" s="33"/>
      <c r="N23" s="43"/>
      <c r="O23" s="9"/>
      <c r="P23" s="29"/>
      <c r="Q23" s="2"/>
      <c r="R23" s="18" t="s">
        <v>32</v>
      </c>
      <c r="S23" s="18" t="s">
        <v>33</v>
      </c>
      <c r="T23" s="18" t="s">
        <v>30</v>
      </c>
      <c r="U23" s="12" t="s">
        <v>23</v>
      </c>
    </row>
    <row r="24" spans="1:21" x14ac:dyDescent="0.4">
      <c r="A24" s="1"/>
      <c r="B24" s="15" t="str">
        <f t="shared" si="0"/>
        <v>16.</v>
      </c>
      <c r="C24" s="60" t="str">
        <f>[1]!wwsInput()</f>
        <v/>
      </c>
      <c r="D24" s="28" t="s">
        <v>41</v>
      </c>
      <c r="E24" s="60" t="str">
        <f>[1]!wwsInput()</f>
        <v/>
      </c>
      <c r="F24" s="56" t="str">
        <f t="shared" si="1"/>
        <v/>
      </c>
      <c r="G24" s="129" t="s">
        <v>92</v>
      </c>
      <c r="H24" s="32">
        <f t="shared" si="2"/>
        <v>0</v>
      </c>
      <c r="I24" s="34"/>
      <c r="J24" s="33"/>
      <c r="K24" s="43"/>
      <c r="L24" s="34"/>
      <c r="M24" s="33"/>
      <c r="N24" s="43"/>
      <c r="O24" s="9"/>
      <c r="P24" s="29"/>
      <c r="Q24" s="2"/>
      <c r="R24" s="18" t="s">
        <v>34</v>
      </c>
      <c r="S24" s="18" t="s">
        <v>35</v>
      </c>
      <c r="T24" s="18" t="s">
        <v>28</v>
      </c>
      <c r="U24" s="12" t="s">
        <v>21</v>
      </c>
    </row>
    <row r="25" spans="1:21" x14ac:dyDescent="0.4">
      <c r="A25" s="1"/>
      <c r="B25" s="15" t="str">
        <f t="shared" si="0"/>
        <v>17.</v>
      </c>
      <c r="C25" s="60" t="str">
        <f>[1]!wwsInput()</f>
        <v/>
      </c>
      <c r="D25" s="28" t="s">
        <v>70</v>
      </c>
      <c r="E25" s="60" t="str">
        <f>[1]!wwsInput()</f>
        <v/>
      </c>
      <c r="F25" s="56" t="str">
        <f t="shared" si="1"/>
        <v/>
      </c>
      <c r="G25" s="129" t="s">
        <v>93</v>
      </c>
      <c r="H25" s="32">
        <f t="shared" si="2"/>
        <v>0</v>
      </c>
      <c r="I25" s="34"/>
      <c r="J25" s="33"/>
      <c r="K25" s="43"/>
      <c r="L25" s="34"/>
      <c r="M25" s="33"/>
      <c r="N25" s="43"/>
      <c r="O25" s="9"/>
      <c r="P25" s="29"/>
      <c r="Q25" s="2"/>
      <c r="R25" s="18" t="s">
        <v>36</v>
      </c>
      <c r="S25" s="18" t="s">
        <v>13</v>
      </c>
      <c r="T25" s="18" t="s">
        <v>39</v>
      </c>
      <c r="U25" s="12" t="s">
        <v>27</v>
      </c>
    </row>
    <row r="26" spans="1:21" x14ac:dyDescent="0.4">
      <c r="A26" s="1"/>
      <c r="B26" s="15" t="str">
        <f t="shared" si="0"/>
        <v>18.</v>
      </c>
      <c r="C26" s="60" t="str">
        <f>[1]!wwsInput()</f>
        <v/>
      </c>
      <c r="D26" s="28" t="s">
        <v>70</v>
      </c>
      <c r="E26" s="60" t="str">
        <f>[1]!wwsInput()</f>
        <v/>
      </c>
      <c r="F26" s="56" t="str">
        <f t="shared" si="1"/>
        <v/>
      </c>
      <c r="G26" s="129" t="s">
        <v>94</v>
      </c>
      <c r="H26" s="32">
        <f t="shared" si="2"/>
        <v>0</v>
      </c>
      <c r="I26" s="34"/>
      <c r="J26" s="33"/>
      <c r="K26" s="43"/>
      <c r="L26" s="34"/>
      <c r="M26" s="33"/>
      <c r="N26" s="43"/>
      <c r="O26" s="9"/>
      <c r="P26" s="29"/>
      <c r="Q26" s="2"/>
      <c r="R26" s="18" t="s">
        <v>37</v>
      </c>
      <c r="S26" s="18" t="s">
        <v>26</v>
      </c>
      <c r="T26" s="18" t="s">
        <v>38</v>
      </c>
      <c r="U26" s="12" t="s">
        <v>13</v>
      </c>
    </row>
    <row r="27" spans="1:21" x14ac:dyDescent="0.4">
      <c r="A27" s="1"/>
      <c r="B27" s="15" t="str">
        <f t="shared" si="0"/>
        <v>19.</v>
      </c>
      <c r="C27" s="60" t="str">
        <f>[1]!wwsInput()</f>
        <v/>
      </c>
      <c r="D27" s="28" t="s">
        <v>70</v>
      </c>
      <c r="E27" s="60" t="str">
        <f>[1]!wwsInput()</f>
        <v/>
      </c>
      <c r="F27" s="56" t="str">
        <f t="shared" si="1"/>
        <v/>
      </c>
      <c r="G27" s="129" t="s">
        <v>95</v>
      </c>
      <c r="H27" s="32">
        <f t="shared" si="2"/>
        <v>0</v>
      </c>
      <c r="I27" s="34"/>
      <c r="J27" s="33"/>
      <c r="K27" s="43"/>
      <c r="L27" s="34"/>
      <c r="M27" s="33"/>
      <c r="N27" s="43"/>
      <c r="O27" s="9"/>
      <c r="P27" s="29"/>
      <c r="Q27" s="2"/>
      <c r="R27" s="18" t="s">
        <v>38</v>
      </c>
      <c r="S27" s="18" t="s">
        <v>8</v>
      </c>
      <c r="T27" s="18" t="s">
        <v>34</v>
      </c>
      <c r="U27" s="12" t="s">
        <v>20</v>
      </c>
    </row>
    <row r="28" spans="1:21" x14ac:dyDescent="0.4">
      <c r="A28" s="1"/>
      <c r="B28" s="15" t="str">
        <f t="shared" si="0"/>
        <v>20.</v>
      </c>
      <c r="C28" s="60" t="str">
        <f>[1]!wwsInput()</f>
        <v/>
      </c>
      <c r="D28" s="28" t="s">
        <v>70</v>
      </c>
      <c r="E28" s="60" t="str">
        <f>[1]!wwsInput()</f>
        <v/>
      </c>
      <c r="F28" s="56" t="str">
        <f t="shared" si="1"/>
        <v/>
      </c>
      <c r="G28" s="129" t="s">
        <v>75</v>
      </c>
      <c r="H28" s="32">
        <f t="shared" si="2"/>
        <v>0</v>
      </c>
      <c r="I28" s="34"/>
      <c r="J28" s="33"/>
      <c r="K28" s="43"/>
      <c r="L28" s="34"/>
      <c r="M28" s="33"/>
      <c r="N28" s="43"/>
      <c r="O28" s="9"/>
      <c r="P28" s="29"/>
      <c r="Q28" s="2"/>
      <c r="R28" s="18" t="s">
        <v>39</v>
      </c>
      <c r="S28" s="18"/>
      <c r="T28" s="18" t="s">
        <v>32</v>
      </c>
      <c r="U28" s="12" t="s">
        <v>29</v>
      </c>
    </row>
    <row r="29" spans="1:21" x14ac:dyDescent="0.4">
      <c r="A29" s="2"/>
      <c r="B29" s="15" t="str">
        <f t="shared" si="0"/>
        <v>21.</v>
      </c>
      <c r="C29" s="60" t="str">
        <f>[1]!wwsInput()</f>
        <v/>
      </c>
      <c r="D29" s="28" t="s">
        <v>70</v>
      </c>
      <c r="E29" s="60" t="str">
        <f>[1]!wwsInput()</f>
        <v/>
      </c>
      <c r="F29" s="56" t="str">
        <f t="shared" si="1"/>
        <v/>
      </c>
      <c r="G29" s="129" t="s">
        <v>96</v>
      </c>
      <c r="H29" s="32">
        <f t="shared" si="2"/>
        <v>0</v>
      </c>
      <c r="I29" s="17"/>
      <c r="J29" s="37"/>
      <c r="K29" s="5"/>
      <c r="L29" s="17"/>
      <c r="M29" s="1"/>
      <c r="N29" s="2"/>
      <c r="O29" s="5"/>
      <c r="P29" s="11"/>
      <c r="Q29" s="2"/>
      <c r="R29" s="2"/>
      <c r="S29" s="2"/>
    </row>
    <row r="30" spans="1:21" x14ac:dyDescent="0.4">
      <c r="A30" s="2"/>
      <c r="B30" s="15" t="str">
        <f t="shared" si="0"/>
        <v>22.</v>
      </c>
      <c r="C30" s="60" t="str">
        <f>[1]!wwsInput()</f>
        <v/>
      </c>
      <c r="D30" s="28" t="s">
        <v>42</v>
      </c>
      <c r="E30" s="60" t="str">
        <f>[1]!wwsInput()</f>
        <v/>
      </c>
      <c r="F30" s="56" t="str">
        <f t="shared" si="1"/>
        <v/>
      </c>
      <c r="G30" s="129" t="s">
        <v>97</v>
      </c>
      <c r="H30" s="32">
        <f t="shared" si="2"/>
        <v>0</v>
      </c>
      <c r="I30" s="17"/>
      <c r="J30" s="37"/>
      <c r="K30" s="5"/>
      <c r="L30" s="17"/>
      <c r="M30" s="1"/>
      <c r="N30" s="2"/>
      <c r="O30" s="5"/>
      <c r="P30" s="11"/>
      <c r="Q30" s="2"/>
      <c r="R30" s="2"/>
      <c r="S30" s="2"/>
    </row>
    <row r="31" spans="1:21" x14ac:dyDescent="0.4">
      <c r="A31" s="2"/>
      <c r="B31" s="15" t="str">
        <f t="shared" si="0"/>
        <v>23.</v>
      </c>
      <c r="C31" s="60" t="str">
        <f>[1]!wwsInput()</f>
        <v/>
      </c>
      <c r="D31" s="28" t="s">
        <v>42</v>
      </c>
      <c r="E31" s="60" t="str">
        <f>[1]!wwsInput()</f>
        <v/>
      </c>
      <c r="F31" s="56" t="str">
        <f t="shared" si="1"/>
        <v/>
      </c>
      <c r="G31" s="129" t="s">
        <v>98</v>
      </c>
      <c r="H31" s="32">
        <f t="shared" si="2"/>
        <v>0</v>
      </c>
      <c r="I31" s="17"/>
      <c r="J31" s="37"/>
      <c r="K31" s="5"/>
      <c r="L31" s="17"/>
      <c r="M31" s="1"/>
      <c r="N31" s="2"/>
      <c r="O31" s="5"/>
      <c r="P31" s="11"/>
      <c r="Q31" s="2"/>
      <c r="R31" s="2"/>
      <c r="S31" s="2"/>
    </row>
    <row r="32" spans="1:21" x14ac:dyDescent="0.4">
      <c r="A32" s="2"/>
      <c r="B32" s="15" t="str">
        <f t="shared" si="0"/>
        <v>24.</v>
      </c>
      <c r="C32" s="60" t="str">
        <f>[1]!wwsInput()</f>
        <v/>
      </c>
      <c r="D32" s="28" t="s">
        <v>42</v>
      </c>
      <c r="E32" s="60" t="str">
        <f>[1]!wwsInput()</f>
        <v/>
      </c>
      <c r="F32" s="56" t="str">
        <f t="shared" si="1"/>
        <v/>
      </c>
      <c r="G32" s="129" t="s">
        <v>99</v>
      </c>
      <c r="H32" s="32">
        <f t="shared" si="2"/>
        <v>0</v>
      </c>
      <c r="I32" s="17"/>
      <c r="J32" s="37"/>
      <c r="K32" s="5"/>
      <c r="L32" s="17"/>
      <c r="M32" s="1"/>
      <c r="N32" s="2"/>
      <c r="O32" s="5"/>
      <c r="P32" s="11"/>
      <c r="Q32" s="2"/>
      <c r="R32" s="2"/>
      <c r="S32" s="2"/>
    </row>
    <row r="33" spans="1:19" x14ac:dyDescent="0.4">
      <c r="A33" s="2"/>
      <c r="B33" s="15" t="str">
        <f t="shared" si="0"/>
        <v>25.</v>
      </c>
      <c r="C33" s="60" t="str">
        <f>[1]!wwsInput()</f>
        <v/>
      </c>
      <c r="D33" s="28" t="s">
        <v>42</v>
      </c>
      <c r="E33" s="60" t="str">
        <f>[1]!wwsInput()</f>
        <v/>
      </c>
      <c r="F33" s="56" t="str">
        <f t="shared" si="1"/>
        <v/>
      </c>
      <c r="G33" s="129" t="s">
        <v>100</v>
      </c>
      <c r="H33" s="32">
        <f t="shared" si="2"/>
        <v>0</v>
      </c>
      <c r="I33" s="17"/>
      <c r="J33" s="37"/>
      <c r="K33" s="5"/>
      <c r="L33" s="17"/>
      <c r="M33" s="1"/>
      <c r="N33" s="2"/>
      <c r="O33" s="5"/>
      <c r="P33" s="11"/>
      <c r="Q33" s="2"/>
      <c r="R33" s="2"/>
      <c r="S33" s="2"/>
    </row>
    <row r="34" spans="1:19" x14ac:dyDescent="0.4">
      <c r="A34" s="2"/>
      <c r="B34" s="15" t="str">
        <f t="shared" si="0"/>
        <v>26.</v>
      </c>
      <c r="C34" s="60" t="str">
        <f>[1]!wwsInput()</f>
        <v/>
      </c>
      <c r="D34" s="137" t="str">
        <f>[1]!wwsInput()</f>
        <v/>
      </c>
      <c r="E34" s="60" t="str">
        <f>[1]!wwsInput()</f>
        <v/>
      </c>
      <c r="F34" s="56" t="str">
        <f t="shared" si="1"/>
        <v/>
      </c>
      <c r="G34" s="161" t="s">
        <v>104</v>
      </c>
      <c r="H34" s="4"/>
      <c r="I34" s="17"/>
      <c r="J34" s="82"/>
      <c r="K34" s="5"/>
      <c r="L34" s="17"/>
      <c r="M34" s="1"/>
      <c r="N34" s="2"/>
      <c r="O34" s="5"/>
      <c r="P34" s="11"/>
      <c r="Q34" s="2"/>
      <c r="R34" s="2"/>
      <c r="S34" s="2"/>
    </row>
    <row r="35" spans="1:19" x14ac:dyDescent="0.4">
      <c r="A35" s="2"/>
      <c r="B35" s="15" t="str">
        <f t="shared" si="0"/>
        <v>27.</v>
      </c>
      <c r="C35" s="60" t="str">
        <f>[1]!wwsInput()</f>
        <v/>
      </c>
      <c r="D35" s="137" t="str">
        <f>[1]!wwsInput()</f>
        <v/>
      </c>
      <c r="E35" s="60" t="str">
        <f>[1]!wwsInput()</f>
        <v/>
      </c>
      <c r="F35" s="56" t="str">
        <f t="shared" si="1"/>
        <v/>
      </c>
      <c r="G35" s="161" t="s">
        <v>105</v>
      </c>
      <c r="H35" s="4"/>
      <c r="I35" s="17"/>
      <c r="J35" s="37"/>
      <c r="K35" s="5"/>
      <c r="M35" s="1"/>
      <c r="N35" s="2"/>
      <c r="O35" s="5"/>
      <c r="P35" s="11"/>
      <c r="R35" s="2"/>
      <c r="S35" s="2"/>
    </row>
    <row r="36" spans="1:19" x14ac:dyDescent="0.4">
      <c r="A36" s="2"/>
      <c r="B36" s="15" t="str">
        <f t="shared" si="0"/>
        <v>28.</v>
      </c>
      <c r="C36" s="60" t="str">
        <f>[1]!wwsInput()</f>
        <v/>
      </c>
      <c r="D36" s="137" t="str">
        <f>[1]!wwsInput()</f>
        <v/>
      </c>
      <c r="E36" s="60" t="str">
        <f>[1]!wwsInput()</f>
        <v/>
      </c>
      <c r="F36" s="56" t="str">
        <f t="shared" si="1"/>
        <v/>
      </c>
      <c r="G36" s="161" t="s">
        <v>106</v>
      </c>
      <c r="H36" s="4"/>
      <c r="I36" s="17"/>
      <c r="J36" s="37"/>
      <c r="K36" s="5"/>
      <c r="L36" s="17"/>
      <c r="M36" s="1"/>
      <c r="N36" s="2"/>
      <c r="O36" s="5"/>
      <c r="P36" s="11"/>
      <c r="Q36" s="2"/>
      <c r="R36" s="2"/>
      <c r="S36" s="2"/>
    </row>
    <row r="37" spans="1:19" x14ac:dyDescent="0.4">
      <c r="A37" s="2"/>
      <c r="B37" s="15" t="str">
        <f t="shared" si="0"/>
        <v>29.</v>
      </c>
      <c r="C37" s="60" t="str">
        <f>[1]!wwsInput()</f>
        <v/>
      </c>
      <c r="D37" s="137" t="str">
        <f>[1]!wwsInput()</f>
        <v/>
      </c>
      <c r="E37" s="60" t="str">
        <f>[1]!wwsInput()</f>
        <v/>
      </c>
      <c r="F37" s="56" t="str">
        <f t="shared" si="1"/>
        <v/>
      </c>
      <c r="G37" s="161" t="s">
        <v>56</v>
      </c>
      <c r="H37" s="4"/>
      <c r="I37" s="17"/>
      <c r="J37" s="37"/>
      <c r="K37" s="5"/>
      <c r="L37" s="17"/>
      <c r="M37" s="1"/>
      <c r="N37" s="2"/>
      <c r="O37" s="5"/>
      <c r="P37" s="11"/>
      <c r="Q37" s="2"/>
      <c r="R37" s="2"/>
      <c r="S37" s="2"/>
    </row>
    <row r="38" spans="1:19" x14ac:dyDescent="0.4">
      <c r="A38" s="2"/>
      <c r="B38" s="15" t="str">
        <f t="shared" si="0"/>
        <v>30.</v>
      </c>
      <c r="C38" s="60" t="str">
        <f>[1]!wwsInput()</f>
        <v/>
      </c>
      <c r="D38" s="137" t="str">
        <f>[1]!wwsInput()</f>
        <v/>
      </c>
      <c r="E38" s="60" t="str">
        <f>[1]!wwsInput()</f>
        <v/>
      </c>
      <c r="F38" s="56" t="str">
        <f t="shared" si="1"/>
        <v/>
      </c>
      <c r="G38" s="161" t="s">
        <v>30</v>
      </c>
      <c r="H38" s="4"/>
      <c r="I38" s="17"/>
      <c r="J38" s="37"/>
      <c r="K38" s="5"/>
      <c r="L38" s="17"/>
      <c r="M38" s="1"/>
      <c r="N38" s="2"/>
      <c r="O38" s="5"/>
      <c r="P38" s="11"/>
      <c r="Q38" s="2"/>
      <c r="R38" s="2"/>
      <c r="S38" s="2"/>
    </row>
    <row r="39" spans="1:19" x14ac:dyDescent="0.4">
      <c r="A39" s="2"/>
      <c r="B39" s="15" t="str">
        <f t="shared" si="0"/>
        <v>31.</v>
      </c>
      <c r="C39" s="60" t="str">
        <f>[1]!wwsInput()</f>
        <v/>
      </c>
      <c r="D39" s="137" t="str">
        <f>[1]!wwsInput()</f>
        <v/>
      </c>
      <c r="E39" s="60" t="str">
        <f>[1]!wwsInput()</f>
        <v/>
      </c>
      <c r="F39" s="56" t="str">
        <f t="shared" si="1"/>
        <v/>
      </c>
      <c r="G39" s="161" t="s">
        <v>107</v>
      </c>
      <c r="H39" s="4"/>
      <c r="I39" s="17"/>
      <c r="J39" s="37"/>
      <c r="K39" s="5"/>
      <c r="L39" s="17"/>
      <c r="M39" s="1"/>
      <c r="N39" s="2"/>
      <c r="O39" s="5"/>
      <c r="P39" s="11"/>
      <c r="Q39" s="2"/>
      <c r="R39" s="2"/>
      <c r="S39" s="2"/>
    </row>
    <row r="40" spans="1:19" x14ac:dyDescent="0.4">
      <c r="A40" s="2"/>
      <c r="B40" s="15"/>
      <c r="C40" s="2"/>
      <c r="D40" s="2"/>
      <c r="E40" s="2"/>
      <c r="F40" s="58"/>
      <c r="I40" s="17"/>
      <c r="J40" s="37"/>
      <c r="K40" s="5"/>
      <c r="L40" s="17"/>
      <c r="M40" s="2" t="s">
        <v>43</v>
      </c>
      <c r="N40" s="2"/>
      <c r="O40" s="5"/>
      <c r="P40" s="11"/>
      <c r="Q40" s="2"/>
      <c r="R40" s="2"/>
      <c r="S40" s="2"/>
    </row>
    <row r="41" spans="1:19" x14ac:dyDescent="0.4">
      <c r="A41" s="2"/>
      <c r="B41" s="15"/>
      <c r="C41" s="2"/>
      <c r="D41" s="2"/>
      <c r="E41" s="2"/>
      <c r="F41" s="58"/>
      <c r="H41" s="4"/>
      <c r="I41" s="17"/>
      <c r="J41" s="37"/>
      <c r="K41" s="5"/>
      <c r="L41" s="17"/>
      <c r="M41" s="1"/>
      <c r="N41" s="2"/>
      <c r="O41" s="5"/>
      <c r="P41" s="11"/>
      <c r="Q41" s="2"/>
      <c r="R41" s="2"/>
      <c r="S41" s="2"/>
    </row>
    <row r="42" spans="1:19" x14ac:dyDescent="0.4">
      <c r="A42" s="2"/>
      <c r="B42" s="15"/>
      <c r="C42" s="2"/>
      <c r="D42" s="2"/>
      <c r="E42" s="2"/>
      <c r="F42" s="58"/>
      <c r="H42" s="4"/>
      <c r="I42" s="17"/>
      <c r="J42" s="37"/>
      <c r="K42" s="5"/>
      <c r="L42" s="17"/>
      <c r="M42" s="1"/>
      <c r="N42" s="2"/>
      <c r="O42" s="5"/>
      <c r="P42" s="11"/>
      <c r="Q42" s="2"/>
      <c r="R42" s="2"/>
      <c r="S42" s="2"/>
    </row>
  </sheetData>
  <sheetProtection selectLockedCells="1"/>
  <mergeCells count="4">
    <mergeCell ref="A7:E7"/>
    <mergeCell ref="A4:M4"/>
    <mergeCell ref="A5:M5"/>
    <mergeCell ref="C6:I6"/>
  </mergeCells>
  <conditionalFormatting sqref="O23">
    <cfRule type="cellIs" dxfId="1168" priority="496" operator="equal">
      <formula>"CORRECT !"</formula>
    </cfRule>
  </conditionalFormatting>
  <conditionalFormatting sqref="O22">
    <cfRule type="cellIs" dxfId="1167" priority="497" operator="equal">
      <formula>"CORRECT !"</formula>
    </cfRule>
  </conditionalFormatting>
  <conditionalFormatting sqref="O24">
    <cfRule type="cellIs" dxfId="1166" priority="495" operator="equal">
      <formula>"CORRECT !"</formula>
    </cfRule>
  </conditionalFormatting>
  <conditionalFormatting sqref="O26">
    <cfRule type="cellIs" dxfId="1165" priority="493" operator="equal">
      <formula>"CORRECT !"</formula>
    </cfRule>
  </conditionalFormatting>
  <conditionalFormatting sqref="O12">
    <cfRule type="cellIs" dxfId="1164" priority="507" operator="equal">
      <formula>"CORRECT !"</formula>
    </cfRule>
  </conditionalFormatting>
  <conditionalFormatting sqref="O14">
    <cfRule type="cellIs" dxfId="1163" priority="505" operator="equal">
      <formula>"CORRECT !"</formula>
    </cfRule>
  </conditionalFormatting>
  <conditionalFormatting sqref="O16">
    <cfRule type="cellIs" dxfId="1162" priority="503" operator="equal">
      <formula>"CORRECT !"</formula>
    </cfRule>
  </conditionalFormatting>
  <conditionalFormatting sqref="O18">
    <cfRule type="cellIs" dxfId="1161" priority="501" operator="equal">
      <formula>"CORRECT !"</formula>
    </cfRule>
  </conditionalFormatting>
  <conditionalFormatting sqref="O20">
    <cfRule type="cellIs" dxfId="1160" priority="499" operator="equal">
      <formula>"CORRECT !"</formula>
    </cfRule>
  </conditionalFormatting>
  <conditionalFormatting sqref="O25">
    <cfRule type="cellIs" dxfId="1159" priority="494" operator="equal">
      <formula>"CORRECT !"</formula>
    </cfRule>
  </conditionalFormatting>
  <conditionalFormatting sqref="O11">
    <cfRule type="cellIs" dxfId="1158" priority="508" operator="equal">
      <formula>"CORRECT !"</formula>
    </cfRule>
  </conditionalFormatting>
  <conditionalFormatting sqref="O13">
    <cfRule type="cellIs" dxfId="1157" priority="506" operator="equal">
      <formula>"CORRECT !"</formula>
    </cfRule>
  </conditionalFormatting>
  <conditionalFormatting sqref="O15">
    <cfRule type="cellIs" dxfId="1156" priority="504" operator="equal">
      <formula>"CORRECT !"</formula>
    </cfRule>
  </conditionalFormatting>
  <conditionalFormatting sqref="O17">
    <cfRule type="cellIs" dxfId="1155" priority="502" operator="equal">
      <formula>"CORRECT !"</formula>
    </cfRule>
  </conditionalFormatting>
  <conditionalFormatting sqref="O19">
    <cfRule type="cellIs" dxfId="1154" priority="500" operator="equal">
      <formula>"CORRECT !"</formula>
    </cfRule>
  </conditionalFormatting>
  <conditionalFormatting sqref="O21">
    <cfRule type="cellIs" dxfId="1153" priority="498" operator="equal">
      <formula>"CORRECT !"</formula>
    </cfRule>
  </conditionalFormatting>
  <conditionalFormatting sqref="I22">
    <cfRule type="cellIs" dxfId="1152" priority="477" operator="equal">
      <formula>"CORRECT !"</formula>
    </cfRule>
  </conditionalFormatting>
  <conditionalFormatting sqref="I23">
    <cfRule type="cellIs" dxfId="1151" priority="476" operator="equal">
      <formula>"CORRECT !"</formula>
    </cfRule>
  </conditionalFormatting>
  <conditionalFormatting sqref="I24">
    <cfRule type="cellIs" dxfId="1150" priority="475" operator="equal">
      <formula>"CORRECT !"</formula>
    </cfRule>
  </conditionalFormatting>
  <conditionalFormatting sqref="I25">
    <cfRule type="cellIs" dxfId="1149" priority="474" operator="equal">
      <formula>"CORRECT !"</formula>
    </cfRule>
  </conditionalFormatting>
  <conditionalFormatting sqref="I26">
    <cfRule type="cellIs" dxfId="1148" priority="473" operator="equal">
      <formula>"CORRECT !"</formula>
    </cfRule>
  </conditionalFormatting>
  <conditionalFormatting sqref="I11">
    <cfRule type="cellIs" dxfId="1147" priority="488" operator="equal">
      <formula>"CORRECT !"</formula>
    </cfRule>
  </conditionalFormatting>
  <conditionalFormatting sqref="I12">
    <cfRule type="cellIs" dxfId="1146" priority="487" operator="equal">
      <formula>"CORRECT !"</formula>
    </cfRule>
  </conditionalFormatting>
  <conditionalFormatting sqref="I13">
    <cfRule type="cellIs" dxfId="1145" priority="486" operator="equal">
      <formula>"CORRECT !"</formula>
    </cfRule>
  </conditionalFormatting>
  <conditionalFormatting sqref="I14">
    <cfRule type="cellIs" dxfId="1144" priority="485" operator="equal">
      <formula>"CORRECT !"</formula>
    </cfRule>
  </conditionalFormatting>
  <conditionalFormatting sqref="I15">
    <cfRule type="cellIs" dxfId="1143" priority="484" operator="equal">
      <formula>"CORRECT !"</formula>
    </cfRule>
  </conditionalFormatting>
  <conditionalFormatting sqref="I16">
    <cfRule type="cellIs" dxfId="1142" priority="483" operator="equal">
      <formula>"CORRECT !"</formula>
    </cfRule>
  </conditionalFormatting>
  <conditionalFormatting sqref="I17">
    <cfRule type="cellIs" dxfId="1141" priority="482" operator="equal">
      <formula>"CORRECT !"</formula>
    </cfRule>
  </conditionalFormatting>
  <conditionalFormatting sqref="I18">
    <cfRule type="cellIs" dxfId="1140" priority="481" operator="equal">
      <formula>"CORRECT !"</formula>
    </cfRule>
  </conditionalFormatting>
  <conditionalFormatting sqref="I19">
    <cfRule type="cellIs" dxfId="1139" priority="480" operator="equal">
      <formula>"CORRECT !"</formula>
    </cfRule>
  </conditionalFormatting>
  <conditionalFormatting sqref="I20">
    <cfRule type="cellIs" dxfId="1138" priority="479" operator="equal">
      <formula>"CORRECT !"</formula>
    </cfRule>
  </conditionalFormatting>
  <conditionalFormatting sqref="I21">
    <cfRule type="cellIs" dxfId="1137" priority="478" operator="equal">
      <formula>"CORRECT !"</formula>
    </cfRule>
  </conditionalFormatting>
  <conditionalFormatting sqref="Q3">
    <cfRule type="expression" dxfId="1136" priority="551">
      <formula>"$R$1&lt;&gt;''"</formula>
    </cfRule>
  </conditionalFormatting>
  <conditionalFormatting sqref="P18">
    <cfRule type="cellIs" dxfId="1135" priority="441" operator="equal">
      <formula>"CORRECT !"</formula>
    </cfRule>
  </conditionalFormatting>
  <conditionalFormatting sqref="P19">
    <cfRule type="cellIs" dxfId="1134" priority="440" operator="equal">
      <formula>"CORRECT !"</formula>
    </cfRule>
  </conditionalFormatting>
  <conditionalFormatting sqref="T10:T28">
    <cfRule type="cellIs" dxfId="1133" priority="511" operator="equal">
      <formula>"CORRECT !"</formula>
    </cfRule>
  </conditionalFormatting>
  <conditionalFormatting sqref="T9">
    <cfRule type="cellIs" dxfId="1132" priority="510" operator="equal">
      <formula>"CORRECT !"</formula>
    </cfRule>
  </conditionalFormatting>
  <conditionalFormatting sqref="O9">
    <cfRule type="cellIs" dxfId="1131" priority="517" operator="equal">
      <formula>"CORRECT !"</formula>
    </cfRule>
  </conditionalFormatting>
  <conditionalFormatting sqref="F9">
    <cfRule type="cellIs" dxfId="1130" priority="516" operator="equal">
      <formula>"CORRECT !"</formula>
    </cfRule>
  </conditionalFormatting>
  <conditionalFormatting sqref="R10:R28">
    <cfRule type="cellIs" dxfId="1129" priority="515" operator="equal">
      <formula>"CORRECT !"</formula>
    </cfRule>
  </conditionalFormatting>
  <conditionalFormatting sqref="R9">
    <cfRule type="cellIs" dxfId="1128" priority="514" operator="equal">
      <formula>"CORRECT !"</formula>
    </cfRule>
  </conditionalFormatting>
  <conditionalFormatting sqref="S10:S28">
    <cfRule type="cellIs" dxfId="1127" priority="513" operator="equal">
      <formula>"CORRECT !"</formula>
    </cfRule>
  </conditionalFormatting>
  <conditionalFormatting sqref="S9">
    <cfRule type="cellIs" dxfId="1126" priority="512" operator="equal">
      <formula>"CORRECT !"</formula>
    </cfRule>
  </conditionalFormatting>
  <conditionalFormatting sqref="O10">
    <cfRule type="cellIs" dxfId="1125" priority="509" operator="equal">
      <formula>"CORRECT !"</formula>
    </cfRule>
  </conditionalFormatting>
  <conditionalFormatting sqref="O27">
    <cfRule type="cellIs" dxfId="1124" priority="492" operator="equal">
      <formula>"CORRECT !"</formula>
    </cfRule>
  </conditionalFormatting>
  <conditionalFormatting sqref="O28">
    <cfRule type="cellIs" dxfId="1123" priority="491" operator="equal">
      <formula>"CORRECT !"</formula>
    </cfRule>
  </conditionalFormatting>
  <conditionalFormatting sqref="I9">
    <cfRule type="cellIs" dxfId="1122" priority="490" operator="equal">
      <formula>"CORRECT !"</formula>
    </cfRule>
  </conditionalFormatting>
  <conditionalFormatting sqref="I10">
    <cfRule type="cellIs" dxfId="1121" priority="489" operator="equal">
      <formula>"CORRECT !"</formula>
    </cfRule>
  </conditionalFormatting>
  <conditionalFormatting sqref="I28">
    <cfRule type="cellIs" dxfId="1120" priority="471" operator="equal">
      <formula>"CORRECT !"</formula>
    </cfRule>
  </conditionalFormatting>
  <conditionalFormatting sqref="I27">
    <cfRule type="cellIs" dxfId="1119" priority="472" operator="equal">
      <formula>"CORRECT !"</formula>
    </cfRule>
  </conditionalFormatting>
  <conditionalFormatting sqref="L9">
    <cfRule type="cellIs" dxfId="1118" priority="470" operator="equal">
      <formula>"CORRECT !"</formula>
    </cfRule>
  </conditionalFormatting>
  <conditionalFormatting sqref="L10">
    <cfRule type="cellIs" dxfId="1117" priority="469" operator="equal">
      <formula>"CORRECT !"</formula>
    </cfRule>
  </conditionalFormatting>
  <conditionalFormatting sqref="L11">
    <cfRule type="cellIs" dxfId="1116" priority="468" operator="equal">
      <formula>"CORRECT !"</formula>
    </cfRule>
  </conditionalFormatting>
  <conditionalFormatting sqref="L12">
    <cfRule type="cellIs" dxfId="1115" priority="467" operator="equal">
      <formula>"CORRECT !"</formula>
    </cfRule>
  </conditionalFormatting>
  <conditionalFormatting sqref="L13">
    <cfRule type="cellIs" dxfId="1114" priority="466" operator="equal">
      <formula>"CORRECT !"</formula>
    </cfRule>
  </conditionalFormatting>
  <conditionalFormatting sqref="L14">
    <cfRule type="cellIs" dxfId="1113" priority="465" operator="equal">
      <formula>"CORRECT !"</formula>
    </cfRule>
  </conditionalFormatting>
  <conditionalFormatting sqref="L15">
    <cfRule type="cellIs" dxfId="1112" priority="464" operator="equal">
      <formula>"CORRECT !"</formula>
    </cfRule>
  </conditionalFormatting>
  <conditionalFormatting sqref="L16">
    <cfRule type="cellIs" dxfId="1111" priority="463" operator="equal">
      <formula>"CORRECT !"</formula>
    </cfRule>
  </conditionalFormatting>
  <conditionalFormatting sqref="L17">
    <cfRule type="cellIs" dxfId="1110" priority="462" operator="equal">
      <formula>"CORRECT !"</formula>
    </cfRule>
  </conditionalFormatting>
  <conditionalFormatting sqref="L18">
    <cfRule type="cellIs" dxfId="1109" priority="461" operator="equal">
      <formula>"CORRECT !"</formula>
    </cfRule>
  </conditionalFormatting>
  <conditionalFormatting sqref="L19">
    <cfRule type="cellIs" dxfId="1108" priority="460" operator="equal">
      <formula>"CORRECT !"</formula>
    </cfRule>
  </conditionalFormatting>
  <conditionalFormatting sqref="L20">
    <cfRule type="cellIs" dxfId="1107" priority="459" operator="equal">
      <formula>"CORRECT !"</formula>
    </cfRule>
  </conditionalFormatting>
  <conditionalFormatting sqref="L21">
    <cfRule type="cellIs" dxfId="1106" priority="458" operator="equal">
      <formula>"CORRECT !"</formula>
    </cfRule>
  </conditionalFormatting>
  <conditionalFormatting sqref="L22">
    <cfRule type="cellIs" dxfId="1105" priority="457" operator="equal">
      <formula>"CORRECT !"</formula>
    </cfRule>
  </conditionalFormatting>
  <conditionalFormatting sqref="L23">
    <cfRule type="cellIs" dxfId="1104" priority="456" operator="equal">
      <formula>"CORRECT !"</formula>
    </cfRule>
  </conditionalFormatting>
  <conditionalFormatting sqref="L24">
    <cfRule type="cellIs" dxfId="1103" priority="455" operator="equal">
      <formula>"CORRECT !"</formula>
    </cfRule>
  </conditionalFormatting>
  <conditionalFormatting sqref="L25">
    <cfRule type="cellIs" dxfId="1102" priority="454" operator="equal">
      <formula>"CORRECT !"</formula>
    </cfRule>
  </conditionalFormatting>
  <conditionalFormatting sqref="L26">
    <cfRule type="cellIs" dxfId="1101" priority="453" operator="equal">
      <formula>"CORRECT !"</formula>
    </cfRule>
  </conditionalFormatting>
  <conditionalFormatting sqref="L27">
    <cfRule type="cellIs" dxfId="1100" priority="452" operator="equal">
      <formula>"CORRECT !"</formula>
    </cfRule>
  </conditionalFormatting>
  <conditionalFormatting sqref="L28">
    <cfRule type="cellIs" dxfId="1099" priority="451" operator="equal">
      <formula>"CORRECT !"</formula>
    </cfRule>
  </conditionalFormatting>
  <conditionalFormatting sqref="P9">
    <cfRule type="cellIs" dxfId="1098" priority="450" operator="equal">
      <formula>"CORRECT !"</formula>
    </cfRule>
  </conditionalFormatting>
  <conditionalFormatting sqref="P10">
    <cfRule type="cellIs" dxfId="1097" priority="449" operator="equal">
      <formula>"CORRECT !"</formula>
    </cfRule>
  </conditionalFormatting>
  <conditionalFormatting sqref="P11">
    <cfRule type="cellIs" dxfId="1096" priority="448" operator="equal">
      <formula>"CORRECT !"</formula>
    </cfRule>
  </conditionalFormatting>
  <conditionalFormatting sqref="P12">
    <cfRule type="cellIs" dxfId="1095" priority="447" operator="equal">
      <formula>"CORRECT !"</formula>
    </cfRule>
  </conditionalFormatting>
  <conditionalFormatting sqref="P13">
    <cfRule type="cellIs" dxfId="1094" priority="446" operator="equal">
      <formula>"CORRECT !"</formula>
    </cfRule>
  </conditionalFormatting>
  <conditionalFormatting sqref="P14">
    <cfRule type="cellIs" dxfId="1093" priority="445" operator="equal">
      <formula>"CORRECT !"</formula>
    </cfRule>
  </conditionalFormatting>
  <conditionalFormatting sqref="P15">
    <cfRule type="cellIs" dxfId="1092" priority="444" operator="equal">
      <formula>"CORRECT !"</formula>
    </cfRule>
  </conditionalFormatting>
  <conditionalFormatting sqref="P16">
    <cfRule type="cellIs" dxfId="1091" priority="443" operator="equal">
      <formula>"CORRECT !"</formula>
    </cfRule>
  </conditionalFormatting>
  <conditionalFormatting sqref="P17">
    <cfRule type="cellIs" dxfId="1090" priority="442" operator="equal">
      <formula>"CORRECT !"</formula>
    </cfRule>
  </conditionalFormatting>
  <conditionalFormatting sqref="P20">
    <cfRule type="cellIs" dxfId="1089" priority="439" operator="equal">
      <formula>"CORRECT !"</formula>
    </cfRule>
  </conditionalFormatting>
  <conditionalFormatting sqref="P21">
    <cfRule type="cellIs" dxfId="1088" priority="438" operator="equal">
      <formula>"CORRECT !"</formula>
    </cfRule>
  </conditionalFormatting>
  <conditionalFormatting sqref="P22">
    <cfRule type="cellIs" dxfId="1087" priority="437" operator="equal">
      <formula>"CORRECT !"</formula>
    </cfRule>
  </conditionalFormatting>
  <conditionalFormatting sqref="P23">
    <cfRule type="cellIs" dxfId="1086" priority="436" operator="equal">
      <formula>"CORRECT !"</formula>
    </cfRule>
  </conditionalFormatting>
  <conditionalFormatting sqref="P24">
    <cfRule type="cellIs" dxfId="1085" priority="435" operator="equal">
      <formula>"CORRECT !"</formula>
    </cfRule>
  </conditionalFormatting>
  <conditionalFormatting sqref="P25">
    <cfRule type="cellIs" dxfId="1084" priority="434" operator="equal">
      <formula>"CORRECT !"</formula>
    </cfRule>
  </conditionalFormatting>
  <conditionalFormatting sqref="P26">
    <cfRule type="cellIs" dxfId="1083" priority="433" operator="equal">
      <formula>"CORRECT !"</formula>
    </cfRule>
  </conditionalFormatting>
  <conditionalFormatting sqref="P27">
    <cfRule type="cellIs" dxfId="1082" priority="432" operator="equal">
      <formula>"CORRECT !"</formula>
    </cfRule>
  </conditionalFormatting>
  <conditionalFormatting sqref="P28">
    <cfRule type="cellIs" dxfId="1081" priority="431" operator="equal">
      <formula>"CORRECT !"</formula>
    </cfRule>
  </conditionalFormatting>
  <conditionalFormatting sqref="F10">
    <cfRule type="cellIs" dxfId="1080" priority="109" operator="equal">
      <formula>"CORRECT !"</formula>
    </cfRule>
  </conditionalFormatting>
  <conditionalFormatting sqref="F11">
    <cfRule type="cellIs" dxfId="1079" priority="108" operator="equal">
      <formula>"CORRECT !"</formula>
    </cfRule>
  </conditionalFormatting>
  <conditionalFormatting sqref="F12">
    <cfRule type="cellIs" dxfId="1078" priority="107" operator="equal">
      <formula>"CORRECT !"</formula>
    </cfRule>
  </conditionalFormatting>
  <conditionalFormatting sqref="F13">
    <cfRule type="cellIs" dxfId="1077" priority="106" operator="equal">
      <formula>"CORRECT !"</formula>
    </cfRule>
  </conditionalFormatting>
  <conditionalFormatting sqref="F14">
    <cfRule type="cellIs" dxfId="1076" priority="105" operator="equal">
      <formula>"CORRECT !"</formula>
    </cfRule>
  </conditionalFormatting>
  <conditionalFormatting sqref="F15">
    <cfRule type="cellIs" dxfId="1075" priority="104" operator="equal">
      <formula>"CORRECT !"</formula>
    </cfRule>
  </conditionalFormatting>
  <conditionalFormatting sqref="F16">
    <cfRule type="cellIs" dxfId="1074" priority="103" operator="equal">
      <formula>"CORRECT !"</formula>
    </cfRule>
  </conditionalFormatting>
  <conditionalFormatting sqref="F17">
    <cfRule type="cellIs" dxfId="1073" priority="102" operator="equal">
      <formula>"CORRECT !"</formula>
    </cfRule>
  </conditionalFormatting>
  <conditionalFormatting sqref="F18">
    <cfRule type="cellIs" dxfId="1072" priority="101" operator="equal">
      <formula>"CORRECT !"</formula>
    </cfRule>
  </conditionalFormatting>
  <conditionalFormatting sqref="F19">
    <cfRule type="cellIs" dxfId="1071" priority="100" operator="equal">
      <formula>"CORRECT !"</formula>
    </cfRule>
  </conditionalFormatting>
  <conditionalFormatting sqref="F20">
    <cfRule type="cellIs" dxfId="1070" priority="99" operator="equal">
      <formula>"CORRECT !"</formula>
    </cfRule>
  </conditionalFormatting>
  <conditionalFormatting sqref="F21">
    <cfRule type="cellIs" dxfId="1069" priority="98" operator="equal">
      <formula>"CORRECT !"</formula>
    </cfRule>
  </conditionalFormatting>
  <conditionalFormatting sqref="F22">
    <cfRule type="cellIs" dxfId="1068" priority="97" operator="equal">
      <formula>"CORRECT !"</formula>
    </cfRule>
  </conditionalFormatting>
  <conditionalFormatting sqref="F23">
    <cfRule type="cellIs" dxfId="1067" priority="96" operator="equal">
      <formula>"CORRECT !"</formula>
    </cfRule>
  </conditionalFormatting>
  <conditionalFormatting sqref="F24">
    <cfRule type="cellIs" dxfId="1066" priority="95" operator="equal">
      <formula>"CORRECT !"</formula>
    </cfRule>
  </conditionalFormatting>
  <conditionalFormatting sqref="F25">
    <cfRule type="cellIs" dxfId="1065" priority="94" operator="equal">
      <formula>"CORRECT !"</formula>
    </cfRule>
  </conditionalFormatting>
  <conditionalFormatting sqref="F26">
    <cfRule type="cellIs" dxfId="1064" priority="93" operator="equal">
      <formula>"CORRECT !"</formula>
    </cfRule>
  </conditionalFormatting>
  <conditionalFormatting sqref="F27">
    <cfRule type="cellIs" dxfId="1063" priority="92" operator="equal">
      <formula>"CORRECT !"</formula>
    </cfRule>
  </conditionalFormatting>
  <conditionalFormatting sqref="F28">
    <cfRule type="cellIs" dxfId="1062" priority="91" operator="equal">
      <formula>"CORRECT !"</formula>
    </cfRule>
  </conditionalFormatting>
  <conditionalFormatting sqref="F29">
    <cfRule type="cellIs" dxfId="1061" priority="90" operator="equal">
      <formula>"CORRECT !"</formula>
    </cfRule>
  </conditionalFormatting>
  <conditionalFormatting sqref="F30">
    <cfRule type="cellIs" dxfId="1060" priority="89" operator="equal">
      <formula>"CORRECT !"</formula>
    </cfRule>
  </conditionalFormatting>
  <conditionalFormatting sqref="F31">
    <cfRule type="cellIs" dxfId="1059" priority="88" operator="equal">
      <formula>"CORRECT !"</formula>
    </cfRule>
  </conditionalFormatting>
  <conditionalFormatting sqref="F32">
    <cfRule type="cellIs" dxfId="1058" priority="87" operator="equal">
      <formula>"CORRECT !"</formula>
    </cfRule>
  </conditionalFormatting>
  <conditionalFormatting sqref="F33">
    <cfRule type="cellIs" dxfId="1057" priority="7" operator="equal">
      <formula>"CORRECT !"</formula>
    </cfRule>
  </conditionalFormatting>
  <conditionalFormatting sqref="F34">
    <cfRule type="cellIs" dxfId="1056" priority="6" operator="equal">
      <formula>"CORRECT !"</formula>
    </cfRule>
  </conditionalFormatting>
  <conditionalFormatting sqref="F35">
    <cfRule type="cellIs" dxfId="1055" priority="5" operator="equal">
      <formula>"CORRECT !"</formula>
    </cfRule>
  </conditionalFormatting>
  <conditionalFormatting sqref="F36">
    <cfRule type="cellIs" dxfId="1054" priority="4" operator="equal">
      <formula>"CORRECT !"</formula>
    </cfRule>
  </conditionalFormatting>
  <conditionalFormatting sqref="F37">
    <cfRule type="cellIs" dxfId="1053" priority="3" operator="equal">
      <formula>"CORRECT !"</formula>
    </cfRule>
  </conditionalFormatting>
  <conditionalFormatting sqref="F38">
    <cfRule type="cellIs" dxfId="1052" priority="2" operator="equal">
      <formula>"CORRECT !"</formula>
    </cfRule>
  </conditionalFormatting>
  <conditionalFormatting sqref="F39">
    <cfRule type="cellIs" dxfId="1051" priority="1" operator="equal">
      <formula>"CORRECT !"</formula>
    </cfRule>
  </conditionalFormatting>
  <hyperlinks>
    <hyperlink ref="B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E1B0-2CB5-4222-9461-0FA07B45CF2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A1:S169"/>
  <sheetViews>
    <sheetView showGridLines="0" workbookViewId="0">
      <selection activeCell="Q8" sqref="Q8:R8"/>
    </sheetView>
  </sheetViews>
  <sheetFormatPr defaultRowHeight="21" x14ac:dyDescent="0.4"/>
  <cols>
    <col min="1" max="1" width="9.109375" style="16" customWidth="1"/>
    <col min="2" max="2" width="3.33203125" style="110" customWidth="1"/>
    <col min="3" max="3" width="7.5546875" style="39" customWidth="1"/>
    <col min="4" max="4" width="3.44140625" style="10" customWidth="1"/>
    <col min="5" max="5" width="7.77734375" style="19" customWidth="1"/>
    <col min="6" max="6" width="3.77734375" customWidth="1"/>
    <col min="7" max="7" width="4.5546875" style="14" customWidth="1"/>
    <col min="8" max="8" width="8.33203125" style="10" customWidth="1"/>
    <col min="9" max="9" width="3.44140625" style="19" customWidth="1"/>
    <col min="10" max="10" width="5" style="20" customWidth="1"/>
    <col min="11" max="11" width="7.44140625" style="10" customWidth="1"/>
    <col min="12" max="12" width="3.44140625" style="19" customWidth="1"/>
    <col min="13" max="13" width="9.109375" style="14" customWidth="1"/>
    <col min="14" max="14" width="3.6640625" customWidth="1"/>
    <col min="15" max="15" width="5.77734375" style="10" customWidth="1"/>
    <col min="16" max="16" width="8.88671875" style="13"/>
  </cols>
  <sheetData>
    <row r="1" spans="1:18" x14ac:dyDescent="0.4">
      <c r="A1" s="85"/>
      <c r="B1" s="111"/>
      <c r="C1" s="78"/>
      <c r="D1" s="67"/>
      <c r="E1" s="66"/>
      <c r="F1" s="66"/>
      <c r="G1" s="1"/>
      <c r="H1" s="67"/>
      <c r="I1" s="68"/>
      <c r="J1" s="69"/>
      <c r="K1" s="67"/>
      <c r="L1" s="68"/>
      <c r="M1" s="102"/>
      <c r="N1" s="104" t="s">
        <v>73</v>
      </c>
      <c r="O1" s="84" t="s">
        <v>74</v>
      </c>
      <c r="P1" s="86"/>
    </row>
    <row r="2" spans="1:18" ht="23.4" x14ac:dyDescent="0.45">
      <c r="A2" s="87"/>
      <c r="B2" s="125"/>
      <c r="C2" s="179" t="s">
        <v>44</v>
      </c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5"/>
      <c r="P2" s="71"/>
    </row>
    <row r="3" spans="1:18" ht="21" customHeight="1" x14ac:dyDescent="0.35">
      <c r="A3" s="74"/>
      <c r="B3" s="180" t="s">
        <v>72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75"/>
      <c r="P3" s="76"/>
    </row>
    <row r="4" spans="1:18" x14ac:dyDescent="0.4">
      <c r="A4" s="51"/>
      <c r="B4" s="126"/>
      <c r="C4" s="55"/>
      <c r="D4" s="5"/>
      <c r="E4" s="17"/>
      <c r="F4" s="2"/>
      <c r="G4" s="36"/>
      <c r="H4" s="5"/>
      <c r="I4" s="17"/>
      <c r="J4" s="37"/>
      <c r="K4" s="5"/>
      <c r="L4" s="17"/>
      <c r="M4" s="36"/>
      <c r="N4" s="7"/>
      <c r="O4" s="5"/>
      <c r="P4" s="11"/>
    </row>
    <row r="5" spans="1:18" ht="21" customHeight="1" x14ac:dyDescent="0.35">
      <c r="A5" s="51"/>
      <c r="B5" s="90"/>
      <c r="C5" s="183" t="s">
        <v>45</v>
      </c>
      <c r="D5" s="183"/>
      <c r="E5" s="183"/>
      <c r="F5" s="183"/>
      <c r="G5" s="183"/>
      <c r="H5" s="183"/>
      <c r="I5" s="183"/>
      <c r="J5" s="183"/>
      <c r="K5" s="183"/>
      <c r="L5" s="183"/>
      <c r="M5" s="22"/>
      <c r="N5" s="27"/>
      <c r="O5" s="31"/>
      <c r="P5" s="11"/>
    </row>
    <row r="6" spans="1:18" x14ac:dyDescent="0.4">
      <c r="A6" s="51"/>
      <c r="B6" s="90"/>
      <c r="C6" s="61"/>
      <c r="D6" s="5"/>
      <c r="E6" s="30"/>
      <c r="F6" s="2"/>
      <c r="G6" s="36"/>
      <c r="H6" s="5"/>
      <c r="I6" s="17"/>
      <c r="J6" s="37"/>
      <c r="K6" s="5"/>
      <c r="L6" s="17"/>
      <c r="M6" s="36"/>
      <c r="N6" s="7"/>
      <c r="O6" s="5"/>
      <c r="P6" s="11"/>
    </row>
    <row r="7" spans="1:18" x14ac:dyDescent="0.4">
      <c r="A7" s="52"/>
      <c r="B7" s="39">
        <f>IF(OR(AND($F7="y",$C7=E7,$I7="",$L7=""),AND($F7="",$C7=H7,$I7="y",$L7=""),AND($F7="",$C7=$K7,$I7="",$L7="y")),1,0)</f>
        <v>0</v>
      </c>
      <c r="C7" s="129" t="s">
        <v>82</v>
      </c>
      <c r="D7" s="15" t="str">
        <f>CONCATENATE(F6+1,".")</f>
        <v>1.</v>
      </c>
      <c r="E7" s="53" t="s">
        <v>81</v>
      </c>
      <c r="F7" s="96" t="str">
        <f>[1]!wwsInput()</f>
        <v/>
      </c>
      <c r="G7" s="26"/>
      <c r="H7" s="53" t="s">
        <v>39</v>
      </c>
      <c r="I7" s="96" t="str">
        <f>[1]!wwsInput()</f>
        <v/>
      </c>
      <c r="J7" s="26"/>
      <c r="K7" s="53" t="s">
        <v>82</v>
      </c>
      <c r="L7" s="96" t="str">
        <f>[1]!wwsInput()</f>
        <v/>
      </c>
      <c r="M7" s="9"/>
      <c r="N7" s="35"/>
      <c r="O7"/>
    </row>
    <row r="8" spans="1:18" ht="55.2" x14ac:dyDescent="0.4">
      <c r="A8" s="52"/>
      <c r="B8" s="39">
        <f t="shared" ref="B8:B18" si="0">IF(OR(AND($F8="y",$C8=E8,$I8&lt;&gt;"y",$L8&lt;&gt;"y"),AND($F8&lt;&gt;"y",$C8=H8,$I8="y",$L8&lt;&gt;"y"),AND($F8&lt;&gt;"y",$C8=$K8,$I8&lt;&gt;"y",$L8="y")),1,0)</f>
        <v>0</v>
      </c>
      <c r="C8" s="130" t="s">
        <v>39</v>
      </c>
      <c r="D8" s="15" t="str">
        <f t="shared" ref="D8:D18" si="1">CONCATENATE(D7+1,".")</f>
        <v>2.</v>
      </c>
      <c r="E8" s="53" t="s">
        <v>39</v>
      </c>
      <c r="F8" s="8" t="str">
        <f>[1]!wwsInput()</f>
        <v/>
      </c>
      <c r="G8" s="26"/>
      <c r="H8" s="53" t="s">
        <v>80</v>
      </c>
      <c r="I8" s="8" t="str">
        <f>[1]!wwsInput()</f>
        <v/>
      </c>
      <c r="J8" s="26"/>
      <c r="K8" s="53" t="s">
        <v>82</v>
      </c>
      <c r="L8" s="8" t="str">
        <f>[1]!wwsInput()</f>
        <v/>
      </c>
      <c r="M8" s="9"/>
      <c r="N8" s="35"/>
      <c r="O8"/>
      <c r="Q8" s="144" t="s">
        <v>159</v>
      </c>
      <c r="R8" s="144" t="s">
        <v>158</v>
      </c>
    </row>
    <row r="9" spans="1:18" x14ac:dyDescent="0.4">
      <c r="A9" s="52"/>
      <c r="B9" s="39">
        <f t="shared" si="0"/>
        <v>0</v>
      </c>
      <c r="C9" s="130" t="s">
        <v>81</v>
      </c>
      <c r="D9" s="15" t="str">
        <f t="shared" si="1"/>
        <v>3.</v>
      </c>
      <c r="E9" s="53" t="s">
        <v>80</v>
      </c>
      <c r="F9" s="8" t="str">
        <f>[1]!wwsInput()</f>
        <v/>
      </c>
      <c r="G9" s="26"/>
      <c r="H9" s="53" t="s">
        <v>81</v>
      </c>
      <c r="I9" s="8" t="str">
        <f>[1]!wwsInput()</f>
        <v/>
      </c>
      <c r="J9" s="26" t="s">
        <v>47</v>
      </c>
      <c r="K9" s="53" t="s">
        <v>79</v>
      </c>
      <c r="L9" s="8" t="str">
        <f>[1]!wwsInput()</f>
        <v/>
      </c>
      <c r="M9" s="9"/>
      <c r="N9" s="35"/>
      <c r="O9"/>
    </row>
    <row r="10" spans="1:18" x14ac:dyDescent="0.4">
      <c r="A10" s="52"/>
      <c r="B10" s="39">
        <f t="shared" si="0"/>
        <v>0</v>
      </c>
      <c r="C10" s="130" t="s">
        <v>87</v>
      </c>
      <c r="D10" s="15" t="str">
        <f t="shared" si="1"/>
        <v>4.</v>
      </c>
      <c r="E10" s="53" t="s">
        <v>86</v>
      </c>
      <c r="F10" s="8" t="str">
        <f>[1]!wwsInput()</f>
        <v/>
      </c>
      <c r="G10" s="26"/>
      <c r="H10" s="53" t="s">
        <v>87</v>
      </c>
      <c r="I10" s="8" t="str">
        <f>[1]!wwsInput()</f>
        <v/>
      </c>
      <c r="J10" s="26"/>
      <c r="K10" s="53" t="s">
        <v>84</v>
      </c>
      <c r="L10" s="8" t="str">
        <f>[1]!wwsInput()</f>
        <v/>
      </c>
      <c r="M10" s="9"/>
      <c r="N10" s="35"/>
      <c r="O10"/>
    </row>
    <row r="11" spans="1:18" x14ac:dyDescent="0.4">
      <c r="A11" s="52"/>
      <c r="B11" s="39">
        <f t="shared" si="0"/>
        <v>0</v>
      </c>
      <c r="C11" s="130" t="s">
        <v>83</v>
      </c>
      <c r="D11" s="15" t="str">
        <f t="shared" si="1"/>
        <v>5.</v>
      </c>
      <c r="E11" s="53" t="s">
        <v>83</v>
      </c>
      <c r="F11" s="8" t="str">
        <f>[1]!wwsInput()</f>
        <v/>
      </c>
      <c r="G11" s="26"/>
      <c r="H11" s="53" t="s">
        <v>85</v>
      </c>
      <c r="I11" s="8" t="str">
        <f>[1]!wwsInput()</f>
        <v/>
      </c>
      <c r="J11" s="26"/>
      <c r="K11" s="53" t="s">
        <v>86</v>
      </c>
      <c r="L11" s="8" t="str">
        <f>[1]!wwsInput()</f>
        <v/>
      </c>
      <c r="M11" s="9"/>
      <c r="N11" s="35"/>
      <c r="O11"/>
    </row>
    <row r="12" spans="1:18" x14ac:dyDescent="0.4">
      <c r="A12" s="52"/>
      <c r="B12" s="39">
        <f t="shared" si="0"/>
        <v>0</v>
      </c>
      <c r="C12" s="130" t="s">
        <v>91</v>
      </c>
      <c r="D12" s="15" t="str">
        <f t="shared" si="1"/>
        <v>6.</v>
      </c>
      <c r="E12" s="53" t="s">
        <v>90</v>
      </c>
      <c r="F12" s="8" t="str">
        <f>[1]!wwsInput()</f>
        <v/>
      </c>
      <c r="G12" s="26"/>
      <c r="H12" s="53" t="s">
        <v>38</v>
      </c>
      <c r="I12" s="8" t="str">
        <f>[1]!wwsInput()</f>
        <v/>
      </c>
      <c r="J12" s="26"/>
      <c r="K12" s="53" t="s">
        <v>91</v>
      </c>
      <c r="L12" s="8" t="str">
        <f>[1]!wwsInput()</f>
        <v/>
      </c>
      <c r="M12" s="9"/>
      <c r="N12" s="35"/>
      <c r="O12"/>
    </row>
    <row r="13" spans="1:18" x14ac:dyDescent="0.4">
      <c r="A13" s="52"/>
      <c r="B13" s="39">
        <f t="shared" si="0"/>
        <v>0</v>
      </c>
      <c r="C13" s="130" t="s">
        <v>90</v>
      </c>
      <c r="D13" s="15" t="str">
        <f t="shared" si="1"/>
        <v>7.</v>
      </c>
      <c r="E13" s="53" t="s">
        <v>88</v>
      </c>
      <c r="F13" s="8" t="str">
        <f>[1]!wwsInput()</f>
        <v/>
      </c>
      <c r="G13" s="26"/>
      <c r="H13" s="53" t="s">
        <v>90</v>
      </c>
      <c r="I13" s="8" t="str">
        <f>[1]!wwsInput()</f>
        <v/>
      </c>
      <c r="J13" s="26"/>
      <c r="K13" s="53" t="s">
        <v>91</v>
      </c>
      <c r="L13" s="8" t="str">
        <f>[1]!wwsInput()</f>
        <v/>
      </c>
      <c r="M13" s="9"/>
      <c r="N13" s="35"/>
      <c r="O13"/>
    </row>
    <row r="14" spans="1:18" x14ac:dyDescent="0.4">
      <c r="A14" s="52"/>
      <c r="B14" s="39">
        <f t="shared" si="0"/>
        <v>0</v>
      </c>
      <c r="C14" s="130" t="s">
        <v>88</v>
      </c>
      <c r="D14" s="15" t="str">
        <f t="shared" si="1"/>
        <v>8.</v>
      </c>
      <c r="E14" s="53" t="s">
        <v>38</v>
      </c>
      <c r="F14" s="8" t="str">
        <f>[1]!wwsInput()</f>
        <v/>
      </c>
      <c r="G14" s="26"/>
      <c r="H14" s="53" t="s">
        <v>89</v>
      </c>
      <c r="I14" s="8" t="str">
        <f>[1]!wwsInput()</f>
        <v/>
      </c>
      <c r="J14" s="26"/>
      <c r="K14" s="53" t="s">
        <v>88</v>
      </c>
      <c r="L14" s="8" t="str">
        <f>[1]!wwsInput()</f>
        <v/>
      </c>
      <c r="M14" s="9"/>
      <c r="N14" s="35"/>
      <c r="O14"/>
    </row>
    <row r="15" spans="1:18" x14ac:dyDescent="0.4">
      <c r="A15" s="52"/>
      <c r="B15" s="39">
        <f t="shared" si="0"/>
        <v>0</v>
      </c>
      <c r="C15" s="130" t="s">
        <v>94</v>
      </c>
      <c r="D15" s="15" t="str">
        <f t="shared" si="1"/>
        <v>9.</v>
      </c>
      <c r="E15" s="53" t="s">
        <v>93</v>
      </c>
      <c r="F15" s="8" t="str">
        <f>[1]!wwsInput()</f>
        <v/>
      </c>
      <c r="G15" s="26"/>
      <c r="H15" s="53" t="s">
        <v>94</v>
      </c>
      <c r="I15" s="8" t="str">
        <f>[1]!wwsInput()</f>
        <v/>
      </c>
      <c r="J15" s="26"/>
      <c r="K15" s="53" t="s">
        <v>96</v>
      </c>
      <c r="L15" s="8" t="str">
        <f>[1]!wwsInput()</f>
        <v/>
      </c>
      <c r="M15" s="9"/>
      <c r="N15" s="35"/>
      <c r="O15"/>
    </row>
    <row r="16" spans="1:18" x14ac:dyDescent="0.4">
      <c r="A16" s="52"/>
      <c r="B16" s="39">
        <f t="shared" si="0"/>
        <v>0</v>
      </c>
      <c r="C16" s="130" t="s">
        <v>96</v>
      </c>
      <c r="D16" s="15" t="str">
        <f t="shared" si="1"/>
        <v>10.</v>
      </c>
      <c r="E16" s="53" t="s">
        <v>96</v>
      </c>
      <c r="F16" s="8" t="str">
        <f>[1]!wwsInput()</f>
        <v/>
      </c>
      <c r="G16" s="26"/>
      <c r="H16" s="53" t="s">
        <v>75</v>
      </c>
      <c r="I16" s="8" t="str">
        <f>[1]!wwsInput()</f>
        <v/>
      </c>
      <c r="J16" s="26"/>
      <c r="K16" s="53" t="s">
        <v>93</v>
      </c>
      <c r="L16" s="8" t="str">
        <f>[1]!wwsInput()</f>
        <v/>
      </c>
      <c r="M16" s="9"/>
      <c r="N16" s="35"/>
      <c r="O16"/>
    </row>
    <row r="17" spans="1:19" x14ac:dyDescent="0.4">
      <c r="A17" s="52"/>
      <c r="B17" s="39">
        <f t="shared" si="0"/>
        <v>0</v>
      </c>
      <c r="C17" s="130" t="s">
        <v>97</v>
      </c>
      <c r="D17" s="15" t="str">
        <f t="shared" si="1"/>
        <v>11.</v>
      </c>
      <c r="E17" s="53" t="s">
        <v>97</v>
      </c>
      <c r="F17" s="8" t="str">
        <f>[1]!wwsInput()</f>
        <v/>
      </c>
      <c r="G17" s="26"/>
      <c r="H17" s="53" t="s">
        <v>99</v>
      </c>
      <c r="I17" s="8" t="str">
        <f>[1]!wwsInput()</f>
        <v/>
      </c>
      <c r="J17" s="26"/>
      <c r="K17" s="53" t="s">
        <v>100</v>
      </c>
      <c r="L17" s="8" t="str">
        <f>[1]!wwsInput()</f>
        <v/>
      </c>
      <c r="M17" s="9"/>
      <c r="N17" s="35"/>
      <c r="O17"/>
    </row>
    <row r="18" spans="1:19" x14ac:dyDescent="0.4">
      <c r="A18" s="52"/>
      <c r="B18" s="39">
        <f t="shared" si="0"/>
        <v>0</v>
      </c>
      <c r="C18" s="130" t="s">
        <v>99</v>
      </c>
      <c r="D18" s="15" t="str">
        <f t="shared" si="1"/>
        <v>12.</v>
      </c>
      <c r="E18" s="53" t="s">
        <v>100</v>
      </c>
      <c r="F18" s="8" t="str">
        <f>[1]!wwsInput()</f>
        <v/>
      </c>
      <c r="G18" s="26"/>
      <c r="H18" s="53" t="s">
        <v>98</v>
      </c>
      <c r="I18" s="8" t="str">
        <f>[1]!wwsInput()</f>
        <v/>
      </c>
      <c r="J18" s="26"/>
      <c r="K18" s="53" t="s">
        <v>99</v>
      </c>
      <c r="L18" s="8" t="str">
        <f>[1]!wwsInput()</f>
        <v/>
      </c>
      <c r="M18" s="9"/>
      <c r="N18" s="35"/>
      <c r="O18"/>
    </row>
    <row r="19" spans="1:19" x14ac:dyDescent="0.4">
      <c r="A19" s="38">
        <f>SUM(B7:B18)/12</f>
        <v>0</v>
      </c>
      <c r="B19" s="39">
        <f t="shared" ref="B19" si="2">IF(OR(AND($F19="y",$C19=E19,$I19&lt;&gt;"y",$L19&lt;&gt;"y"),AND($F19&lt;&gt;"y",$C19=H19,$I19="y",$L19&lt;&gt;"y"),AND($F19&lt;&gt;"y",$C19=$K19,$I19&lt;&gt;"y",$L19="y")),1,0)</f>
        <v>0</v>
      </c>
      <c r="C19" s="54" t="s">
        <v>59</v>
      </c>
      <c r="D19" s="15"/>
      <c r="E19" s="122"/>
      <c r="F19" s="123"/>
      <c r="G19" s="34"/>
      <c r="H19" s="122"/>
      <c r="I19" s="123"/>
      <c r="J19" s="34"/>
      <c r="K19" s="122"/>
      <c r="L19" s="123"/>
      <c r="M19" s="124"/>
      <c r="N19" s="35"/>
      <c r="O19"/>
      <c r="P19"/>
    </row>
    <row r="20" spans="1:19" x14ac:dyDescent="0.4">
      <c r="A20" s="89"/>
      <c r="B20" s="90"/>
      <c r="C20" s="30"/>
      <c r="D20" s="90"/>
      <c r="E20" s="91"/>
      <c r="F20" s="92"/>
      <c r="G20" s="92"/>
      <c r="H20" s="93"/>
      <c r="I20" s="92"/>
      <c r="J20" s="92"/>
      <c r="K20" s="91"/>
      <c r="L20" s="90"/>
      <c r="N20" s="11"/>
      <c r="O20" s="2"/>
      <c r="P20" s="2"/>
      <c r="Q20" s="2"/>
      <c r="R20" s="2"/>
      <c r="S20" s="2"/>
    </row>
    <row r="21" spans="1:19" x14ac:dyDescent="0.4">
      <c r="A21" s="182"/>
      <c r="B21" s="182"/>
      <c r="C21" s="182"/>
      <c r="D21" s="94"/>
      <c r="E21" s="45"/>
      <c r="F21" s="90"/>
      <c r="G21" s="91"/>
      <c r="H21" s="92"/>
      <c r="I21" s="92"/>
      <c r="J21" s="93"/>
      <c r="K21" s="92"/>
      <c r="L21" s="92"/>
      <c r="M21" s="91"/>
      <c r="N21" s="90"/>
      <c r="O21" s="92"/>
      <c r="P21" s="95" t="s">
        <v>43</v>
      </c>
      <c r="Q21" s="2"/>
      <c r="R21" s="2"/>
      <c r="S21" s="2"/>
    </row>
    <row r="22" spans="1:19" x14ac:dyDescent="0.4">
      <c r="A22" s="46"/>
      <c r="B22" s="95"/>
      <c r="C22" s="11"/>
      <c r="D22" s="94"/>
      <c r="E22" s="45"/>
      <c r="F22" s="90"/>
      <c r="G22" s="91"/>
      <c r="H22" s="92"/>
      <c r="I22" s="92"/>
      <c r="J22" s="93"/>
      <c r="K22" s="92"/>
      <c r="L22" s="92"/>
      <c r="M22" s="91"/>
      <c r="N22" s="90"/>
      <c r="O22" s="92"/>
      <c r="P22" s="11"/>
      <c r="Q22" s="2"/>
      <c r="R22" s="2"/>
      <c r="S22" s="2"/>
    </row>
    <row r="23" spans="1:19" x14ac:dyDescent="0.4">
      <c r="A23" s="46"/>
      <c r="B23" s="48"/>
      <c r="C23" s="43"/>
      <c r="D23" s="49"/>
      <c r="E23" s="45"/>
      <c r="F23" s="46"/>
      <c r="G23" s="47"/>
      <c r="H23" s="48"/>
      <c r="I23" s="49"/>
      <c r="J23" s="47"/>
      <c r="K23" s="48"/>
      <c r="L23" s="49"/>
      <c r="M23" s="47"/>
      <c r="N23" s="48"/>
      <c r="O23" s="25"/>
      <c r="P23" s="29"/>
      <c r="Q23" s="2"/>
      <c r="R23" s="2"/>
      <c r="S23" s="2"/>
    </row>
    <row r="24" spans="1:19" x14ac:dyDescent="0.4">
      <c r="A24" s="46"/>
      <c r="B24" s="48"/>
      <c r="C24" s="43"/>
      <c r="D24" s="49"/>
      <c r="E24" s="45"/>
      <c r="F24" s="46"/>
      <c r="G24" s="47"/>
      <c r="H24" s="48"/>
      <c r="I24" s="49"/>
      <c r="J24" s="47"/>
      <c r="K24" s="48"/>
      <c r="L24" s="49"/>
      <c r="M24" s="47"/>
      <c r="N24" s="48"/>
      <c r="O24" s="25"/>
      <c r="P24" s="29"/>
      <c r="Q24" s="2"/>
      <c r="R24" s="2"/>
      <c r="S24" s="2"/>
    </row>
    <row r="25" spans="1:19" x14ac:dyDescent="0.4">
      <c r="A25" s="32"/>
      <c r="B25" s="48"/>
      <c r="C25" s="43"/>
      <c r="D25" s="34"/>
      <c r="E25" s="41"/>
      <c r="F25" s="32"/>
      <c r="G25" s="33"/>
      <c r="H25" s="43"/>
      <c r="I25" s="34"/>
      <c r="J25" s="33"/>
      <c r="K25" s="43"/>
      <c r="L25" s="34"/>
      <c r="M25" s="33"/>
      <c r="N25" s="43"/>
      <c r="O25" s="9"/>
      <c r="P25" s="29"/>
      <c r="Q25" s="2"/>
      <c r="R25" s="2"/>
      <c r="S25" s="2"/>
    </row>
    <row r="26" spans="1:19" x14ac:dyDescent="0.4">
      <c r="A26" s="32"/>
      <c r="B26" s="48"/>
      <c r="C26" s="43"/>
      <c r="D26" s="34"/>
      <c r="E26" s="41"/>
      <c r="F26" s="32"/>
      <c r="G26" s="33"/>
      <c r="H26" s="43"/>
      <c r="I26" s="34"/>
      <c r="J26" s="33"/>
      <c r="K26" s="43"/>
      <c r="L26" s="34"/>
      <c r="M26" s="33"/>
      <c r="N26" s="43"/>
      <c r="O26" s="9"/>
      <c r="P26" s="29"/>
      <c r="Q26" s="2"/>
      <c r="R26" s="2"/>
      <c r="S26" s="2"/>
    </row>
    <row r="27" spans="1:19" x14ac:dyDescent="0.4">
      <c r="A27" s="32"/>
      <c r="B27" s="48"/>
      <c r="C27" s="43"/>
      <c r="D27" s="34"/>
      <c r="E27" s="41"/>
      <c r="F27" s="32"/>
      <c r="G27" s="33"/>
      <c r="H27" s="43"/>
      <c r="I27" s="34"/>
      <c r="J27" s="33"/>
      <c r="K27" s="43"/>
      <c r="L27" s="34"/>
      <c r="M27" s="33"/>
      <c r="N27" s="43"/>
      <c r="O27" s="9"/>
      <c r="P27" s="29"/>
      <c r="Q27" s="2"/>
      <c r="R27" s="2"/>
      <c r="S27" s="2"/>
    </row>
    <row r="28" spans="1:19" x14ac:dyDescent="0.4">
      <c r="A28" s="32"/>
      <c r="B28" s="48"/>
      <c r="C28" s="43"/>
      <c r="D28" s="34"/>
      <c r="E28" s="41"/>
      <c r="F28" s="32"/>
      <c r="G28" s="33"/>
      <c r="H28" s="43"/>
      <c r="I28" s="34"/>
      <c r="J28" s="33"/>
      <c r="K28" s="43"/>
      <c r="L28" s="34"/>
      <c r="M28" s="33"/>
      <c r="N28" s="43"/>
      <c r="O28" s="9"/>
      <c r="P28" s="29"/>
      <c r="Q28" s="2"/>
      <c r="R28" s="2"/>
      <c r="S28" s="2"/>
    </row>
    <row r="29" spans="1:19" x14ac:dyDescent="0.4">
      <c r="A29" s="32"/>
      <c r="B29" s="48"/>
      <c r="C29" s="43"/>
      <c r="D29" s="34"/>
      <c r="E29" s="41"/>
      <c r="F29" s="32"/>
      <c r="G29" s="33"/>
      <c r="H29" s="43"/>
      <c r="I29" s="34"/>
      <c r="J29" s="33"/>
      <c r="K29" s="43"/>
      <c r="L29" s="34"/>
      <c r="M29" s="33"/>
      <c r="N29" s="43"/>
      <c r="O29" s="9"/>
      <c r="P29" s="29"/>
      <c r="Q29" s="2"/>
      <c r="R29" s="2"/>
      <c r="S29" s="2"/>
    </row>
    <row r="30" spans="1:19" x14ac:dyDescent="0.4">
      <c r="A30" s="32"/>
      <c r="B30" s="48"/>
      <c r="C30" s="43"/>
      <c r="D30" s="34"/>
      <c r="E30" s="41"/>
      <c r="F30" s="32"/>
      <c r="G30" s="33"/>
      <c r="H30" s="43"/>
      <c r="I30" s="34"/>
      <c r="J30" s="33"/>
      <c r="K30" s="43"/>
      <c r="L30" s="34"/>
      <c r="M30" s="33"/>
      <c r="N30" s="43"/>
      <c r="O30" s="9"/>
      <c r="P30" s="29"/>
      <c r="Q30" s="2"/>
      <c r="R30" s="2"/>
      <c r="S30" s="2"/>
    </row>
    <row r="31" spans="1:19" x14ac:dyDescent="0.4">
      <c r="A31" s="32"/>
      <c r="B31" s="48"/>
      <c r="C31" s="43"/>
      <c r="D31" s="34"/>
      <c r="E31" s="41"/>
      <c r="F31" s="32"/>
      <c r="G31" s="33"/>
      <c r="H31" s="43"/>
      <c r="I31" s="34"/>
      <c r="J31" s="33"/>
      <c r="K31" s="43"/>
      <c r="L31" s="34"/>
      <c r="M31" s="33"/>
      <c r="N31" s="43"/>
      <c r="O31" s="9"/>
      <c r="P31" s="29"/>
      <c r="Q31" s="2"/>
      <c r="R31" s="2"/>
      <c r="S31" s="2"/>
    </row>
    <row r="32" spans="1:19" x14ac:dyDescent="0.4">
      <c r="A32" s="32"/>
      <c r="B32" s="48"/>
      <c r="C32" s="43"/>
      <c r="D32" s="34"/>
      <c r="E32" s="41"/>
      <c r="F32" s="32"/>
      <c r="G32" s="33"/>
      <c r="H32" s="43"/>
      <c r="I32" s="34"/>
      <c r="J32" s="33"/>
      <c r="K32" s="43"/>
      <c r="L32" s="34"/>
      <c r="M32" s="33"/>
      <c r="N32" s="43"/>
      <c r="O32" s="9"/>
      <c r="P32" s="29"/>
      <c r="Q32" s="2"/>
      <c r="R32" s="2"/>
      <c r="S32" s="2"/>
    </row>
    <row r="33" spans="1:19" x14ac:dyDescent="0.4">
      <c r="A33" s="32"/>
      <c r="B33" s="48"/>
      <c r="C33" s="43"/>
      <c r="D33" s="34"/>
      <c r="E33" s="41"/>
      <c r="F33" s="32"/>
      <c r="G33" s="33"/>
      <c r="H33" s="43"/>
      <c r="I33" s="34"/>
      <c r="J33" s="33"/>
      <c r="K33" s="43"/>
      <c r="L33" s="34"/>
      <c r="M33" s="33"/>
      <c r="N33" s="43"/>
      <c r="O33" s="9"/>
      <c r="P33" s="29"/>
      <c r="Q33" s="2"/>
      <c r="R33" s="2"/>
      <c r="S33" s="2"/>
    </row>
    <row r="34" spans="1:19" x14ac:dyDescent="0.4">
      <c r="A34" s="32"/>
      <c r="B34" s="48"/>
      <c r="C34" s="43"/>
      <c r="D34" s="34"/>
      <c r="E34" s="41"/>
      <c r="F34" s="32"/>
      <c r="G34" s="33"/>
      <c r="H34" s="43"/>
      <c r="I34" s="34"/>
      <c r="J34" s="33"/>
      <c r="K34" s="43"/>
      <c r="L34" s="34"/>
      <c r="M34" s="33"/>
      <c r="N34" s="43"/>
      <c r="O34" s="9"/>
      <c r="P34" s="29"/>
      <c r="Q34" s="2"/>
      <c r="R34" s="2"/>
      <c r="S34" s="2"/>
    </row>
    <row r="35" spans="1:19" x14ac:dyDescent="0.4">
      <c r="A35" s="32"/>
      <c r="B35" s="48"/>
      <c r="C35" s="43"/>
      <c r="D35" s="34"/>
      <c r="E35" s="41"/>
      <c r="F35" s="32"/>
      <c r="G35" s="33"/>
      <c r="H35" s="43"/>
      <c r="I35" s="34"/>
      <c r="J35" s="33"/>
      <c r="K35" s="43"/>
      <c r="L35" s="34"/>
      <c r="M35" s="33"/>
      <c r="N35" s="43"/>
      <c r="O35" s="9"/>
      <c r="P35" s="29"/>
      <c r="Q35" s="2"/>
      <c r="R35" s="2"/>
      <c r="S35" s="2"/>
    </row>
    <row r="36" spans="1:19" x14ac:dyDescent="0.4">
      <c r="A36" s="32"/>
      <c r="B36" s="48"/>
      <c r="C36" s="43"/>
      <c r="D36" s="34"/>
      <c r="E36" s="41"/>
      <c r="F36" s="32"/>
      <c r="G36" s="33"/>
      <c r="H36" s="43"/>
      <c r="I36" s="34"/>
      <c r="J36" s="33"/>
      <c r="K36" s="43"/>
      <c r="L36" s="34"/>
      <c r="M36" s="33"/>
      <c r="N36" s="43"/>
      <c r="O36" s="9"/>
      <c r="P36" s="29"/>
      <c r="Q36" s="2"/>
      <c r="R36" s="2"/>
      <c r="S36" s="2"/>
    </row>
    <row r="37" spans="1:19" x14ac:dyDescent="0.4">
      <c r="A37" s="32"/>
      <c r="B37" s="48"/>
      <c r="C37" s="43"/>
      <c r="D37" s="34"/>
      <c r="E37" s="41"/>
      <c r="F37" s="32"/>
      <c r="G37" s="33"/>
      <c r="H37" s="43"/>
      <c r="I37" s="34"/>
      <c r="J37" s="33"/>
      <c r="K37" s="43"/>
      <c r="L37" s="34"/>
      <c r="M37" s="33"/>
      <c r="N37" s="43"/>
      <c r="O37" s="9"/>
      <c r="P37" s="29"/>
      <c r="Q37" s="2"/>
      <c r="R37" s="2"/>
      <c r="S37" s="2"/>
    </row>
    <row r="38" spans="1:19" x14ac:dyDescent="0.4">
      <c r="A38" s="32"/>
      <c r="B38" s="48"/>
      <c r="C38" s="43"/>
      <c r="D38" s="34"/>
      <c r="E38" s="41"/>
      <c r="F38" s="32"/>
      <c r="G38" s="33"/>
      <c r="H38" s="43"/>
      <c r="I38" s="34"/>
      <c r="J38" s="33"/>
      <c r="K38" s="43"/>
      <c r="L38" s="34"/>
      <c r="M38" s="33"/>
      <c r="N38" s="43"/>
      <c r="O38" s="9"/>
      <c r="P38" s="29"/>
      <c r="Q38" s="2"/>
      <c r="R38" s="2"/>
      <c r="S38" s="2"/>
    </row>
    <row r="39" spans="1:19" x14ac:dyDescent="0.4">
      <c r="A39" s="32"/>
      <c r="B39" s="48"/>
      <c r="C39" s="43"/>
      <c r="D39" s="34"/>
      <c r="E39" s="41"/>
      <c r="F39" s="32"/>
      <c r="G39" s="33"/>
      <c r="H39" s="43"/>
      <c r="I39" s="34"/>
      <c r="J39" s="33"/>
      <c r="K39" s="43"/>
      <c r="L39" s="34"/>
      <c r="M39" s="33"/>
      <c r="N39" s="43"/>
      <c r="O39" s="9"/>
      <c r="P39" s="29"/>
      <c r="Q39" s="2"/>
      <c r="R39" s="2"/>
      <c r="S39" s="2"/>
    </row>
    <row r="40" spans="1:19" x14ac:dyDescent="0.4">
      <c r="A40" s="32"/>
      <c r="B40" s="48"/>
      <c r="C40" s="43"/>
      <c r="D40" s="34"/>
      <c r="E40" s="41"/>
      <c r="F40" s="32"/>
      <c r="G40" s="33"/>
      <c r="H40" s="43"/>
      <c r="I40" s="34"/>
      <c r="J40" s="33"/>
      <c r="K40" s="43"/>
      <c r="L40" s="34"/>
      <c r="M40" s="33"/>
      <c r="N40" s="43"/>
      <c r="O40" s="9"/>
      <c r="P40" s="29"/>
      <c r="Q40" s="2"/>
      <c r="R40" s="2"/>
      <c r="S40" s="2"/>
    </row>
    <row r="41" spans="1:19" x14ac:dyDescent="0.4">
      <c r="A41" s="32"/>
      <c r="B41" s="48"/>
      <c r="C41" s="43"/>
      <c r="D41" s="34"/>
      <c r="E41" s="41"/>
      <c r="F41" s="32"/>
      <c r="G41" s="33"/>
      <c r="H41" s="43"/>
      <c r="I41" s="34"/>
      <c r="J41" s="33"/>
      <c r="K41" s="43"/>
      <c r="L41" s="34"/>
      <c r="M41" s="33"/>
      <c r="N41" s="43"/>
      <c r="O41" s="9"/>
      <c r="P41" s="29"/>
      <c r="Q41" s="2"/>
      <c r="R41" s="2"/>
      <c r="S41" s="2"/>
    </row>
    <row r="42" spans="1:19" x14ac:dyDescent="0.4">
      <c r="A42" s="32"/>
      <c r="B42" s="48"/>
      <c r="C42" s="43"/>
      <c r="D42" s="34"/>
      <c r="E42" s="41"/>
      <c r="F42" s="32"/>
      <c r="G42" s="33"/>
      <c r="H42" s="43"/>
      <c r="I42" s="34"/>
      <c r="J42" s="33"/>
      <c r="K42" s="43"/>
      <c r="L42" s="34"/>
      <c r="M42" s="33"/>
      <c r="N42" s="43"/>
      <c r="O42" s="9"/>
      <c r="P42" s="29"/>
      <c r="Q42" s="2"/>
      <c r="R42" s="2"/>
      <c r="S42" s="2"/>
    </row>
    <row r="43" spans="1:19" x14ac:dyDescent="0.4">
      <c r="A43" s="32"/>
      <c r="B43" s="48"/>
      <c r="C43" s="43"/>
      <c r="D43" s="34"/>
      <c r="E43" s="41"/>
      <c r="F43" s="32"/>
      <c r="G43" s="1"/>
      <c r="H43" s="5"/>
      <c r="I43" s="17"/>
      <c r="J43" s="37"/>
      <c r="K43" s="5"/>
      <c r="L43" s="17"/>
      <c r="M43" s="1"/>
      <c r="N43" s="2"/>
      <c r="O43" s="5"/>
      <c r="P43" s="11"/>
      <c r="Q43" s="2"/>
      <c r="R43" s="2"/>
      <c r="S43" s="2"/>
    </row>
    <row r="44" spans="1:19" x14ac:dyDescent="0.4">
      <c r="A44" s="32"/>
      <c r="B44" s="48"/>
      <c r="C44" s="43"/>
      <c r="D44" s="34"/>
      <c r="E44" s="41"/>
      <c r="F44" s="32"/>
      <c r="G44" s="1"/>
      <c r="H44" s="5"/>
      <c r="I44" s="17"/>
      <c r="J44" s="37"/>
      <c r="K44" s="5"/>
      <c r="L44" s="17"/>
      <c r="M44" s="1"/>
      <c r="N44" s="2"/>
      <c r="O44" s="5"/>
      <c r="P44" s="11"/>
      <c r="Q44" s="2"/>
      <c r="R44" s="2"/>
      <c r="S44" s="2"/>
    </row>
    <row r="45" spans="1:19" x14ac:dyDescent="0.4">
      <c r="A45" s="32"/>
      <c r="B45" s="48"/>
      <c r="C45" s="43"/>
      <c r="D45" s="34"/>
      <c r="E45" s="41"/>
      <c r="F45" s="32"/>
      <c r="G45" s="1"/>
      <c r="H45" s="5"/>
      <c r="I45" s="17"/>
      <c r="J45" s="37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32"/>
      <c r="B46" s="48"/>
      <c r="C46" s="43"/>
      <c r="D46" s="34"/>
      <c r="E46" s="41"/>
      <c r="F46" s="32"/>
      <c r="G46" s="1"/>
      <c r="H46" s="5"/>
      <c r="I46" s="17"/>
      <c r="J46" s="37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32"/>
      <c r="B47" s="48"/>
      <c r="C47" s="43"/>
      <c r="D47" s="34"/>
      <c r="E47" s="41"/>
      <c r="F47" s="32"/>
      <c r="G47" s="1"/>
      <c r="H47" s="5"/>
      <c r="I47" s="17"/>
      <c r="J47" s="37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32"/>
      <c r="B48" s="48"/>
      <c r="C48" s="43"/>
      <c r="D48" s="34"/>
      <c r="E48" s="41"/>
      <c r="F48" s="32"/>
      <c r="G48" s="1"/>
      <c r="H48" s="5"/>
      <c r="I48" s="17"/>
      <c r="J48" s="37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32"/>
      <c r="B49" s="48"/>
      <c r="C49" s="43"/>
      <c r="D49" s="34"/>
      <c r="E49" s="41"/>
      <c r="F49" s="32"/>
      <c r="G49" s="1"/>
      <c r="H49" s="5"/>
      <c r="I49" s="17"/>
      <c r="J49" s="37"/>
      <c r="K49" s="5"/>
      <c r="L49" s="17"/>
      <c r="M49" s="1"/>
      <c r="N49" s="2"/>
      <c r="O49" s="5"/>
      <c r="P49" s="11"/>
      <c r="Q49" s="2"/>
      <c r="R49" s="2"/>
      <c r="S49" s="2"/>
    </row>
    <row r="50" spans="1:19" x14ac:dyDescent="0.4">
      <c r="A50" s="32"/>
      <c r="B50" s="48"/>
      <c r="C50" s="43"/>
      <c r="D50" s="34"/>
      <c r="E50" s="41"/>
      <c r="F50" s="32"/>
      <c r="G50" s="1"/>
      <c r="H50" s="5"/>
      <c r="I50" s="17"/>
      <c r="J50" s="37"/>
      <c r="K50" s="5"/>
      <c r="L50" s="17"/>
      <c r="M50" s="1"/>
      <c r="N50" s="2"/>
      <c r="O50" s="5"/>
      <c r="P50" s="11"/>
      <c r="Q50" s="2"/>
      <c r="R50" s="2"/>
      <c r="S50" s="2"/>
    </row>
    <row r="51" spans="1:19" x14ac:dyDescent="0.4">
      <c r="A51" s="32"/>
      <c r="B51" s="48"/>
      <c r="C51" s="43"/>
      <c r="D51" s="34"/>
      <c r="E51" s="41"/>
      <c r="F51" s="32"/>
      <c r="G51" s="1"/>
      <c r="H51" s="5"/>
      <c r="I51" s="17"/>
      <c r="J51" s="37"/>
      <c r="K51" s="5"/>
      <c r="L51" s="17"/>
      <c r="M51" s="1"/>
      <c r="N51" s="2"/>
      <c r="O51" s="5"/>
      <c r="P51" s="11"/>
      <c r="Q51" s="2"/>
      <c r="R51" s="2"/>
      <c r="S51" s="2"/>
    </row>
    <row r="52" spans="1:19" x14ac:dyDescent="0.4">
      <c r="A52" s="32"/>
      <c r="B52" s="48"/>
      <c r="C52" s="43"/>
      <c r="D52" s="34"/>
      <c r="E52" s="41"/>
      <c r="F52" s="32"/>
      <c r="G52" s="1"/>
      <c r="H52" s="5"/>
      <c r="I52" s="17"/>
      <c r="J52" s="37"/>
      <c r="K52" s="5"/>
      <c r="L52" s="17"/>
      <c r="M52" s="1"/>
      <c r="N52" s="2"/>
      <c r="O52" s="5"/>
      <c r="P52" s="11"/>
      <c r="Q52" s="2"/>
      <c r="R52" s="2"/>
      <c r="S52" s="2"/>
    </row>
    <row r="53" spans="1:19" x14ac:dyDescent="0.4">
      <c r="A53" s="32"/>
      <c r="B53" s="48"/>
      <c r="C53" s="43"/>
      <c r="D53" s="34"/>
      <c r="E53" s="41"/>
      <c r="F53" s="32"/>
      <c r="G53" s="1"/>
      <c r="H53" s="5"/>
      <c r="I53" s="17"/>
      <c r="J53" s="37"/>
      <c r="K53" s="5"/>
      <c r="L53" s="17"/>
      <c r="M53" s="1"/>
      <c r="N53" s="2"/>
      <c r="O53" s="5"/>
      <c r="P53" s="11"/>
      <c r="Q53" s="2"/>
      <c r="R53" s="2"/>
      <c r="S53" s="2"/>
    </row>
    <row r="54" spans="1:19" x14ac:dyDescent="0.4">
      <c r="A54" s="32"/>
      <c r="B54" s="48"/>
      <c r="C54" s="43"/>
      <c r="D54" s="34"/>
      <c r="E54" s="41"/>
      <c r="F54" s="32"/>
      <c r="G54" s="1"/>
      <c r="H54" s="5"/>
      <c r="I54" s="17"/>
      <c r="J54" s="37"/>
      <c r="K54" s="5"/>
      <c r="L54" s="17"/>
      <c r="M54" s="1"/>
      <c r="N54" s="2"/>
      <c r="O54" s="5"/>
      <c r="P54" s="11"/>
      <c r="Q54" s="2"/>
      <c r="R54" s="2"/>
      <c r="S54" s="2"/>
    </row>
    <row r="55" spans="1:19" x14ac:dyDescent="0.4">
      <c r="A55" s="32"/>
      <c r="B55" s="127"/>
      <c r="C55" s="43"/>
      <c r="D55" s="34"/>
      <c r="E55" s="41"/>
      <c r="F55" s="32"/>
    </row>
    <row r="56" spans="1:19" x14ac:dyDescent="0.4">
      <c r="A56" s="32"/>
      <c r="B56" s="127"/>
      <c r="C56" s="43"/>
      <c r="D56" s="34"/>
      <c r="E56" s="41"/>
      <c r="F56" s="32"/>
      <c r="G56" s="38"/>
    </row>
    <row r="57" spans="1:19" x14ac:dyDescent="0.4">
      <c r="A57" s="42"/>
      <c r="B57" s="128"/>
      <c r="C57" s="13"/>
      <c r="D57" s="40"/>
      <c r="E57" s="44"/>
    </row>
    <row r="58" spans="1:19" x14ac:dyDescent="0.4">
      <c r="A58" s="42"/>
      <c r="B58" s="128"/>
      <c r="C58" s="13"/>
      <c r="D58" s="40"/>
      <c r="E58" s="41"/>
    </row>
    <row r="59" spans="1:19" x14ac:dyDescent="0.4">
      <c r="A59" s="42"/>
      <c r="B59" s="128"/>
      <c r="C59" s="13"/>
      <c r="D59" s="40"/>
      <c r="E59" s="41"/>
    </row>
    <row r="60" spans="1:19" x14ac:dyDescent="0.4">
      <c r="A60" s="42"/>
      <c r="B60" s="128"/>
      <c r="C60" s="13"/>
      <c r="D60" s="40"/>
      <c r="E60" s="41"/>
    </row>
    <row r="61" spans="1:19" x14ac:dyDescent="0.4">
      <c r="A61" s="42"/>
      <c r="B61" s="128"/>
      <c r="C61" s="13"/>
      <c r="D61" s="40"/>
      <c r="E61" s="41"/>
    </row>
    <row r="62" spans="1:19" x14ac:dyDescent="0.4">
      <c r="A62" s="42"/>
      <c r="B62" s="128"/>
      <c r="C62" s="13"/>
      <c r="D62" s="40"/>
      <c r="E62" s="41"/>
    </row>
    <row r="63" spans="1:19" x14ac:dyDescent="0.4">
      <c r="E63" s="30"/>
    </row>
    <row r="64" spans="1:19" x14ac:dyDescent="0.4">
      <c r="E64" s="30"/>
    </row>
    <row r="65" spans="5:5" x14ac:dyDescent="0.4">
      <c r="E65" s="30"/>
    </row>
    <row r="66" spans="5:5" x14ac:dyDescent="0.4">
      <c r="E66" s="30"/>
    </row>
    <row r="67" spans="5:5" x14ac:dyDescent="0.4">
      <c r="E67" s="30"/>
    </row>
    <row r="68" spans="5:5" x14ac:dyDescent="0.4">
      <c r="E68" s="30"/>
    </row>
    <row r="69" spans="5:5" x14ac:dyDescent="0.4">
      <c r="E69" s="30"/>
    </row>
    <row r="70" spans="5:5" x14ac:dyDescent="0.4">
      <c r="E70" s="30"/>
    </row>
    <row r="71" spans="5:5" x14ac:dyDescent="0.4">
      <c r="E71" s="30"/>
    </row>
    <row r="72" spans="5:5" x14ac:dyDescent="0.4">
      <c r="E72" s="30"/>
    </row>
    <row r="73" spans="5:5" x14ac:dyDescent="0.4">
      <c r="E73" s="30"/>
    </row>
    <row r="74" spans="5:5" x14ac:dyDescent="0.4">
      <c r="E74" s="30"/>
    </row>
    <row r="75" spans="5:5" x14ac:dyDescent="0.4">
      <c r="E75" s="30"/>
    </row>
    <row r="76" spans="5:5" x14ac:dyDescent="0.4">
      <c r="E76" s="30"/>
    </row>
    <row r="77" spans="5:5" x14ac:dyDescent="0.4">
      <c r="E77" s="30"/>
    </row>
    <row r="78" spans="5:5" x14ac:dyDescent="0.4">
      <c r="E78" s="30"/>
    </row>
    <row r="79" spans="5:5" x14ac:dyDescent="0.4">
      <c r="E79" s="30"/>
    </row>
    <row r="80" spans="5:5" x14ac:dyDescent="0.4">
      <c r="E80" s="30"/>
    </row>
    <row r="81" spans="5:5" x14ac:dyDescent="0.4">
      <c r="E81" s="30"/>
    </row>
    <row r="82" spans="5:5" x14ac:dyDescent="0.4">
      <c r="E82" s="30"/>
    </row>
    <row r="83" spans="5:5" x14ac:dyDescent="0.4">
      <c r="E83" s="30"/>
    </row>
    <row r="84" spans="5:5" x14ac:dyDescent="0.4">
      <c r="E84" s="30"/>
    </row>
    <row r="85" spans="5:5" x14ac:dyDescent="0.4">
      <c r="E85" s="30"/>
    </row>
    <row r="86" spans="5:5" x14ac:dyDescent="0.4">
      <c r="E86" s="30"/>
    </row>
    <row r="87" spans="5:5" x14ac:dyDescent="0.4">
      <c r="E87" s="30"/>
    </row>
    <row r="88" spans="5:5" x14ac:dyDescent="0.4">
      <c r="E88" s="30"/>
    </row>
    <row r="89" spans="5:5" x14ac:dyDescent="0.4">
      <c r="E89" s="30"/>
    </row>
    <row r="90" spans="5:5" x14ac:dyDescent="0.4">
      <c r="E90" s="30"/>
    </row>
    <row r="91" spans="5:5" x14ac:dyDescent="0.4">
      <c r="E91" s="30"/>
    </row>
    <row r="92" spans="5:5" x14ac:dyDescent="0.4">
      <c r="E92" s="30"/>
    </row>
    <row r="93" spans="5:5" x14ac:dyDescent="0.4">
      <c r="E93" s="30"/>
    </row>
    <row r="94" spans="5:5" x14ac:dyDescent="0.4">
      <c r="E94" s="30"/>
    </row>
    <row r="95" spans="5:5" x14ac:dyDescent="0.4">
      <c r="E95" s="30"/>
    </row>
    <row r="96" spans="5:5" x14ac:dyDescent="0.4">
      <c r="E96" s="30"/>
    </row>
    <row r="97" spans="5:5" x14ac:dyDescent="0.4">
      <c r="E97" s="30"/>
    </row>
    <row r="98" spans="5:5" x14ac:dyDescent="0.4">
      <c r="E98" s="30"/>
    </row>
    <row r="99" spans="5:5" x14ac:dyDescent="0.4">
      <c r="E99" s="30"/>
    </row>
    <row r="100" spans="5:5" x14ac:dyDescent="0.4">
      <c r="E100" s="30"/>
    </row>
    <row r="101" spans="5:5" x14ac:dyDescent="0.4">
      <c r="E101" s="30"/>
    </row>
    <row r="102" spans="5:5" x14ac:dyDescent="0.4">
      <c r="E102" s="30"/>
    </row>
    <row r="103" spans="5:5" x14ac:dyDescent="0.4">
      <c r="E103" s="30"/>
    </row>
    <row r="104" spans="5:5" x14ac:dyDescent="0.4">
      <c r="E104" s="30"/>
    </row>
    <row r="105" spans="5:5" x14ac:dyDescent="0.4">
      <c r="E105" s="30"/>
    </row>
    <row r="106" spans="5:5" x14ac:dyDescent="0.4">
      <c r="E106" s="30"/>
    </row>
    <row r="107" spans="5:5" x14ac:dyDescent="0.4">
      <c r="E107" s="30"/>
    </row>
    <row r="108" spans="5:5" x14ac:dyDescent="0.4">
      <c r="E108" s="30"/>
    </row>
    <row r="109" spans="5:5" x14ac:dyDescent="0.4">
      <c r="E109" s="30"/>
    </row>
    <row r="110" spans="5:5" x14ac:dyDescent="0.4">
      <c r="E110" s="30"/>
    </row>
    <row r="111" spans="5:5" x14ac:dyDescent="0.4">
      <c r="E111" s="30"/>
    </row>
    <row r="112" spans="5:5" x14ac:dyDescent="0.4">
      <c r="E112" s="30"/>
    </row>
    <row r="113" spans="5:5" x14ac:dyDescent="0.4">
      <c r="E113" s="30"/>
    </row>
    <row r="114" spans="5:5" x14ac:dyDescent="0.4">
      <c r="E114" s="30"/>
    </row>
    <row r="115" spans="5:5" x14ac:dyDescent="0.4">
      <c r="E115" s="30"/>
    </row>
    <row r="116" spans="5:5" x14ac:dyDescent="0.4">
      <c r="E116" s="30"/>
    </row>
    <row r="117" spans="5:5" x14ac:dyDescent="0.4">
      <c r="E117" s="30"/>
    </row>
    <row r="118" spans="5:5" x14ac:dyDescent="0.4">
      <c r="E118" s="30"/>
    </row>
    <row r="119" spans="5:5" x14ac:dyDescent="0.4">
      <c r="E119" s="30"/>
    </row>
    <row r="120" spans="5:5" x14ac:dyDescent="0.4">
      <c r="E120" s="30"/>
    </row>
    <row r="121" spans="5:5" x14ac:dyDescent="0.4">
      <c r="E121" s="30"/>
    </row>
    <row r="122" spans="5:5" x14ac:dyDescent="0.4">
      <c r="E122" s="30"/>
    </row>
    <row r="123" spans="5:5" x14ac:dyDescent="0.4">
      <c r="E123" s="30"/>
    </row>
    <row r="124" spans="5:5" x14ac:dyDescent="0.4">
      <c r="E124" s="30"/>
    </row>
    <row r="125" spans="5:5" x14ac:dyDescent="0.4">
      <c r="E125" s="30"/>
    </row>
    <row r="126" spans="5:5" x14ac:dyDescent="0.4">
      <c r="E126" s="30"/>
    </row>
    <row r="127" spans="5:5" x14ac:dyDescent="0.4">
      <c r="E127" s="30"/>
    </row>
    <row r="128" spans="5:5" x14ac:dyDescent="0.4">
      <c r="E128" s="30"/>
    </row>
    <row r="129" spans="5:5" x14ac:dyDescent="0.4">
      <c r="E129" s="30"/>
    </row>
    <row r="130" spans="5:5" x14ac:dyDescent="0.4">
      <c r="E130" s="30"/>
    </row>
    <row r="131" spans="5:5" x14ac:dyDescent="0.4">
      <c r="E131" s="30"/>
    </row>
    <row r="132" spans="5:5" x14ac:dyDescent="0.4">
      <c r="E132" s="30"/>
    </row>
    <row r="133" spans="5:5" x14ac:dyDescent="0.4">
      <c r="E133" s="30"/>
    </row>
    <row r="134" spans="5:5" x14ac:dyDescent="0.4">
      <c r="E134" s="30"/>
    </row>
    <row r="135" spans="5:5" x14ac:dyDescent="0.4">
      <c r="E135" s="30"/>
    </row>
    <row r="136" spans="5:5" x14ac:dyDescent="0.4">
      <c r="E136" s="30"/>
    </row>
    <row r="137" spans="5:5" x14ac:dyDescent="0.4">
      <c r="E137" s="30"/>
    </row>
    <row r="138" spans="5:5" x14ac:dyDescent="0.4">
      <c r="E138" s="30"/>
    </row>
    <row r="139" spans="5:5" x14ac:dyDescent="0.4">
      <c r="E139" s="30"/>
    </row>
    <row r="140" spans="5:5" x14ac:dyDescent="0.4">
      <c r="E140" s="30"/>
    </row>
    <row r="141" spans="5:5" x14ac:dyDescent="0.4">
      <c r="E141" s="30"/>
    </row>
    <row r="142" spans="5:5" x14ac:dyDescent="0.4">
      <c r="E142" s="30"/>
    </row>
    <row r="143" spans="5:5" x14ac:dyDescent="0.4">
      <c r="E143" s="30"/>
    </row>
    <row r="144" spans="5:5" x14ac:dyDescent="0.4">
      <c r="E144" s="30"/>
    </row>
    <row r="145" spans="5:5" x14ac:dyDescent="0.4">
      <c r="E145" s="30"/>
    </row>
    <row r="146" spans="5:5" x14ac:dyDescent="0.4">
      <c r="E146" s="30"/>
    </row>
    <row r="147" spans="5:5" x14ac:dyDescent="0.4">
      <c r="E147" s="30"/>
    </row>
    <row r="148" spans="5:5" x14ac:dyDescent="0.4">
      <c r="E148" s="30"/>
    </row>
    <row r="149" spans="5:5" x14ac:dyDescent="0.4">
      <c r="E149" s="30"/>
    </row>
    <row r="150" spans="5:5" x14ac:dyDescent="0.4">
      <c r="E150" s="30"/>
    </row>
    <row r="151" spans="5:5" x14ac:dyDescent="0.4">
      <c r="E151" s="30"/>
    </row>
    <row r="152" spans="5:5" x14ac:dyDescent="0.4">
      <c r="E152" s="30"/>
    </row>
    <row r="153" spans="5:5" x14ac:dyDescent="0.4">
      <c r="E153" s="30"/>
    </row>
    <row r="154" spans="5:5" x14ac:dyDescent="0.4">
      <c r="E154" s="30"/>
    </row>
    <row r="155" spans="5:5" x14ac:dyDescent="0.4">
      <c r="E155" s="30"/>
    </row>
    <row r="156" spans="5:5" x14ac:dyDescent="0.4">
      <c r="E156" s="30"/>
    </row>
    <row r="157" spans="5:5" x14ac:dyDescent="0.4">
      <c r="E157" s="30"/>
    </row>
    <row r="158" spans="5:5" x14ac:dyDescent="0.4">
      <c r="E158" s="30"/>
    </row>
    <row r="159" spans="5:5" x14ac:dyDescent="0.4">
      <c r="E159" s="30"/>
    </row>
    <row r="160" spans="5:5" x14ac:dyDescent="0.4">
      <c r="E160" s="30"/>
    </row>
    <row r="161" spans="5:5" x14ac:dyDescent="0.4">
      <c r="E161" s="30"/>
    </row>
    <row r="162" spans="5:5" x14ac:dyDescent="0.4">
      <c r="E162" s="30"/>
    </row>
    <row r="163" spans="5:5" x14ac:dyDescent="0.4">
      <c r="E163" s="30"/>
    </row>
    <row r="164" spans="5:5" x14ac:dyDescent="0.4">
      <c r="E164" s="30"/>
    </row>
    <row r="165" spans="5:5" x14ac:dyDescent="0.4">
      <c r="E165" s="30"/>
    </row>
    <row r="166" spans="5:5" x14ac:dyDescent="0.4">
      <c r="E166" s="30"/>
    </row>
    <row r="167" spans="5:5" x14ac:dyDescent="0.4">
      <c r="E167" s="30"/>
    </row>
    <row r="168" spans="5:5" x14ac:dyDescent="0.4">
      <c r="E168" s="30"/>
    </row>
    <row r="169" spans="5:5" x14ac:dyDescent="0.4">
      <c r="E169" s="30"/>
    </row>
  </sheetData>
  <sheetProtection selectLockedCells="1"/>
  <mergeCells count="4">
    <mergeCell ref="A21:C21"/>
    <mergeCell ref="B3:N3"/>
    <mergeCell ref="C2:N2"/>
    <mergeCell ref="C5:L5"/>
  </mergeCells>
  <conditionalFormatting sqref="G9">
    <cfRule type="cellIs" dxfId="1050" priority="473" operator="equal">
      <formula>"CORRECT !"</formula>
    </cfRule>
  </conditionalFormatting>
  <conditionalFormatting sqref="G10">
    <cfRule type="cellIs" dxfId="1049" priority="472" operator="equal">
      <formula>"CORRECT !"</formula>
    </cfRule>
  </conditionalFormatting>
  <conditionalFormatting sqref="G11">
    <cfRule type="cellIs" dxfId="1048" priority="471" operator="equal">
      <formula>"CORRECT !"</formula>
    </cfRule>
  </conditionalFormatting>
  <conditionalFormatting sqref="G19">
    <cfRule type="cellIs" dxfId="1047" priority="407" operator="equal">
      <formula>"CORRECT !"</formula>
    </cfRule>
  </conditionalFormatting>
  <conditionalFormatting sqref="J13">
    <cfRule type="cellIs" dxfId="1046" priority="406" operator="equal">
      <formula>"CORRECT !"</formula>
    </cfRule>
  </conditionalFormatting>
  <conditionalFormatting sqref="D40">
    <cfRule type="cellIs" dxfId="1045" priority="350" operator="equal">
      <formula>"CORRECT !"</formula>
    </cfRule>
  </conditionalFormatting>
  <conditionalFormatting sqref="D41">
    <cfRule type="cellIs" dxfId="1044" priority="349" operator="equal">
      <formula>"CORRECT !"</formula>
    </cfRule>
  </conditionalFormatting>
  <conditionalFormatting sqref="D42">
    <cfRule type="cellIs" dxfId="1043" priority="348" operator="equal">
      <formula>"CORRECT !"</formula>
    </cfRule>
  </conditionalFormatting>
  <conditionalFormatting sqref="D43">
    <cfRule type="cellIs" dxfId="1042" priority="347" operator="equal">
      <formula>"CORRECT !"</formula>
    </cfRule>
  </conditionalFormatting>
  <conditionalFormatting sqref="D44">
    <cfRule type="cellIs" dxfId="1041" priority="346" operator="equal">
      <formula>"CORRECT !"</formula>
    </cfRule>
  </conditionalFormatting>
  <conditionalFormatting sqref="D45">
    <cfRule type="cellIs" dxfId="1040" priority="345" operator="equal">
      <formula>"CORRECT !"</formula>
    </cfRule>
  </conditionalFormatting>
  <conditionalFormatting sqref="D46">
    <cfRule type="cellIs" dxfId="1039" priority="344" operator="equal">
      <formula>"CORRECT !"</formula>
    </cfRule>
  </conditionalFormatting>
  <conditionalFormatting sqref="D47">
    <cfRule type="cellIs" dxfId="1038" priority="343" operator="equal">
      <formula>"CORRECT !"</formula>
    </cfRule>
  </conditionalFormatting>
  <conditionalFormatting sqref="D48">
    <cfRule type="cellIs" dxfId="1037" priority="342" operator="equal">
      <formula>"CORRECT !"</formula>
    </cfRule>
  </conditionalFormatting>
  <conditionalFormatting sqref="D49">
    <cfRule type="cellIs" dxfId="1036" priority="341" operator="equal">
      <formula>"CORRECT !"</formula>
    </cfRule>
  </conditionalFormatting>
  <conditionalFormatting sqref="D50">
    <cfRule type="cellIs" dxfId="1035" priority="340" operator="equal">
      <formula>"CORRECT !"</formula>
    </cfRule>
  </conditionalFormatting>
  <conditionalFormatting sqref="D51">
    <cfRule type="cellIs" dxfId="1034" priority="339" operator="equal">
      <formula>"CORRECT !"</formula>
    </cfRule>
  </conditionalFormatting>
  <conditionalFormatting sqref="D52">
    <cfRule type="cellIs" dxfId="1033" priority="338" operator="equal">
      <formula>"CORRECT !"</formula>
    </cfRule>
  </conditionalFormatting>
  <conditionalFormatting sqref="D53">
    <cfRule type="cellIs" dxfId="1032" priority="337" operator="equal">
      <formula>"CORRECT !"</formula>
    </cfRule>
  </conditionalFormatting>
  <conditionalFormatting sqref="D54">
    <cfRule type="cellIs" dxfId="1031" priority="336" operator="equal">
      <formula>"CORRECT !"</formula>
    </cfRule>
  </conditionalFormatting>
  <conditionalFormatting sqref="D55">
    <cfRule type="cellIs" dxfId="1030" priority="335" operator="equal">
      <formula>"CORRECT !"</formula>
    </cfRule>
  </conditionalFormatting>
  <conditionalFormatting sqref="D56">
    <cfRule type="cellIs" dxfId="1029" priority="334" operator="equal">
      <formula>"CORRECT !"</formula>
    </cfRule>
  </conditionalFormatting>
  <conditionalFormatting sqref="M7">
    <cfRule type="cellIs" dxfId="1028" priority="748" operator="equal">
      <formula>"CORRECT !"</formula>
    </cfRule>
  </conditionalFormatting>
  <conditionalFormatting sqref="M8">
    <cfRule type="cellIs" dxfId="1027" priority="747" operator="equal">
      <formula>"CORRECT !"</formula>
    </cfRule>
  </conditionalFormatting>
  <conditionalFormatting sqref="M9">
    <cfRule type="cellIs" dxfId="1026" priority="746" operator="equal">
      <formula>"CORRECT !"</formula>
    </cfRule>
  </conditionalFormatting>
  <conditionalFormatting sqref="M10">
    <cfRule type="cellIs" dxfId="1025" priority="745" operator="equal">
      <formula>"CORRECT !"</formula>
    </cfRule>
  </conditionalFormatting>
  <conditionalFormatting sqref="M11">
    <cfRule type="cellIs" dxfId="1024" priority="744" operator="equal">
      <formula>"CORRECT !"</formula>
    </cfRule>
  </conditionalFormatting>
  <conditionalFormatting sqref="M12">
    <cfRule type="cellIs" dxfId="1023" priority="743" operator="equal">
      <formula>"CORRECT !"</formula>
    </cfRule>
  </conditionalFormatting>
  <conditionalFormatting sqref="M13">
    <cfRule type="cellIs" dxfId="1022" priority="742" operator="equal">
      <formula>"CORRECT !"</formula>
    </cfRule>
  </conditionalFormatting>
  <conditionalFormatting sqref="M14">
    <cfRule type="cellIs" dxfId="1021" priority="741" operator="equal">
      <formula>"CORRECT !"</formula>
    </cfRule>
  </conditionalFormatting>
  <conditionalFormatting sqref="M15">
    <cfRule type="cellIs" dxfId="1020" priority="740" operator="equal">
      <formula>"CORRECT !"</formula>
    </cfRule>
  </conditionalFormatting>
  <conditionalFormatting sqref="M16">
    <cfRule type="cellIs" dxfId="1019" priority="739" operator="equal">
      <formula>"CORRECT !"</formula>
    </cfRule>
  </conditionalFormatting>
  <conditionalFormatting sqref="M17">
    <cfRule type="cellIs" dxfId="1018" priority="738" operator="equal">
      <formula>"CORRECT !"</formula>
    </cfRule>
  </conditionalFormatting>
  <conditionalFormatting sqref="M18">
    <cfRule type="cellIs" dxfId="1017" priority="737" operator="equal">
      <formula>"CORRECT !"</formula>
    </cfRule>
  </conditionalFormatting>
  <conditionalFormatting sqref="M19">
    <cfRule type="cellIs" dxfId="1016" priority="734" operator="equal">
      <formula>"CORRECT !"</formula>
    </cfRule>
  </conditionalFormatting>
  <conditionalFormatting sqref="G7">
    <cfRule type="cellIs" dxfId="1015" priority="733" operator="equal">
      <formula>"CORRECT !"</formula>
    </cfRule>
  </conditionalFormatting>
  <conditionalFormatting sqref="O37">
    <cfRule type="cellIs" dxfId="1014" priority="711" operator="equal">
      <formula>"CORRECT !"</formula>
    </cfRule>
  </conditionalFormatting>
  <conditionalFormatting sqref="O36">
    <cfRule type="cellIs" dxfId="1013" priority="712" operator="equal">
      <formula>"CORRECT !"</formula>
    </cfRule>
  </conditionalFormatting>
  <conditionalFormatting sqref="O38">
    <cfRule type="cellIs" dxfId="1012" priority="710" operator="equal">
      <formula>"CORRECT !"</formula>
    </cfRule>
  </conditionalFormatting>
  <conditionalFormatting sqref="O40">
    <cfRule type="cellIs" dxfId="1011" priority="708" operator="equal">
      <formula>"CORRECT !"</formula>
    </cfRule>
  </conditionalFormatting>
  <conditionalFormatting sqref="O26">
    <cfRule type="cellIs" dxfId="1010" priority="722" operator="equal">
      <formula>"CORRECT !"</formula>
    </cfRule>
  </conditionalFormatting>
  <conditionalFormatting sqref="O28">
    <cfRule type="cellIs" dxfId="1009" priority="720" operator="equal">
      <formula>"CORRECT !"</formula>
    </cfRule>
  </conditionalFormatting>
  <conditionalFormatting sqref="O30">
    <cfRule type="cellIs" dxfId="1008" priority="718" operator="equal">
      <formula>"CORRECT !"</formula>
    </cfRule>
  </conditionalFormatting>
  <conditionalFormatting sqref="O32">
    <cfRule type="cellIs" dxfId="1007" priority="716" operator="equal">
      <formula>"CORRECT !"</formula>
    </cfRule>
  </conditionalFormatting>
  <conditionalFormatting sqref="O34">
    <cfRule type="cellIs" dxfId="1006" priority="714" operator="equal">
      <formula>"CORRECT !"</formula>
    </cfRule>
  </conditionalFormatting>
  <conditionalFormatting sqref="O39">
    <cfRule type="cellIs" dxfId="1005" priority="709" operator="equal">
      <formula>"CORRECT !"</formula>
    </cfRule>
  </conditionalFormatting>
  <conditionalFormatting sqref="O25">
    <cfRule type="cellIs" dxfId="1004" priority="723" operator="equal">
      <formula>"CORRECT !"</formula>
    </cfRule>
  </conditionalFormatting>
  <conditionalFormatting sqref="O27">
    <cfRule type="cellIs" dxfId="1003" priority="721" operator="equal">
      <formula>"CORRECT !"</formula>
    </cfRule>
  </conditionalFormatting>
  <conditionalFormatting sqref="O29">
    <cfRule type="cellIs" dxfId="1002" priority="719" operator="equal">
      <formula>"CORRECT !"</formula>
    </cfRule>
  </conditionalFormatting>
  <conditionalFormatting sqref="O31">
    <cfRule type="cellIs" dxfId="1001" priority="717" operator="equal">
      <formula>"CORRECT !"</formula>
    </cfRule>
  </conditionalFormatting>
  <conditionalFormatting sqref="O33">
    <cfRule type="cellIs" dxfId="1000" priority="715" operator="equal">
      <formula>"CORRECT !"</formula>
    </cfRule>
  </conditionalFormatting>
  <conditionalFormatting sqref="O35">
    <cfRule type="cellIs" dxfId="999" priority="713" operator="equal">
      <formula>"CORRECT !"</formula>
    </cfRule>
  </conditionalFormatting>
  <conditionalFormatting sqref="J7">
    <cfRule type="cellIs" dxfId="998" priority="732" operator="equal">
      <formula>"CORRECT !"</formula>
    </cfRule>
  </conditionalFormatting>
  <conditionalFormatting sqref="I36">
    <cfRule type="cellIs" dxfId="997" priority="692" operator="equal">
      <formula>"CORRECT !"</formula>
    </cfRule>
  </conditionalFormatting>
  <conditionalFormatting sqref="I37">
    <cfRule type="cellIs" dxfId="996" priority="691" operator="equal">
      <formula>"CORRECT !"</formula>
    </cfRule>
  </conditionalFormatting>
  <conditionalFormatting sqref="I38">
    <cfRule type="cellIs" dxfId="995" priority="690" operator="equal">
      <formula>"CORRECT !"</formula>
    </cfRule>
  </conditionalFormatting>
  <conditionalFormatting sqref="I39">
    <cfRule type="cellIs" dxfId="994" priority="689" operator="equal">
      <formula>"CORRECT !"</formula>
    </cfRule>
  </conditionalFormatting>
  <conditionalFormatting sqref="I40">
    <cfRule type="cellIs" dxfId="993" priority="688" operator="equal">
      <formula>"CORRECT !"</formula>
    </cfRule>
  </conditionalFormatting>
  <conditionalFormatting sqref="I25">
    <cfRule type="cellIs" dxfId="992" priority="703" operator="equal">
      <formula>"CORRECT !"</formula>
    </cfRule>
  </conditionalFormatting>
  <conditionalFormatting sqref="I26">
    <cfRule type="cellIs" dxfId="991" priority="702" operator="equal">
      <formula>"CORRECT !"</formula>
    </cfRule>
  </conditionalFormatting>
  <conditionalFormatting sqref="I27">
    <cfRule type="cellIs" dxfId="990" priority="701" operator="equal">
      <formula>"CORRECT !"</formula>
    </cfRule>
  </conditionalFormatting>
  <conditionalFormatting sqref="I28">
    <cfRule type="cellIs" dxfId="989" priority="700" operator="equal">
      <formula>"CORRECT !"</formula>
    </cfRule>
  </conditionalFormatting>
  <conditionalFormatting sqref="I29">
    <cfRule type="cellIs" dxfId="988" priority="699" operator="equal">
      <formula>"CORRECT !"</formula>
    </cfRule>
  </conditionalFormatting>
  <conditionalFormatting sqref="I30">
    <cfRule type="cellIs" dxfId="987" priority="698" operator="equal">
      <formula>"CORRECT !"</formula>
    </cfRule>
  </conditionalFormatting>
  <conditionalFormatting sqref="I31">
    <cfRule type="cellIs" dxfId="986" priority="697" operator="equal">
      <formula>"CORRECT !"</formula>
    </cfRule>
  </conditionalFormatting>
  <conditionalFormatting sqref="I32">
    <cfRule type="cellIs" dxfId="985" priority="696" operator="equal">
      <formula>"CORRECT !"</formula>
    </cfRule>
  </conditionalFormatting>
  <conditionalFormatting sqref="I33">
    <cfRule type="cellIs" dxfId="984" priority="695" operator="equal">
      <formula>"CORRECT !"</formula>
    </cfRule>
  </conditionalFormatting>
  <conditionalFormatting sqref="I34">
    <cfRule type="cellIs" dxfId="983" priority="694" operator="equal">
      <formula>"CORRECT !"</formula>
    </cfRule>
  </conditionalFormatting>
  <conditionalFormatting sqref="I35">
    <cfRule type="cellIs" dxfId="982" priority="693" operator="equal">
      <formula>"CORRECT !"</formula>
    </cfRule>
  </conditionalFormatting>
  <conditionalFormatting sqref="P32">
    <cfRule type="cellIs" dxfId="981" priority="656" operator="equal">
      <formula>"CORRECT !"</formula>
    </cfRule>
  </conditionalFormatting>
  <conditionalFormatting sqref="P33">
    <cfRule type="cellIs" dxfId="980" priority="655" operator="equal">
      <formula>"CORRECT !"</formula>
    </cfRule>
  </conditionalFormatting>
  <conditionalFormatting sqref="G8">
    <cfRule type="cellIs" dxfId="979" priority="730" operator="equal">
      <formula>"CORRECT !"</formula>
    </cfRule>
  </conditionalFormatting>
  <conditionalFormatting sqref="J8">
    <cfRule type="cellIs" dxfId="978" priority="729" operator="equal">
      <formula>"CORRECT !"</formula>
    </cfRule>
  </conditionalFormatting>
  <conditionalFormatting sqref="G12">
    <cfRule type="cellIs" dxfId="977" priority="728" operator="equal">
      <formula>"CORRECT !"</formula>
    </cfRule>
  </conditionalFormatting>
  <conditionalFormatting sqref="J12">
    <cfRule type="cellIs" dxfId="976" priority="727" operator="equal">
      <formula>"CORRECT !"</formula>
    </cfRule>
  </conditionalFormatting>
  <conditionalFormatting sqref="O23">
    <cfRule type="cellIs" dxfId="975" priority="726" operator="equal">
      <formula>"CORRECT !"</formula>
    </cfRule>
  </conditionalFormatting>
  <conditionalFormatting sqref="D23">
    <cfRule type="cellIs" dxfId="974" priority="725" operator="equal">
      <formula>"CORRECT !"</formula>
    </cfRule>
  </conditionalFormatting>
  <conditionalFormatting sqref="O24">
    <cfRule type="cellIs" dxfId="973" priority="724" operator="equal">
      <formula>"CORRECT !"</formula>
    </cfRule>
  </conditionalFormatting>
  <conditionalFormatting sqref="O41">
    <cfRule type="cellIs" dxfId="972" priority="707" operator="equal">
      <formula>"CORRECT !"</formula>
    </cfRule>
  </conditionalFormatting>
  <conditionalFormatting sqref="O42">
    <cfRule type="cellIs" dxfId="971" priority="706" operator="equal">
      <formula>"CORRECT !"</formula>
    </cfRule>
  </conditionalFormatting>
  <conditionalFormatting sqref="I23">
    <cfRule type="cellIs" dxfId="970" priority="705" operator="equal">
      <formula>"CORRECT !"</formula>
    </cfRule>
  </conditionalFormatting>
  <conditionalFormatting sqref="I24">
    <cfRule type="cellIs" dxfId="969" priority="704" operator="equal">
      <formula>"CORRECT !"</formula>
    </cfRule>
  </conditionalFormatting>
  <conditionalFormatting sqref="I42">
    <cfRule type="cellIs" dxfId="968" priority="686" operator="equal">
      <formula>"CORRECT !"</formula>
    </cfRule>
  </conditionalFormatting>
  <conditionalFormatting sqref="I41">
    <cfRule type="cellIs" dxfId="967" priority="687" operator="equal">
      <formula>"CORRECT !"</formula>
    </cfRule>
  </conditionalFormatting>
  <conditionalFormatting sqref="L23">
    <cfRule type="cellIs" dxfId="966" priority="685" operator="equal">
      <formula>"CORRECT !"</formula>
    </cfRule>
  </conditionalFormatting>
  <conditionalFormatting sqref="L24">
    <cfRule type="cellIs" dxfId="965" priority="684" operator="equal">
      <formula>"CORRECT !"</formula>
    </cfRule>
  </conditionalFormatting>
  <conditionalFormatting sqref="L25">
    <cfRule type="cellIs" dxfId="964" priority="683" operator="equal">
      <formula>"CORRECT !"</formula>
    </cfRule>
  </conditionalFormatting>
  <conditionalFormatting sqref="L26">
    <cfRule type="cellIs" dxfId="963" priority="682" operator="equal">
      <formula>"CORRECT !"</formula>
    </cfRule>
  </conditionalFormatting>
  <conditionalFormatting sqref="L27">
    <cfRule type="cellIs" dxfId="962" priority="681" operator="equal">
      <formula>"CORRECT !"</formula>
    </cfRule>
  </conditionalFormatting>
  <conditionalFormatting sqref="L28">
    <cfRule type="cellIs" dxfId="961" priority="680" operator="equal">
      <formula>"CORRECT !"</formula>
    </cfRule>
  </conditionalFormatting>
  <conditionalFormatting sqref="L29">
    <cfRule type="cellIs" dxfId="960" priority="679" operator="equal">
      <formula>"CORRECT !"</formula>
    </cfRule>
  </conditionalFormatting>
  <conditionalFormatting sqref="L30">
    <cfRule type="cellIs" dxfId="959" priority="678" operator="equal">
      <formula>"CORRECT !"</formula>
    </cfRule>
  </conditionalFormatting>
  <conditionalFormatting sqref="L31">
    <cfRule type="cellIs" dxfId="958" priority="677" operator="equal">
      <formula>"CORRECT !"</formula>
    </cfRule>
  </conditionalFormatting>
  <conditionalFormatting sqref="L32">
    <cfRule type="cellIs" dxfId="957" priority="676" operator="equal">
      <formula>"CORRECT !"</formula>
    </cfRule>
  </conditionalFormatting>
  <conditionalFormatting sqref="L33">
    <cfRule type="cellIs" dxfId="956" priority="675" operator="equal">
      <formula>"CORRECT !"</formula>
    </cfRule>
  </conditionalFormatting>
  <conditionalFormatting sqref="L34">
    <cfRule type="cellIs" dxfId="955" priority="674" operator="equal">
      <formula>"CORRECT !"</formula>
    </cfRule>
  </conditionalFormatting>
  <conditionalFormatting sqref="L35">
    <cfRule type="cellIs" dxfId="954" priority="673" operator="equal">
      <formula>"CORRECT !"</formula>
    </cfRule>
  </conditionalFormatting>
  <conditionalFormatting sqref="L36">
    <cfRule type="cellIs" dxfId="953" priority="672" operator="equal">
      <formula>"CORRECT !"</formula>
    </cfRule>
  </conditionalFormatting>
  <conditionalFormatting sqref="L37">
    <cfRule type="cellIs" dxfId="952" priority="671" operator="equal">
      <formula>"CORRECT !"</formula>
    </cfRule>
  </conditionalFormatting>
  <conditionalFormatting sqref="L38">
    <cfRule type="cellIs" dxfId="951" priority="670" operator="equal">
      <formula>"CORRECT !"</formula>
    </cfRule>
  </conditionalFormatting>
  <conditionalFormatting sqref="L39">
    <cfRule type="cellIs" dxfId="950" priority="669" operator="equal">
      <formula>"CORRECT !"</formula>
    </cfRule>
  </conditionalFormatting>
  <conditionalFormatting sqref="L40">
    <cfRule type="cellIs" dxfId="949" priority="668" operator="equal">
      <formula>"CORRECT !"</formula>
    </cfRule>
  </conditionalFormatting>
  <conditionalFormatting sqref="L41">
    <cfRule type="cellIs" dxfId="948" priority="667" operator="equal">
      <formula>"CORRECT !"</formula>
    </cfRule>
  </conditionalFormatting>
  <conditionalFormatting sqref="L42">
    <cfRule type="cellIs" dxfId="947" priority="666" operator="equal">
      <formula>"CORRECT !"</formula>
    </cfRule>
  </conditionalFormatting>
  <conditionalFormatting sqref="P23">
    <cfRule type="cellIs" dxfId="946" priority="665" operator="equal">
      <formula>"CORRECT !"</formula>
    </cfRule>
  </conditionalFormatting>
  <conditionalFormatting sqref="P24">
    <cfRule type="cellIs" dxfId="945" priority="664" operator="equal">
      <formula>"CORRECT !"</formula>
    </cfRule>
  </conditionalFormatting>
  <conditionalFormatting sqref="P25">
    <cfRule type="cellIs" dxfId="944" priority="663" operator="equal">
      <formula>"CORRECT !"</formula>
    </cfRule>
  </conditionalFormatting>
  <conditionalFormatting sqref="P26">
    <cfRule type="cellIs" dxfId="943" priority="662" operator="equal">
      <formula>"CORRECT !"</formula>
    </cfRule>
  </conditionalFormatting>
  <conditionalFormatting sqref="P27">
    <cfRule type="cellIs" dxfId="942" priority="661" operator="equal">
      <formula>"CORRECT !"</formula>
    </cfRule>
  </conditionalFormatting>
  <conditionalFormatting sqref="P28">
    <cfRule type="cellIs" dxfId="941" priority="660" operator="equal">
      <formula>"CORRECT !"</formula>
    </cfRule>
  </conditionalFormatting>
  <conditionalFormatting sqref="P29">
    <cfRule type="cellIs" dxfId="940" priority="659" operator="equal">
      <formula>"CORRECT !"</formula>
    </cfRule>
  </conditionalFormatting>
  <conditionalFormatting sqref="P30">
    <cfRule type="cellIs" dxfId="939" priority="658" operator="equal">
      <formula>"CORRECT !"</formula>
    </cfRule>
  </conditionalFormatting>
  <conditionalFormatting sqref="P31">
    <cfRule type="cellIs" dxfId="938" priority="657" operator="equal">
      <formula>"CORRECT !"</formula>
    </cfRule>
  </conditionalFormatting>
  <conditionalFormatting sqref="P34">
    <cfRule type="cellIs" dxfId="937" priority="654" operator="equal">
      <formula>"CORRECT !"</formula>
    </cfRule>
  </conditionalFormatting>
  <conditionalFormatting sqref="P35">
    <cfRule type="cellIs" dxfId="936" priority="653" operator="equal">
      <formula>"CORRECT !"</formula>
    </cfRule>
  </conditionalFormatting>
  <conditionalFormatting sqref="P36">
    <cfRule type="cellIs" dxfId="935" priority="652" operator="equal">
      <formula>"CORRECT !"</formula>
    </cfRule>
  </conditionalFormatting>
  <conditionalFormatting sqref="P37">
    <cfRule type="cellIs" dxfId="934" priority="651" operator="equal">
      <formula>"CORRECT !"</formula>
    </cfRule>
  </conditionalFormatting>
  <conditionalFormatting sqref="P38">
    <cfRule type="cellIs" dxfId="933" priority="650" operator="equal">
      <formula>"CORRECT !"</formula>
    </cfRule>
  </conditionalFormatting>
  <conditionalFormatting sqref="P39">
    <cfRule type="cellIs" dxfId="932" priority="649" operator="equal">
      <formula>"CORRECT !"</formula>
    </cfRule>
  </conditionalFormatting>
  <conditionalFormatting sqref="P40">
    <cfRule type="cellIs" dxfId="931" priority="648" operator="equal">
      <formula>"CORRECT !"</formula>
    </cfRule>
  </conditionalFormatting>
  <conditionalFormatting sqref="P41">
    <cfRule type="cellIs" dxfId="930" priority="647" operator="equal">
      <formula>"CORRECT !"</formula>
    </cfRule>
  </conditionalFormatting>
  <conditionalFormatting sqref="P42">
    <cfRule type="cellIs" dxfId="929" priority="646" operator="equal">
      <formula>"CORRECT !"</formula>
    </cfRule>
  </conditionalFormatting>
  <conditionalFormatting sqref="E23">
    <cfRule type="expression" dxfId="928" priority="645">
      <formula>$P$1&lt;&gt;""</formula>
    </cfRule>
  </conditionalFormatting>
  <conditionalFormatting sqref="D25">
    <cfRule type="cellIs" dxfId="927" priority="632" operator="equal">
      <formula>"CORRECT !"</formula>
    </cfRule>
  </conditionalFormatting>
  <conditionalFormatting sqref="D24">
    <cfRule type="cellIs" dxfId="926" priority="630" operator="equal">
      <formula>"CORRECT !"</formula>
    </cfRule>
  </conditionalFormatting>
  <conditionalFormatting sqref="E58">
    <cfRule type="expression" dxfId="925" priority="629">
      <formula>$P$1&lt;&gt;""</formula>
    </cfRule>
  </conditionalFormatting>
  <conditionalFormatting sqref="E59">
    <cfRule type="expression" dxfId="924" priority="628">
      <formula>$P$1&lt;&gt;""</formula>
    </cfRule>
  </conditionalFormatting>
  <conditionalFormatting sqref="E60">
    <cfRule type="expression" dxfId="923" priority="627">
      <formula>$P$1&lt;&gt;""</formula>
    </cfRule>
  </conditionalFormatting>
  <conditionalFormatting sqref="E61">
    <cfRule type="expression" dxfId="922" priority="626">
      <formula>$P$1&lt;&gt;""</formula>
    </cfRule>
  </conditionalFormatting>
  <conditionalFormatting sqref="E62">
    <cfRule type="expression" dxfId="921" priority="625">
      <formula>$P$1&lt;&gt;""</formula>
    </cfRule>
  </conditionalFormatting>
  <conditionalFormatting sqref="E63">
    <cfRule type="expression" dxfId="920" priority="624">
      <formula>$P$1&lt;&gt;""</formula>
    </cfRule>
  </conditionalFormatting>
  <conditionalFormatting sqref="E64">
    <cfRule type="expression" dxfId="919" priority="623">
      <formula>$P$1&lt;&gt;""</formula>
    </cfRule>
  </conditionalFormatting>
  <conditionalFormatting sqref="E65">
    <cfRule type="expression" dxfId="918" priority="622">
      <formula>$P$1&lt;&gt;""</formula>
    </cfRule>
  </conditionalFormatting>
  <conditionalFormatting sqref="E66">
    <cfRule type="expression" dxfId="917" priority="621">
      <formula>$P$1&lt;&gt;""</formula>
    </cfRule>
  </conditionalFormatting>
  <conditionalFormatting sqref="E67">
    <cfRule type="expression" dxfId="916" priority="620">
      <formula>$P$1&lt;&gt;""</formula>
    </cfRule>
  </conditionalFormatting>
  <conditionalFormatting sqref="E68">
    <cfRule type="expression" dxfId="915" priority="619">
      <formula>$P$1&lt;&gt;""</formula>
    </cfRule>
  </conditionalFormatting>
  <conditionalFormatting sqref="E69">
    <cfRule type="expression" dxfId="914" priority="618">
      <formula>$P$1&lt;&gt;""</formula>
    </cfRule>
  </conditionalFormatting>
  <conditionalFormatting sqref="E70">
    <cfRule type="expression" dxfId="913" priority="617">
      <formula>$P$1&lt;&gt;""</formula>
    </cfRule>
  </conditionalFormatting>
  <conditionalFormatting sqref="E71">
    <cfRule type="expression" dxfId="912" priority="616">
      <formula>$P$1&lt;&gt;""</formula>
    </cfRule>
  </conditionalFormatting>
  <conditionalFormatting sqref="E72">
    <cfRule type="expression" dxfId="911" priority="615">
      <formula>$P$1&lt;&gt;""</formula>
    </cfRule>
  </conditionalFormatting>
  <conditionalFormatting sqref="E73">
    <cfRule type="expression" dxfId="910" priority="614">
      <formula>$P$1&lt;&gt;""</formula>
    </cfRule>
  </conditionalFormatting>
  <conditionalFormatting sqref="E74">
    <cfRule type="expression" dxfId="909" priority="613">
      <formula>$P$1&lt;&gt;""</formula>
    </cfRule>
  </conditionalFormatting>
  <conditionalFormatting sqref="E75">
    <cfRule type="expression" dxfId="908" priority="612">
      <formula>$P$1&lt;&gt;""</formula>
    </cfRule>
  </conditionalFormatting>
  <conditionalFormatting sqref="E76">
    <cfRule type="expression" dxfId="907" priority="611">
      <formula>$P$1&lt;&gt;""</formula>
    </cfRule>
  </conditionalFormatting>
  <conditionalFormatting sqref="E77">
    <cfRule type="expression" dxfId="906" priority="610">
      <formula>$P$1&lt;&gt;""</formula>
    </cfRule>
  </conditionalFormatting>
  <conditionalFormatting sqref="E78">
    <cfRule type="expression" dxfId="905" priority="609">
      <formula>$P$1&lt;&gt;""</formula>
    </cfRule>
  </conditionalFormatting>
  <conditionalFormatting sqref="E79">
    <cfRule type="expression" dxfId="904" priority="608">
      <formula>$P$1&lt;&gt;""</formula>
    </cfRule>
  </conditionalFormatting>
  <conditionalFormatting sqref="E80">
    <cfRule type="expression" dxfId="903" priority="607">
      <formula>$P$1&lt;&gt;""</formula>
    </cfRule>
  </conditionalFormatting>
  <conditionalFormatting sqref="E81">
    <cfRule type="expression" dxfId="902" priority="606">
      <formula>$P$1&lt;&gt;""</formula>
    </cfRule>
  </conditionalFormatting>
  <conditionalFormatting sqref="E82">
    <cfRule type="expression" dxfId="901" priority="605">
      <formula>$P$1&lt;&gt;""</formula>
    </cfRule>
  </conditionalFormatting>
  <conditionalFormatting sqref="E83">
    <cfRule type="expression" dxfId="900" priority="604">
      <formula>$P$1&lt;&gt;""</formula>
    </cfRule>
  </conditionalFormatting>
  <conditionalFormatting sqref="E84">
    <cfRule type="expression" dxfId="899" priority="603">
      <formula>$P$1&lt;&gt;""</formula>
    </cfRule>
  </conditionalFormatting>
  <conditionalFormatting sqref="E85">
    <cfRule type="expression" dxfId="898" priority="602">
      <formula>$P$1&lt;&gt;""</formula>
    </cfRule>
  </conditionalFormatting>
  <conditionalFormatting sqref="E86">
    <cfRule type="expression" dxfId="897" priority="601">
      <formula>$P$1&lt;&gt;""</formula>
    </cfRule>
  </conditionalFormatting>
  <conditionalFormatting sqref="E87">
    <cfRule type="expression" dxfId="896" priority="600">
      <formula>$P$1&lt;&gt;""</formula>
    </cfRule>
  </conditionalFormatting>
  <conditionalFormatting sqref="E88">
    <cfRule type="expression" dxfId="895" priority="599">
      <formula>$P$1&lt;&gt;""</formula>
    </cfRule>
  </conditionalFormatting>
  <conditionalFormatting sqref="E89">
    <cfRule type="expression" dxfId="894" priority="598">
      <formula>$P$1&lt;&gt;""</formula>
    </cfRule>
  </conditionalFormatting>
  <conditionalFormatting sqref="E90">
    <cfRule type="expression" dxfId="893" priority="597">
      <formula>$P$1&lt;&gt;""</formula>
    </cfRule>
  </conditionalFormatting>
  <conditionalFormatting sqref="E91">
    <cfRule type="expression" dxfId="892" priority="596">
      <formula>$P$1&lt;&gt;""</formula>
    </cfRule>
  </conditionalFormatting>
  <conditionalFormatting sqref="E92">
    <cfRule type="expression" dxfId="891" priority="595">
      <formula>$P$1&lt;&gt;""</formula>
    </cfRule>
  </conditionalFormatting>
  <conditionalFormatting sqref="E93">
    <cfRule type="expression" dxfId="890" priority="594">
      <formula>$P$1&lt;&gt;""</formula>
    </cfRule>
  </conditionalFormatting>
  <conditionalFormatting sqref="E94">
    <cfRule type="expression" dxfId="889" priority="593">
      <formula>$P$1&lt;&gt;""</formula>
    </cfRule>
  </conditionalFormatting>
  <conditionalFormatting sqref="E95">
    <cfRule type="expression" dxfId="888" priority="592">
      <formula>$P$1&lt;&gt;""</formula>
    </cfRule>
  </conditionalFormatting>
  <conditionalFormatting sqref="E96">
    <cfRule type="expression" dxfId="887" priority="591">
      <formula>$P$1&lt;&gt;""</formula>
    </cfRule>
  </conditionalFormatting>
  <conditionalFormatting sqref="E97">
    <cfRule type="expression" dxfId="886" priority="590">
      <formula>$P$1&lt;&gt;""</formula>
    </cfRule>
  </conditionalFormatting>
  <conditionalFormatting sqref="E98">
    <cfRule type="expression" dxfId="885" priority="589">
      <formula>$P$1&lt;&gt;""</formula>
    </cfRule>
  </conditionalFormatting>
  <conditionalFormatting sqref="E99">
    <cfRule type="expression" dxfId="884" priority="588">
      <formula>$P$1&lt;&gt;""</formula>
    </cfRule>
  </conditionalFormatting>
  <conditionalFormatting sqref="E100">
    <cfRule type="expression" dxfId="883" priority="587">
      <formula>$P$1&lt;&gt;""</formula>
    </cfRule>
  </conditionalFormatting>
  <conditionalFormatting sqref="E101">
    <cfRule type="expression" dxfId="882" priority="586">
      <formula>$P$1&lt;&gt;""</formula>
    </cfRule>
  </conditionalFormatting>
  <conditionalFormatting sqref="E102">
    <cfRule type="expression" dxfId="881" priority="585">
      <formula>$P$1&lt;&gt;""</formula>
    </cfRule>
  </conditionalFormatting>
  <conditionalFormatting sqref="E103">
    <cfRule type="expression" dxfId="880" priority="584">
      <formula>$P$1&lt;&gt;""</formula>
    </cfRule>
  </conditionalFormatting>
  <conditionalFormatting sqref="E104">
    <cfRule type="expression" dxfId="879" priority="583">
      <formula>$P$1&lt;&gt;""</formula>
    </cfRule>
  </conditionalFormatting>
  <conditionalFormatting sqref="E105">
    <cfRule type="expression" dxfId="878" priority="582">
      <formula>$P$1&lt;&gt;""</formula>
    </cfRule>
  </conditionalFormatting>
  <conditionalFormatting sqref="E106">
    <cfRule type="expression" dxfId="877" priority="581">
      <formula>$P$1&lt;&gt;""</formula>
    </cfRule>
  </conditionalFormatting>
  <conditionalFormatting sqref="E107">
    <cfRule type="expression" dxfId="876" priority="580">
      <formula>$P$1&lt;&gt;""</formula>
    </cfRule>
  </conditionalFormatting>
  <conditionalFormatting sqref="E108">
    <cfRule type="expression" dxfId="875" priority="579">
      <formula>$P$1&lt;&gt;""</formula>
    </cfRule>
  </conditionalFormatting>
  <conditionalFormatting sqref="E109">
    <cfRule type="expression" dxfId="874" priority="578">
      <formula>$P$1&lt;&gt;""</formula>
    </cfRule>
  </conditionalFormatting>
  <conditionalFormatting sqref="E110">
    <cfRule type="expression" dxfId="873" priority="577">
      <formula>$P$1&lt;&gt;""</formula>
    </cfRule>
  </conditionalFormatting>
  <conditionalFormatting sqref="E111">
    <cfRule type="expression" dxfId="872" priority="576">
      <formula>$P$1&lt;&gt;""</formula>
    </cfRule>
  </conditionalFormatting>
  <conditionalFormatting sqref="E112">
    <cfRule type="expression" dxfId="871" priority="575">
      <formula>$P$1&lt;&gt;""</formula>
    </cfRule>
  </conditionalFormatting>
  <conditionalFormatting sqref="E113">
    <cfRule type="expression" dxfId="870" priority="574">
      <formula>$P$1&lt;&gt;""</formula>
    </cfRule>
  </conditionalFormatting>
  <conditionalFormatting sqref="E114">
    <cfRule type="expression" dxfId="869" priority="573">
      <formula>$P$1&lt;&gt;""</formula>
    </cfRule>
  </conditionalFormatting>
  <conditionalFormatting sqref="E115">
    <cfRule type="expression" dxfId="868" priority="572">
      <formula>$P$1&lt;&gt;""</formula>
    </cfRule>
  </conditionalFormatting>
  <conditionalFormatting sqref="E116">
    <cfRule type="expression" dxfId="867" priority="571">
      <formula>$P$1&lt;&gt;""</formula>
    </cfRule>
  </conditionalFormatting>
  <conditionalFormatting sqref="E117">
    <cfRule type="expression" dxfId="866" priority="570">
      <formula>$P$1&lt;&gt;""</formula>
    </cfRule>
  </conditionalFormatting>
  <conditionalFormatting sqref="E118">
    <cfRule type="expression" dxfId="865" priority="569">
      <formula>$P$1&lt;&gt;""</formula>
    </cfRule>
  </conditionalFormatting>
  <conditionalFormatting sqref="E119">
    <cfRule type="expression" dxfId="864" priority="568">
      <formula>$P$1&lt;&gt;""</formula>
    </cfRule>
  </conditionalFormatting>
  <conditionalFormatting sqref="E120">
    <cfRule type="expression" dxfId="863" priority="567">
      <formula>$P$1&lt;&gt;""</formula>
    </cfRule>
  </conditionalFormatting>
  <conditionalFormatting sqref="E121">
    <cfRule type="expression" dxfId="862" priority="566">
      <formula>$P$1&lt;&gt;""</formula>
    </cfRule>
  </conditionalFormatting>
  <conditionalFormatting sqref="E122">
    <cfRule type="expression" dxfId="861" priority="565">
      <formula>$P$1&lt;&gt;""</formula>
    </cfRule>
  </conditionalFormatting>
  <conditionalFormatting sqref="E123">
    <cfRule type="expression" dxfId="860" priority="564">
      <formula>$P$1&lt;&gt;""</formula>
    </cfRule>
  </conditionalFormatting>
  <conditionalFormatting sqref="E124">
    <cfRule type="expression" dxfId="859" priority="563">
      <formula>$P$1&lt;&gt;""</formula>
    </cfRule>
  </conditionalFormatting>
  <conditionalFormatting sqref="E125">
    <cfRule type="expression" dxfId="858" priority="562">
      <formula>$P$1&lt;&gt;""</formula>
    </cfRule>
  </conditionalFormatting>
  <conditionalFormatting sqref="E126">
    <cfRule type="expression" dxfId="857" priority="561">
      <formula>$P$1&lt;&gt;""</formula>
    </cfRule>
  </conditionalFormatting>
  <conditionalFormatting sqref="E127">
    <cfRule type="expression" dxfId="856" priority="560">
      <formula>$P$1&lt;&gt;""</formula>
    </cfRule>
  </conditionalFormatting>
  <conditionalFormatting sqref="E128">
    <cfRule type="expression" dxfId="855" priority="559">
      <formula>$P$1&lt;&gt;""</formula>
    </cfRule>
  </conditionalFormatting>
  <conditionalFormatting sqref="E129">
    <cfRule type="expression" dxfId="854" priority="558">
      <formula>$P$1&lt;&gt;""</formula>
    </cfRule>
  </conditionalFormatting>
  <conditionalFormatting sqref="E130">
    <cfRule type="expression" dxfId="853" priority="557">
      <formula>$P$1&lt;&gt;""</formula>
    </cfRule>
  </conditionalFormatting>
  <conditionalFormatting sqref="E131">
    <cfRule type="expression" dxfId="852" priority="556">
      <formula>$P$1&lt;&gt;""</formula>
    </cfRule>
  </conditionalFormatting>
  <conditionalFormatting sqref="E132">
    <cfRule type="expression" dxfId="851" priority="555">
      <formula>$P$1&lt;&gt;""</formula>
    </cfRule>
  </conditionalFormatting>
  <conditionalFormatting sqref="E133">
    <cfRule type="expression" dxfId="850" priority="554">
      <formula>$P$1&lt;&gt;""</formula>
    </cfRule>
  </conditionalFormatting>
  <conditionalFormatting sqref="E134">
    <cfRule type="expression" dxfId="849" priority="553">
      <formula>$P$1&lt;&gt;""</formula>
    </cfRule>
  </conditionalFormatting>
  <conditionalFormatting sqref="E135">
    <cfRule type="expression" dxfId="848" priority="552">
      <formula>$P$1&lt;&gt;""</formula>
    </cfRule>
  </conditionalFormatting>
  <conditionalFormatting sqref="E136">
    <cfRule type="expression" dxfId="847" priority="551">
      <formula>$P$1&lt;&gt;""</formula>
    </cfRule>
  </conditionalFormatting>
  <conditionalFormatting sqref="E137">
    <cfRule type="expression" dxfId="846" priority="550">
      <formula>$P$1&lt;&gt;""</formula>
    </cfRule>
  </conditionalFormatting>
  <conditionalFormatting sqref="E138">
    <cfRule type="expression" dxfId="845" priority="549">
      <formula>$P$1&lt;&gt;""</formula>
    </cfRule>
  </conditionalFormatting>
  <conditionalFormatting sqref="E139">
    <cfRule type="expression" dxfId="844" priority="548">
      <formula>$P$1&lt;&gt;""</formula>
    </cfRule>
  </conditionalFormatting>
  <conditionalFormatting sqref="E140">
    <cfRule type="expression" dxfId="843" priority="547">
      <formula>$P$1&lt;&gt;""</formula>
    </cfRule>
  </conditionalFormatting>
  <conditionalFormatting sqref="E141">
    <cfRule type="expression" dxfId="842" priority="546">
      <formula>$P$1&lt;&gt;""</formula>
    </cfRule>
  </conditionalFormatting>
  <conditionalFormatting sqref="E142">
    <cfRule type="expression" dxfId="841" priority="545">
      <formula>$P$1&lt;&gt;""</formula>
    </cfRule>
  </conditionalFormatting>
  <conditionalFormatting sqref="E143">
    <cfRule type="expression" dxfId="840" priority="544">
      <formula>$P$1&lt;&gt;""</formula>
    </cfRule>
  </conditionalFormatting>
  <conditionalFormatting sqref="E144">
    <cfRule type="expression" dxfId="839" priority="543">
      <formula>$P$1&lt;&gt;""</formula>
    </cfRule>
  </conditionalFormatting>
  <conditionalFormatting sqref="E145">
    <cfRule type="expression" dxfId="838" priority="542">
      <formula>$P$1&lt;&gt;""</formula>
    </cfRule>
  </conditionalFormatting>
  <conditionalFormatting sqref="E146">
    <cfRule type="expression" dxfId="837" priority="541">
      <formula>$P$1&lt;&gt;""</formula>
    </cfRule>
  </conditionalFormatting>
  <conditionalFormatting sqref="E147">
    <cfRule type="expression" dxfId="836" priority="540">
      <formula>$P$1&lt;&gt;""</formula>
    </cfRule>
  </conditionalFormatting>
  <conditionalFormatting sqref="E148">
    <cfRule type="expression" dxfId="835" priority="539">
      <formula>$P$1&lt;&gt;""</formula>
    </cfRule>
  </conditionalFormatting>
  <conditionalFormatting sqref="E149">
    <cfRule type="expression" dxfId="834" priority="538">
      <formula>$P$1&lt;&gt;""</formula>
    </cfRule>
  </conditionalFormatting>
  <conditionalFormatting sqref="E150">
    <cfRule type="expression" dxfId="833" priority="537">
      <formula>$P$1&lt;&gt;""</formula>
    </cfRule>
  </conditionalFormatting>
  <conditionalFormatting sqref="E151">
    <cfRule type="expression" dxfId="832" priority="536">
      <formula>$P$1&lt;&gt;""</formula>
    </cfRule>
  </conditionalFormatting>
  <conditionalFormatting sqref="E152">
    <cfRule type="expression" dxfId="831" priority="535">
      <formula>$P$1&lt;&gt;""</formula>
    </cfRule>
  </conditionalFormatting>
  <conditionalFormatting sqref="E153">
    <cfRule type="expression" dxfId="830" priority="534">
      <formula>$P$1&lt;&gt;""</formula>
    </cfRule>
  </conditionalFormatting>
  <conditionalFormatting sqref="E154">
    <cfRule type="expression" dxfId="829" priority="533">
      <formula>$P$1&lt;&gt;""</formula>
    </cfRule>
  </conditionalFormatting>
  <conditionalFormatting sqref="E155">
    <cfRule type="expression" dxfId="828" priority="532">
      <formula>$P$1&lt;&gt;""</formula>
    </cfRule>
  </conditionalFormatting>
  <conditionalFormatting sqref="E156">
    <cfRule type="expression" dxfId="827" priority="531">
      <formula>$P$1&lt;&gt;""</formula>
    </cfRule>
  </conditionalFormatting>
  <conditionalFormatting sqref="E157">
    <cfRule type="expression" dxfId="826" priority="530">
      <formula>$P$1&lt;&gt;""</formula>
    </cfRule>
  </conditionalFormatting>
  <conditionalFormatting sqref="E158">
    <cfRule type="expression" dxfId="825" priority="529">
      <formula>$P$1&lt;&gt;""</formula>
    </cfRule>
  </conditionalFormatting>
  <conditionalFormatting sqref="E159">
    <cfRule type="expression" dxfId="824" priority="528">
      <formula>$P$1&lt;&gt;""</formula>
    </cfRule>
  </conditionalFormatting>
  <conditionalFormatting sqref="E160">
    <cfRule type="expression" dxfId="823" priority="527">
      <formula>$P$1&lt;&gt;""</formula>
    </cfRule>
  </conditionalFormatting>
  <conditionalFormatting sqref="E161">
    <cfRule type="expression" dxfId="822" priority="526">
      <formula>$P$1&lt;&gt;""</formula>
    </cfRule>
  </conditionalFormatting>
  <conditionalFormatting sqref="E162">
    <cfRule type="expression" dxfId="821" priority="525">
      <formula>$P$1&lt;&gt;""</formula>
    </cfRule>
  </conditionalFormatting>
  <conditionalFormatting sqref="E163">
    <cfRule type="expression" dxfId="820" priority="524">
      <formula>$P$1&lt;&gt;""</formula>
    </cfRule>
  </conditionalFormatting>
  <conditionalFormatting sqref="E164">
    <cfRule type="expression" dxfId="819" priority="523">
      <formula>$P$1&lt;&gt;""</formula>
    </cfRule>
  </conditionalFormatting>
  <conditionalFormatting sqref="E165">
    <cfRule type="expression" dxfId="818" priority="522">
      <formula>$P$1&lt;&gt;""</formula>
    </cfRule>
  </conditionalFormatting>
  <conditionalFormatting sqref="E166">
    <cfRule type="expression" dxfId="817" priority="521">
      <formula>$P$1&lt;&gt;""</formula>
    </cfRule>
  </conditionalFormatting>
  <conditionalFormatting sqref="E167">
    <cfRule type="expression" dxfId="816" priority="520">
      <formula>$P$1&lt;&gt;""</formula>
    </cfRule>
  </conditionalFormatting>
  <conditionalFormatting sqref="E168">
    <cfRule type="expression" dxfId="815" priority="519">
      <formula>$P$1&lt;&gt;""</formula>
    </cfRule>
  </conditionalFormatting>
  <conditionalFormatting sqref="E169">
    <cfRule type="expression" dxfId="814" priority="518">
      <formula>$P$1&lt;&gt;""</formula>
    </cfRule>
  </conditionalFormatting>
  <conditionalFormatting sqref="E6">
    <cfRule type="expression" dxfId="813" priority="517">
      <formula>$P$1&lt;&gt;""</formula>
    </cfRule>
  </conditionalFormatting>
  <conditionalFormatting sqref="E21">
    <cfRule type="expression" dxfId="812" priority="515">
      <formula>$P$1&lt;&gt;""</formula>
    </cfRule>
  </conditionalFormatting>
  <conditionalFormatting sqref="E22">
    <cfRule type="expression" dxfId="811" priority="514">
      <formula>$P$1&lt;&gt;""</formula>
    </cfRule>
  </conditionalFormatting>
  <conditionalFormatting sqref="J9">
    <cfRule type="cellIs" dxfId="810" priority="444" operator="equal">
      <formula>"CORRECT !"</formula>
    </cfRule>
  </conditionalFormatting>
  <conditionalFormatting sqref="J10">
    <cfRule type="cellIs" dxfId="809" priority="443" operator="equal">
      <formula>"CORRECT !"</formula>
    </cfRule>
  </conditionalFormatting>
  <conditionalFormatting sqref="J11">
    <cfRule type="cellIs" dxfId="808" priority="442" operator="equal">
      <formula>"CORRECT !"</formula>
    </cfRule>
  </conditionalFormatting>
  <conditionalFormatting sqref="G13">
    <cfRule type="cellIs" dxfId="807" priority="415" operator="equal">
      <formula>"CORRECT !"</formula>
    </cfRule>
  </conditionalFormatting>
  <conditionalFormatting sqref="G14">
    <cfRule type="cellIs" dxfId="806" priority="414" operator="equal">
      <formula>"CORRECT !"</formula>
    </cfRule>
  </conditionalFormatting>
  <conditionalFormatting sqref="G15">
    <cfRule type="cellIs" dxfId="805" priority="413" operator="equal">
      <formula>"CORRECT !"</formula>
    </cfRule>
  </conditionalFormatting>
  <conditionalFormatting sqref="G16">
    <cfRule type="cellIs" dxfId="804" priority="412" operator="equal">
      <formula>"CORRECT !"</formula>
    </cfRule>
  </conditionalFormatting>
  <conditionalFormatting sqref="G17">
    <cfRule type="cellIs" dxfId="803" priority="411" operator="equal">
      <formula>"CORRECT !"</formula>
    </cfRule>
  </conditionalFormatting>
  <conditionalFormatting sqref="G18">
    <cfRule type="cellIs" dxfId="802" priority="410" operator="equal">
      <formula>"CORRECT !"</formula>
    </cfRule>
  </conditionalFormatting>
  <conditionalFormatting sqref="J14">
    <cfRule type="cellIs" dxfId="801" priority="405" operator="equal">
      <formula>"CORRECT !"</formula>
    </cfRule>
  </conditionalFormatting>
  <conditionalFormatting sqref="J15">
    <cfRule type="cellIs" dxfId="800" priority="404" operator="equal">
      <formula>"CORRECT !"</formula>
    </cfRule>
  </conditionalFormatting>
  <conditionalFormatting sqref="J16">
    <cfRule type="cellIs" dxfId="799" priority="403" operator="equal">
      <formula>"CORRECT !"</formula>
    </cfRule>
  </conditionalFormatting>
  <conditionalFormatting sqref="J17">
    <cfRule type="cellIs" dxfId="798" priority="402" operator="equal">
      <formula>"CORRECT !"</formula>
    </cfRule>
  </conditionalFormatting>
  <conditionalFormatting sqref="J18">
    <cfRule type="cellIs" dxfId="797" priority="401" operator="equal">
      <formula>"CORRECT !"</formula>
    </cfRule>
  </conditionalFormatting>
  <conditionalFormatting sqref="J19">
    <cfRule type="cellIs" dxfId="796" priority="398" operator="equal">
      <formula>"CORRECT !"</formula>
    </cfRule>
  </conditionalFormatting>
  <conditionalFormatting sqref="E24">
    <cfRule type="expression" dxfId="795" priority="397">
      <formula>$P$1&lt;&gt;""</formula>
    </cfRule>
  </conditionalFormatting>
  <conditionalFormatting sqref="E25">
    <cfRule type="expression" dxfId="794" priority="396">
      <formula>$P$1&lt;&gt;""</formula>
    </cfRule>
  </conditionalFormatting>
  <conditionalFormatting sqref="E26">
    <cfRule type="expression" dxfId="793" priority="395">
      <formula>$P$1&lt;&gt;""</formula>
    </cfRule>
  </conditionalFormatting>
  <conditionalFormatting sqref="E27">
    <cfRule type="expression" dxfId="792" priority="394">
      <formula>$P$1&lt;&gt;""</formula>
    </cfRule>
  </conditionalFormatting>
  <conditionalFormatting sqref="E28">
    <cfRule type="expression" dxfId="791" priority="393">
      <formula>$P$1&lt;&gt;""</formula>
    </cfRule>
  </conditionalFormatting>
  <conditionalFormatting sqref="E29">
    <cfRule type="expression" dxfId="790" priority="392">
      <formula>$P$1&lt;&gt;""</formula>
    </cfRule>
  </conditionalFormatting>
  <conditionalFormatting sqref="E30">
    <cfRule type="expression" dxfId="789" priority="391">
      <formula>$P$1&lt;&gt;""</formula>
    </cfRule>
  </conditionalFormatting>
  <conditionalFormatting sqref="E31">
    <cfRule type="expression" dxfId="788" priority="390">
      <formula>$P$1&lt;&gt;""</formula>
    </cfRule>
  </conditionalFormatting>
  <conditionalFormatting sqref="E32">
    <cfRule type="expression" dxfId="787" priority="389">
      <formula>$P$1&lt;&gt;""</formula>
    </cfRule>
  </conditionalFormatting>
  <conditionalFormatting sqref="E33">
    <cfRule type="expression" dxfId="786" priority="388">
      <formula>$P$1&lt;&gt;""</formula>
    </cfRule>
  </conditionalFormatting>
  <conditionalFormatting sqref="E34">
    <cfRule type="expression" dxfId="785" priority="387">
      <formula>$P$1&lt;&gt;""</formula>
    </cfRule>
  </conditionalFormatting>
  <conditionalFormatting sqref="E35">
    <cfRule type="expression" dxfId="784" priority="386">
      <formula>$P$1&lt;&gt;""</formula>
    </cfRule>
  </conditionalFormatting>
  <conditionalFormatting sqref="E36">
    <cfRule type="expression" dxfId="783" priority="385">
      <formula>$P$1&lt;&gt;""</formula>
    </cfRule>
  </conditionalFormatting>
  <conditionalFormatting sqref="E37">
    <cfRule type="expression" dxfId="782" priority="384">
      <formula>$P$1&lt;&gt;""</formula>
    </cfRule>
  </conditionalFormatting>
  <conditionalFormatting sqref="E38">
    <cfRule type="expression" dxfId="781" priority="383">
      <formula>$P$1&lt;&gt;""</formula>
    </cfRule>
  </conditionalFormatting>
  <conditionalFormatting sqref="E39">
    <cfRule type="expression" dxfId="780" priority="382">
      <formula>$P$1&lt;&gt;""</formula>
    </cfRule>
  </conditionalFormatting>
  <conditionalFormatting sqref="E40">
    <cfRule type="expression" dxfId="779" priority="381">
      <formula>$P$1&lt;&gt;""</formula>
    </cfRule>
  </conditionalFormatting>
  <conditionalFormatting sqref="E41">
    <cfRule type="expression" dxfId="778" priority="380">
      <formula>$P$1&lt;&gt;""</formula>
    </cfRule>
  </conditionalFormatting>
  <conditionalFormatting sqref="E42">
    <cfRule type="expression" dxfId="777" priority="379">
      <formula>$P$1&lt;&gt;""</formula>
    </cfRule>
  </conditionalFormatting>
  <conditionalFormatting sqref="E43">
    <cfRule type="expression" dxfId="776" priority="378">
      <formula>$P$1&lt;&gt;""</formula>
    </cfRule>
  </conditionalFormatting>
  <conditionalFormatting sqref="E44">
    <cfRule type="expression" dxfId="775" priority="377">
      <formula>$P$1&lt;&gt;""</formula>
    </cfRule>
  </conditionalFormatting>
  <conditionalFormatting sqref="E45">
    <cfRule type="expression" dxfId="774" priority="376">
      <formula>$P$1&lt;&gt;""</formula>
    </cfRule>
  </conditionalFormatting>
  <conditionalFormatting sqref="E46">
    <cfRule type="expression" dxfId="773" priority="375">
      <formula>$P$1&lt;&gt;""</formula>
    </cfRule>
  </conditionalFormatting>
  <conditionalFormatting sqref="E47">
    <cfRule type="expression" dxfId="772" priority="374">
      <formula>$P$1&lt;&gt;""</formula>
    </cfRule>
  </conditionalFormatting>
  <conditionalFormatting sqref="E48">
    <cfRule type="expression" dxfId="771" priority="373">
      <formula>$P$1&lt;&gt;""</formula>
    </cfRule>
  </conditionalFormatting>
  <conditionalFormatting sqref="E49">
    <cfRule type="expression" dxfId="770" priority="372">
      <formula>$P$1&lt;&gt;""</formula>
    </cfRule>
  </conditionalFormatting>
  <conditionalFormatting sqref="E50">
    <cfRule type="expression" dxfId="769" priority="371">
      <formula>$P$1&lt;&gt;""</formula>
    </cfRule>
  </conditionalFormatting>
  <conditionalFormatting sqref="E51">
    <cfRule type="expression" dxfId="768" priority="370">
      <formula>$P$1&lt;&gt;""</formula>
    </cfRule>
  </conditionalFormatting>
  <conditionalFormatting sqref="E52">
    <cfRule type="expression" dxfId="767" priority="369">
      <formula>$P$1&lt;&gt;""</formula>
    </cfRule>
  </conditionalFormatting>
  <conditionalFormatting sqref="E53">
    <cfRule type="expression" dxfId="766" priority="368">
      <formula>$P$1&lt;&gt;""</formula>
    </cfRule>
  </conditionalFormatting>
  <conditionalFormatting sqref="E54">
    <cfRule type="expression" dxfId="765" priority="367">
      <formula>$P$1&lt;&gt;""</formula>
    </cfRule>
  </conditionalFormatting>
  <conditionalFormatting sqref="E55">
    <cfRule type="expression" dxfId="764" priority="366">
      <formula>$P$1&lt;&gt;""</formula>
    </cfRule>
  </conditionalFormatting>
  <conditionalFormatting sqref="E56">
    <cfRule type="expression" dxfId="763" priority="365">
      <formula>$P$1&lt;&gt;""</formula>
    </cfRule>
  </conditionalFormatting>
  <conditionalFormatting sqref="D26">
    <cfRule type="cellIs" dxfId="762" priority="364" operator="equal">
      <formula>"CORRECT !"</formula>
    </cfRule>
  </conditionalFormatting>
  <conditionalFormatting sqref="D27">
    <cfRule type="cellIs" dxfId="761" priority="363" operator="equal">
      <formula>"CORRECT !"</formula>
    </cfRule>
  </conditionalFormatting>
  <conditionalFormatting sqref="D28">
    <cfRule type="cellIs" dxfId="760" priority="362" operator="equal">
      <formula>"CORRECT !"</formula>
    </cfRule>
  </conditionalFormatting>
  <conditionalFormatting sqref="D29">
    <cfRule type="cellIs" dxfId="759" priority="361" operator="equal">
      <formula>"CORRECT !"</formula>
    </cfRule>
  </conditionalFormatting>
  <conditionalFormatting sqref="D30">
    <cfRule type="cellIs" dxfId="758" priority="360" operator="equal">
      <formula>"CORRECT !"</formula>
    </cfRule>
  </conditionalFormatting>
  <conditionalFormatting sqref="D31">
    <cfRule type="cellIs" dxfId="757" priority="359" operator="equal">
      <formula>"CORRECT !"</formula>
    </cfRule>
  </conditionalFormatting>
  <conditionalFormatting sqref="D32">
    <cfRule type="cellIs" dxfId="756" priority="358" operator="equal">
      <formula>"CORRECT !"</formula>
    </cfRule>
  </conditionalFormatting>
  <conditionalFormatting sqref="D33">
    <cfRule type="cellIs" dxfId="755" priority="357" operator="equal">
      <formula>"CORRECT !"</formula>
    </cfRule>
  </conditionalFormatting>
  <conditionalFormatting sqref="D34">
    <cfRule type="cellIs" dxfId="754" priority="356" operator="equal">
      <formula>"CORRECT !"</formula>
    </cfRule>
  </conditionalFormatting>
  <conditionalFormatting sqref="D35">
    <cfRule type="cellIs" dxfId="753" priority="355" operator="equal">
      <formula>"CORRECT !"</formula>
    </cfRule>
  </conditionalFormatting>
  <conditionalFormatting sqref="D36">
    <cfRule type="cellIs" dxfId="752" priority="354" operator="equal">
      <formula>"CORRECT !"</formula>
    </cfRule>
  </conditionalFormatting>
  <conditionalFormatting sqref="D37">
    <cfRule type="cellIs" dxfId="751" priority="353" operator="equal">
      <formula>"CORRECT !"</formula>
    </cfRule>
  </conditionalFormatting>
  <conditionalFormatting sqref="D38">
    <cfRule type="cellIs" dxfId="750" priority="352" operator="equal">
      <formula>"CORRECT !"</formula>
    </cfRule>
  </conditionalFormatting>
  <conditionalFormatting sqref="D39">
    <cfRule type="cellIs" dxfId="749" priority="351" operator="equal">
      <formula>"CORRECT !"</formula>
    </cfRule>
  </conditionalFormatting>
  <conditionalFormatting sqref="K19">
    <cfRule type="expression" dxfId="748" priority="157">
      <formula>AND($L19="y",$C19&lt;&gt;$K19)</formula>
    </cfRule>
    <cfRule type="expression" dxfId="747" priority="158">
      <formula>AND($L19="y",$C19=$K19)</formula>
    </cfRule>
  </conditionalFormatting>
  <conditionalFormatting sqref="E19">
    <cfRule type="expression" dxfId="746" priority="123">
      <formula>AND($F19&lt;&gt;"",$C19&lt;&gt;$E19)</formula>
    </cfRule>
    <cfRule type="expression" dxfId="745" priority="124">
      <formula>AND($F19="y",$C19=$E19)</formula>
    </cfRule>
  </conditionalFormatting>
  <conditionalFormatting sqref="H19">
    <cfRule type="expression" dxfId="744" priority="97">
      <formula>AND($I19&lt;&gt;"",$H19&lt;&gt;$C19)</formula>
    </cfRule>
    <cfRule type="expression" dxfId="743" priority="98">
      <formula>AND($I19="y",$C19=$H19)</formula>
    </cfRule>
  </conditionalFormatting>
  <conditionalFormatting sqref="E7">
    <cfRule type="expression" dxfId="742" priority="749">
      <formula>AND($F7&lt;&gt;"",$C7&lt;&gt;$E7)+$Q$15</formula>
    </cfRule>
    <cfRule type="expression" dxfId="741" priority="750">
      <formula>AND($F7="y",$C7=$E7)</formula>
    </cfRule>
  </conditionalFormatting>
  <conditionalFormatting sqref="H7">
    <cfRule type="expression" dxfId="740" priority="69">
      <formula>AND($I7&lt;&gt;"",$C7&lt;&gt;$H7)</formula>
    </cfRule>
    <cfRule type="expression" dxfId="739" priority="70">
      <formula>AND($I7="y",$C7=$H7)</formula>
    </cfRule>
  </conditionalFormatting>
  <conditionalFormatting sqref="K7">
    <cfRule type="expression" dxfId="738" priority="67">
      <formula>AND($L7&lt;&gt;"",$C7&lt;&gt;$K7)</formula>
    </cfRule>
    <cfRule type="expression" dxfId="737" priority="68">
      <formula>AND($L7="y",$C7=$K7)</formula>
    </cfRule>
  </conditionalFormatting>
  <conditionalFormatting sqref="H8">
    <cfRule type="expression" dxfId="736" priority="65">
      <formula>AND($I8&lt;&gt;"",$C8&lt;&gt;$H8)</formula>
    </cfRule>
    <cfRule type="expression" dxfId="735" priority="66">
      <formula>AND($I8="y",$C8=$H8)</formula>
    </cfRule>
  </conditionalFormatting>
  <conditionalFormatting sqref="K8">
    <cfRule type="expression" dxfId="734" priority="63">
      <formula>AND($L8&lt;&gt;"",$C8&lt;&gt;$K8)</formula>
    </cfRule>
    <cfRule type="expression" dxfId="733" priority="64">
      <formula>AND($L8="y",$C8=$K8)</formula>
    </cfRule>
  </conditionalFormatting>
  <conditionalFormatting sqref="E8">
    <cfRule type="expression" dxfId="732" priority="61">
      <formula>AND($F8&lt;&gt;"",$C8&lt;&gt;$E8)</formula>
    </cfRule>
    <cfRule type="expression" dxfId="731" priority="62">
      <formula>AND($F8="y",$C8=$E8)</formula>
    </cfRule>
  </conditionalFormatting>
  <conditionalFormatting sqref="E9">
    <cfRule type="expression" dxfId="730" priority="59">
      <formula>AND($F9&lt;&gt;"",$C9&lt;&gt;$E9)</formula>
    </cfRule>
    <cfRule type="expression" dxfId="729" priority="60">
      <formula>AND($F9="y",$C9=$E9)</formula>
    </cfRule>
  </conditionalFormatting>
  <conditionalFormatting sqref="E10">
    <cfRule type="expression" dxfId="728" priority="57">
      <formula>AND($F10&lt;&gt;"",$C10&lt;&gt;$E10)</formula>
    </cfRule>
    <cfRule type="expression" dxfId="727" priority="58">
      <formula>AND($F10="y",$C10=$E10)</formula>
    </cfRule>
  </conditionalFormatting>
  <conditionalFormatting sqref="E11">
    <cfRule type="expression" dxfId="726" priority="55">
      <formula>AND($F11&lt;&gt;"",$C11&lt;&gt;$E11)</formula>
    </cfRule>
    <cfRule type="expression" dxfId="725" priority="56">
      <formula>AND($F11="y",$C11=$E11)</formula>
    </cfRule>
  </conditionalFormatting>
  <conditionalFormatting sqref="E12">
    <cfRule type="expression" dxfId="724" priority="53">
      <formula>AND($F12&lt;&gt;"",$C12&lt;&gt;$E12)</formula>
    </cfRule>
    <cfRule type="expression" dxfId="723" priority="54">
      <formula>AND($F12="y",$C12=$E12)</formula>
    </cfRule>
  </conditionalFormatting>
  <conditionalFormatting sqref="E13">
    <cfRule type="expression" dxfId="722" priority="51">
      <formula>AND($F13&lt;&gt;"",$C13&lt;&gt;$E13)</formula>
    </cfRule>
    <cfRule type="expression" dxfId="721" priority="52">
      <formula>AND($F13="y",$C13=$E13)</formula>
    </cfRule>
  </conditionalFormatting>
  <conditionalFormatting sqref="E14">
    <cfRule type="expression" dxfId="720" priority="49">
      <formula>AND($F14&lt;&gt;"",$C14&lt;&gt;$E14)</formula>
    </cfRule>
    <cfRule type="expression" dxfId="719" priority="50">
      <formula>AND($F14="y",$C14=$E14)</formula>
    </cfRule>
  </conditionalFormatting>
  <conditionalFormatting sqref="E15">
    <cfRule type="expression" dxfId="718" priority="47">
      <formula>AND($F15&lt;&gt;"",$C15&lt;&gt;$E15)</formula>
    </cfRule>
    <cfRule type="expression" dxfId="717" priority="48">
      <formula>AND($F15="y",$C15=$E15)</formula>
    </cfRule>
  </conditionalFormatting>
  <conditionalFormatting sqref="E16">
    <cfRule type="expression" dxfId="716" priority="45">
      <formula>AND($F16&lt;&gt;"",$C16&lt;&gt;$E16)</formula>
    </cfRule>
    <cfRule type="expression" dxfId="715" priority="46">
      <formula>AND($F16="y",$C16=$E16)</formula>
    </cfRule>
  </conditionalFormatting>
  <conditionalFormatting sqref="E17">
    <cfRule type="expression" dxfId="714" priority="43">
      <formula>AND($F17&lt;&gt;"",$C17&lt;&gt;$E17)</formula>
    </cfRule>
    <cfRule type="expression" dxfId="713" priority="44">
      <formula>AND($F17="y",$C17=$E17)</formula>
    </cfRule>
  </conditionalFormatting>
  <conditionalFormatting sqref="E18">
    <cfRule type="expression" dxfId="712" priority="41">
      <formula>AND($F18&lt;&gt;"",$C18&lt;&gt;$E18)</formula>
    </cfRule>
    <cfRule type="expression" dxfId="711" priority="42">
      <formula>AND($F18="y",$C18=$E18)</formula>
    </cfRule>
  </conditionalFormatting>
  <conditionalFormatting sqref="H9">
    <cfRule type="expression" dxfId="710" priority="39">
      <formula>AND($I9&lt;&gt;"",$C9&lt;&gt;$H9)</formula>
    </cfRule>
    <cfRule type="expression" dxfId="709" priority="40">
      <formula>AND($I9="y",$C9=$H9)</formula>
    </cfRule>
  </conditionalFormatting>
  <conditionalFormatting sqref="H10">
    <cfRule type="expression" dxfId="708" priority="37">
      <formula>AND($I10&lt;&gt;"",$C10&lt;&gt;$H10)</formula>
    </cfRule>
    <cfRule type="expression" dxfId="707" priority="38">
      <formula>AND($I10="y",$C10=$H10)</formula>
    </cfRule>
  </conditionalFormatting>
  <conditionalFormatting sqref="H11">
    <cfRule type="expression" dxfId="706" priority="35">
      <formula>AND($I11&lt;&gt;"",$C11&lt;&gt;$H11)</formula>
    </cfRule>
    <cfRule type="expression" dxfId="705" priority="36">
      <formula>AND($I11="y",$C11=$H11)</formula>
    </cfRule>
  </conditionalFormatting>
  <conditionalFormatting sqref="H12">
    <cfRule type="expression" dxfId="704" priority="33">
      <formula>AND($I12&lt;&gt;"",$C12&lt;&gt;$H12)</formula>
    </cfRule>
    <cfRule type="expression" dxfId="703" priority="34">
      <formula>AND($I12="y",$C12=$H12)</formula>
    </cfRule>
  </conditionalFormatting>
  <conditionalFormatting sqref="H13">
    <cfRule type="expression" dxfId="702" priority="31">
      <formula>AND($I13&lt;&gt;"",$C13&lt;&gt;$H13)</formula>
    </cfRule>
    <cfRule type="expression" dxfId="701" priority="32">
      <formula>AND($I13="y",$C13=$H13)</formula>
    </cfRule>
  </conditionalFormatting>
  <conditionalFormatting sqref="H14">
    <cfRule type="expression" dxfId="700" priority="29">
      <formula>AND($I14&lt;&gt;"",$C14&lt;&gt;$H14)</formula>
    </cfRule>
    <cfRule type="expression" dxfId="699" priority="30">
      <formula>AND($I14="y",$C14=$H14)</formula>
    </cfRule>
  </conditionalFormatting>
  <conditionalFormatting sqref="H15">
    <cfRule type="expression" dxfId="698" priority="27">
      <formula>AND($I15&lt;&gt;"",$C15&lt;&gt;$H15)</formula>
    </cfRule>
    <cfRule type="expression" dxfId="697" priority="28">
      <formula>AND($I15="y",$C15=$H15)</formula>
    </cfRule>
  </conditionalFormatting>
  <conditionalFormatting sqref="H16">
    <cfRule type="expression" dxfId="696" priority="25">
      <formula>AND($I16&lt;&gt;"",$C16&lt;&gt;$H16)</formula>
    </cfRule>
    <cfRule type="expression" dxfId="695" priority="26">
      <formula>AND($I16="y",$C16=$H16)</formula>
    </cfRule>
  </conditionalFormatting>
  <conditionalFormatting sqref="H17">
    <cfRule type="expression" dxfId="694" priority="23">
      <formula>AND($I17&lt;&gt;"",$C17&lt;&gt;$H17)</formula>
    </cfRule>
    <cfRule type="expression" dxfId="693" priority="24">
      <formula>AND($I17="y",$C17=$H17)</formula>
    </cfRule>
  </conditionalFormatting>
  <conditionalFormatting sqref="H18">
    <cfRule type="expression" dxfId="692" priority="21">
      <formula>AND($I18&lt;&gt;"",$C18&lt;&gt;$H18)</formula>
    </cfRule>
    <cfRule type="expression" dxfId="691" priority="22">
      <formula>AND($I18="y",$C18=$H18)</formula>
    </cfRule>
  </conditionalFormatting>
  <conditionalFormatting sqref="K9">
    <cfRule type="expression" dxfId="690" priority="19">
      <formula>AND($L9&lt;&gt;"",$C9&lt;&gt;$K9)</formula>
    </cfRule>
    <cfRule type="expression" dxfId="689" priority="20">
      <formula>AND($L9="y",$C9=$K9)</formula>
    </cfRule>
  </conditionalFormatting>
  <conditionalFormatting sqref="K10">
    <cfRule type="expression" dxfId="688" priority="17">
      <formula>AND($L10&lt;&gt;"",$C10&lt;&gt;$K10)</formula>
    </cfRule>
    <cfRule type="expression" dxfId="687" priority="18">
      <formula>AND($L10="y",$C10=$K10)</formula>
    </cfRule>
  </conditionalFormatting>
  <conditionalFormatting sqref="K11">
    <cfRule type="expression" dxfId="686" priority="15">
      <formula>AND($L11&lt;&gt;"",$C11&lt;&gt;$K11)</formula>
    </cfRule>
    <cfRule type="expression" dxfId="685" priority="16">
      <formula>AND($L11="y",$C11=$K11)</formula>
    </cfRule>
  </conditionalFormatting>
  <conditionalFormatting sqref="K12">
    <cfRule type="expression" dxfId="684" priority="13">
      <formula>AND($L12&lt;&gt;"",$C12&lt;&gt;$K12)</formula>
    </cfRule>
    <cfRule type="expression" dxfId="683" priority="14">
      <formula>AND($L12="y",$C12=$K12)</formula>
    </cfRule>
  </conditionalFormatting>
  <conditionalFormatting sqref="K13">
    <cfRule type="expression" dxfId="682" priority="11">
      <formula>AND($L13&lt;&gt;"",$C13&lt;&gt;$K13)</formula>
    </cfRule>
    <cfRule type="expression" dxfId="681" priority="12">
      <formula>AND($L13="y",$C13=$K13)</formula>
    </cfRule>
  </conditionalFormatting>
  <conditionalFormatting sqref="K14">
    <cfRule type="expression" dxfId="680" priority="9">
      <formula>AND($L14&lt;&gt;"",$C14&lt;&gt;$K14)</formula>
    </cfRule>
    <cfRule type="expression" dxfId="679" priority="10">
      <formula>AND($L14="y",$C14=$K14)</formula>
    </cfRule>
  </conditionalFormatting>
  <conditionalFormatting sqref="K15">
    <cfRule type="expression" dxfId="678" priority="7">
      <formula>AND($L15&lt;&gt;"",$C15&lt;&gt;$K15)</formula>
    </cfRule>
    <cfRule type="expression" dxfId="677" priority="8">
      <formula>AND($L15="y",$C15=$K15)</formula>
    </cfRule>
  </conditionalFormatting>
  <conditionalFormatting sqref="K16">
    <cfRule type="expression" dxfId="676" priority="5">
      <formula>AND($L16&lt;&gt;"",$C16&lt;&gt;$K16)</formula>
    </cfRule>
    <cfRule type="expression" dxfId="675" priority="6">
      <formula>AND($L16="y",$C16=$K16)</formula>
    </cfRule>
  </conditionalFormatting>
  <conditionalFormatting sqref="K17">
    <cfRule type="expression" dxfId="674" priority="3">
      <formula>AND($L17&lt;&gt;"",$C17&lt;&gt;$K17)</formula>
    </cfRule>
    <cfRule type="expression" dxfId="673" priority="4">
      <formula>AND($L17="y",$C17=$K17)</formula>
    </cfRule>
  </conditionalFormatting>
  <conditionalFormatting sqref="K18">
    <cfRule type="expression" dxfId="672" priority="1">
      <formula>AND($L18&lt;&gt;"",$C18&lt;&gt;$K18)</formula>
    </cfRule>
    <cfRule type="expression" dxfId="671" priority="2">
      <formula>AND($L18="y",$C18=$K18)</formula>
    </cfRule>
  </conditionalFormatting>
  <hyperlinks>
    <hyperlink ref="O1" r:id="rId1" xr:uid="{8EC44223-A61D-46E5-9B59-065DB9B10304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V162"/>
  <sheetViews>
    <sheetView showGridLines="0" workbookViewId="0">
      <selection activeCell="O7" sqref="O7:P7"/>
    </sheetView>
  </sheetViews>
  <sheetFormatPr defaultRowHeight="14.4" x14ac:dyDescent="0.3"/>
  <cols>
    <col min="1" max="1" width="10.77734375" customWidth="1"/>
    <col min="2" max="2" width="2.77734375" style="39" customWidth="1"/>
    <col min="3" max="3" width="6.33203125" customWidth="1"/>
    <col min="4" max="4" width="3.77734375" customWidth="1"/>
    <col min="5" max="5" width="8.88671875" style="100"/>
    <col min="6" max="6" width="3.33203125" style="146" customWidth="1"/>
    <col min="8" max="8" width="8.88671875" style="100"/>
    <col min="9" max="9" width="3.33203125" customWidth="1"/>
    <col min="12" max="12" width="3.33203125" customWidth="1"/>
  </cols>
  <sheetData>
    <row r="1" spans="1:22" ht="21" x14ac:dyDescent="0.4">
      <c r="A1" s="78" t="s">
        <v>155</v>
      </c>
      <c r="B1" s="78"/>
      <c r="C1" s="67"/>
      <c r="D1" s="66"/>
      <c r="E1" s="66"/>
      <c r="F1" s="1"/>
      <c r="G1" s="67"/>
      <c r="H1" s="68"/>
      <c r="I1" s="69"/>
      <c r="J1" s="67"/>
      <c r="K1" s="68"/>
      <c r="L1" s="102"/>
      <c r="M1" s="104" t="s">
        <v>73</v>
      </c>
      <c r="N1" s="84" t="s">
        <v>74</v>
      </c>
    </row>
    <row r="2" spans="1:22" ht="23.4" x14ac:dyDescent="0.45">
      <c r="A2" s="125"/>
      <c r="B2" s="179" t="s">
        <v>44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5"/>
    </row>
    <row r="3" spans="1:22" ht="18" x14ac:dyDescent="0.35">
      <c r="B3" s="88"/>
      <c r="C3" s="88"/>
      <c r="D3" s="88"/>
      <c r="E3" s="180" t="s">
        <v>128</v>
      </c>
      <c r="F3" s="180"/>
      <c r="G3" s="180"/>
      <c r="H3" s="180"/>
      <c r="I3" s="180"/>
      <c r="J3" s="180"/>
      <c r="K3" s="180"/>
      <c r="L3" s="88"/>
      <c r="M3" s="88"/>
      <c r="N3" s="79"/>
    </row>
    <row r="4" spans="1:22" ht="21" x14ac:dyDescent="0.4">
      <c r="B4" s="55"/>
      <c r="C4" s="105" t="s">
        <v>76</v>
      </c>
      <c r="D4" s="5"/>
      <c r="E4" s="147"/>
      <c r="F4" s="7"/>
      <c r="G4" s="36"/>
      <c r="H4" s="36"/>
      <c r="I4" s="148"/>
      <c r="J4" s="149"/>
      <c r="K4" s="150"/>
      <c r="L4" s="148"/>
      <c r="M4" s="36"/>
      <c r="N4" s="7"/>
      <c r="O4" s="5"/>
      <c r="P4" s="11"/>
    </row>
    <row r="5" spans="1:22" ht="18" x14ac:dyDescent="0.35">
      <c r="A5" s="185" t="str">
        <f>[1]!wwsInput()</f>
        <v/>
      </c>
      <c r="B5" s="185"/>
      <c r="C5" s="185"/>
      <c r="D5" s="185"/>
      <c r="E5" s="184" t="s">
        <v>45</v>
      </c>
      <c r="F5" s="184"/>
      <c r="G5" s="184"/>
      <c r="H5" s="184"/>
      <c r="I5" s="184"/>
      <c r="J5" s="184"/>
      <c r="K5" s="184"/>
      <c r="L5" s="184"/>
      <c r="M5" s="80"/>
      <c r="N5" s="27"/>
      <c r="O5" s="31"/>
      <c r="P5" s="11"/>
    </row>
    <row r="6" spans="1:22" ht="21.6" thickBot="1" x14ac:dyDescent="0.45">
      <c r="A6" s="108"/>
      <c r="B6" s="108"/>
      <c r="C6" s="186">
        <f>A26</f>
        <v>0</v>
      </c>
      <c r="D6" s="186"/>
      <c r="E6" s="151"/>
      <c r="F6" s="7"/>
      <c r="G6" s="36"/>
      <c r="H6" s="36"/>
      <c r="I6" s="148"/>
      <c r="J6" s="149"/>
      <c r="K6" s="150"/>
      <c r="L6" s="148"/>
      <c r="M6" s="36"/>
      <c r="N6" s="138"/>
      <c r="O6" s="139"/>
      <c r="P6" s="11"/>
      <c r="Q6" s="120"/>
      <c r="R6" s="120"/>
      <c r="S6" s="120"/>
    </row>
    <row r="7" spans="1:22" ht="55.8" thickBot="1" x14ac:dyDescent="0.45">
      <c r="A7" s="52"/>
      <c r="B7" s="152">
        <f>IF(OR(AND($F7="y",$C7=E7,$I7="",$L7=""),AND($F7="",$C7=H7,$I7="y",$L7=""),AND($F7="",$C7=$K7,$I7="",$L7="y")),1,0)</f>
        <v>0</v>
      </c>
      <c r="C7" s="153" t="s">
        <v>79</v>
      </c>
      <c r="D7" s="15" t="str">
        <f>CONCATENATE(F6+1,".")</f>
        <v>1.</v>
      </c>
      <c r="E7" s="142" t="s">
        <v>79</v>
      </c>
      <c r="F7" s="60"/>
      <c r="G7" s="26"/>
      <c r="H7" s="53" t="s">
        <v>30</v>
      </c>
      <c r="I7" s="60" t="str">
        <f>[1]!wwsInput()</f>
        <v/>
      </c>
      <c r="J7" s="26"/>
      <c r="K7" s="53" t="s">
        <v>9</v>
      </c>
      <c r="L7" s="60" t="str">
        <f>[1]!wwsInput()</f>
        <v/>
      </c>
      <c r="M7" s="9"/>
      <c r="N7" s="143"/>
      <c r="O7" s="144" t="s">
        <v>159</v>
      </c>
      <c r="P7" s="144" t="s">
        <v>158</v>
      </c>
      <c r="Q7" s="133"/>
      <c r="R7" s="133"/>
      <c r="S7" s="120"/>
    </row>
    <row r="8" spans="1:22" ht="21.6" thickBot="1" x14ac:dyDescent="0.45">
      <c r="A8" s="52"/>
      <c r="B8" s="152">
        <f t="shared" ref="B8:B28" si="0">IF(OR(AND($F8="y",$C8=E8,$I8&lt;&gt;"y",$L8&lt;&gt;"y"),AND($F8&lt;&gt;"y",$C8=H8,$I8="y",$L8&lt;&gt;"y"),AND($F8&lt;&gt;"y",$C8=$K8,$I8&lt;&gt;"y",$L8="y")),1,0)</f>
        <v>0</v>
      </c>
      <c r="C8" s="153" t="s">
        <v>81</v>
      </c>
      <c r="D8" s="15" t="str">
        <f t="shared" ref="D8:D17" si="1">CONCATENATE(D7+1,".")</f>
        <v>2.</v>
      </c>
      <c r="E8" s="142" t="s">
        <v>110</v>
      </c>
      <c r="F8" s="60"/>
      <c r="G8" s="26"/>
      <c r="H8" s="53" t="s">
        <v>111</v>
      </c>
      <c r="I8" s="60" t="str">
        <f>[1]!wwsInput()</f>
        <v/>
      </c>
      <c r="J8" s="26"/>
      <c r="K8" s="53" t="s">
        <v>81</v>
      </c>
      <c r="L8" s="60" t="str">
        <f>[1]!wwsInput()</f>
        <v/>
      </c>
      <c r="M8" s="9"/>
      <c r="N8" s="35"/>
      <c r="O8" s="133"/>
      <c r="P8" s="133"/>
      <c r="Q8" s="133"/>
      <c r="R8" s="133"/>
      <c r="S8" s="120"/>
    </row>
    <row r="9" spans="1:22" ht="21.6" thickBot="1" x14ac:dyDescent="0.45">
      <c r="A9" s="52"/>
      <c r="B9" s="152">
        <f t="shared" si="0"/>
        <v>0</v>
      </c>
      <c r="C9" s="153" t="s">
        <v>5</v>
      </c>
      <c r="D9" s="15" t="str">
        <f t="shared" si="1"/>
        <v>3.</v>
      </c>
      <c r="E9" s="142" t="s">
        <v>112</v>
      </c>
      <c r="F9" s="60" t="str">
        <f>[1]!wwsInput()</f>
        <v/>
      </c>
      <c r="G9" s="26"/>
      <c r="H9" s="53" t="s">
        <v>113</v>
      </c>
      <c r="I9" s="60" t="str">
        <f>[1]!wwsInput()</f>
        <v/>
      </c>
      <c r="J9" s="26" t="s">
        <v>47</v>
      </c>
      <c r="K9" s="53" t="s">
        <v>5</v>
      </c>
      <c r="L9" s="60" t="str">
        <f>[1]!wwsInput()</f>
        <v/>
      </c>
      <c r="M9" s="9"/>
      <c r="N9" s="35"/>
      <c r="O9" s="133"/>
      <c r="P9" s="133"/>
      <c r="Q9" s="133"/>
      <c r="R9" s="133"/>
      <c r="S9" s="120"/>
    </row>
    <row r="10" spans="1:22" ht="21.6" thickBot="1" x14ac:dyDescent="0.45">
      <c r="A10" s="52"/>
      <c r="B10" s="152">
        <f t="shared" si="0"/>
        <v>0</v>
      </c>
      <c r="C10" s="153" t="s">
        <v>114</v>
      </c>
      <c r="D10" s="15" t="str">
        <f t="shared" si="1"/>
        <v>4.</v>
      </c>
      <c r="E10" s="142" t="s">
        <v>82</v>
      </c>
      <c r="F10" s="60" t="str">
        <f>[1]!wwsInput()</f>
        <v/>
      </c>
      <c r="G10" s="26"/>
      <c r="H10" s="53" t="s">
        <v>114</v>
      </c>
      <c r="I10" s="60" t="str">
        <f>[1]!wwsInput()</f>
        <v/>
      </c>
      <c r="J10" s="26"/>
      <c r="K10" s="53" t="s">
        <v>39</v>
      </c>
      <c r="L10" s="60" t="str">
        <f>[1]!wwsInput()</f>
        <v/>
      </c>
      <c r="M10" s="9"/>
      <c r="N10" s="35"/>
      <c r="O10" s="133"/>
      <c r="P10" s="133"/>
      <c r="Q10" s="133"/>
      <c r="R10" s="133"/>
      <c r="S10" s="140"/>
      <c r="T10" s="106"/>
      <c r="U10" s="106"/>
      <c r="V10" s="106"/>
    </row>
    <row r="11" spans="1:22" ht="21.6" thickBot="1" x14ac:dyDescent="0.45">
      <c r="A11" s="52"/>
      <c r="B11" s="152">
        <f t="shared" si="0"/>
        <v>0</v>
      </c>
      <c r="C11" s="153" t="s">
        <v>49</v>
      </c>
      <c r="D11" s="15" t="str">
        <f t="shared" si="1"/>
        <v>5.</v>
      </c>
      <c r="E11" s="142" t="s">
        <v>49</v>
      </c>
      <c r="F11" s="60" t="str">
        <f>[1]!wwsInput()</f>
        <v/>
      </c>
      <c r="G11" s="26"/>
      <c r="H11" s="53" t="s">
        <v>111</v>
      </c>
      <c r="I11" s="60" t="str">
        <f>[1]!wwsInput()</f>
        <v/>
      </c>
      <c r="J11" s="26"/>
      <c r="K11" s="53" t="s">
        <v>81</v>
      </c>
      <c r="L11" s="60" t="str">
        <f>[1]!wwsInput()</f>
        <v/>
      </c>
      <c r="M11" s="9"/>
      <c r="N11" s="35"/>
      <c r="O11" s="133"/>
      <c r="P11" s="133"/>
      <c r="Q11" s="133"/>
      <c r="R11" s="133"/>
      <c r="S11" s="140"/>
      <c r="T11" s="106"/>
      <c r="U11" s="106"/>
      <c r="V11" s="106"/>
    </row>
    <row r="12" spans="1:22" ht="21.6" thickBot="1" x14ac:dyDescent="0.45">
      <c r="A12" s="52"/>
      <c r="B12" s="152">
        <f t="shared" si="0"/>
        <v>0</v>
      </c>
      <c r="C12" s="153" t="s">
        <v>55</v>
      </c>
      <c r="D12" s="15" t="str">
        <f t="shared" si="1"/>
        <v>6.</v>
      </c>
      <c r="E12" s="142" t="s">
        <v>115</v>
      </c>
      <c r="F12" s="60" t="str">
        <f>[1]!wwsInput()</f>
        <v/>
      </c>
      <c r="G12" s="26"/>
      <c r="H12" s="53" t="s">
        <v>55</v>
      </c>
      <c r="I12" s="60" t="str">
        <f>[1]!wwsInput()</f>
        <v/>
      </c>
      <c r="J12" s="26"/>
      <c r="K12" s="53" t="s">
        <v>116</v>
      </c>
      <c r="L12" s="60" t="str">
        <f>[1]!wwsInput()</f>
        <v/>
      </c>
      <c r="M12" s="9"/>
      <c r="N12" s="35"/>
      <c r="O12" s="133"/>
      <c r="P12" s="133"/>
      <c r="Q12" s="133"/>
      <c r="R12" s="133"/>
      <c r="S12" s="140"/>
      <c r="T12" s="106"/>
      <c r="U12" s="106"/>
      <c r="V12" s="106"/>
    </row>
    <row r="13" spans="1:22" ht="21.6" thickBot="1" x14ac:dyDescent="0.45">
      <c r="A13" s="52"/>
      <c r="B13" s="152">
        <f t="shared" si="0"/>
        <v>0</v>
      </c>
      <c r="C13" s="153" t="s">
        <v>54</v>
      </c>
      <c r="D13" s="15" t="str">
        <f t="shared" si="1"/>
        <v>7.</v>
      </c>
      <c r="E13" s="142" t="s">
        <v>54</v>
      </c>
      <c r="F13" s="60" t="str">
        <f>[1]!wwsInput()</f>
        <v/>
      </c>
      <c r="G13" s="26"/>
      <c r="H13" s="53" t="s">
        <v>52</v>
      </c>
      <c r="I13" s="60" t="str">
        <f>[1]!wwsInput()</f>
        <v/>
      </c>
      <c r="J13" s="26"/>
      <c r="K13" s="53" t="s">
        <v>104</v>
      </c>
      <c r="L13" s="60" t="str">
        <f>[1]!wwsInput()</f>
        <v/>
      </c>
      <c r="M13" s="9"/>
      <c r="N13" s="35"/>
      <c r="O13" s="133"/>
      <c r="P13" s="133"/>
      <c r="Q13" s="133"/>
      <c r="R13" s="133"/>
      <c r="S13" s="140"/>
      <c r="T13" s="106"/>
      <c r="U13" s="106"/>
      <c r="V13" s="106"/>
    </row>
    <row r="14" spans="1:22" ht="21.6" thickBot="1" x14ac:dyDescent="0.45">
      <c r="A14" s="52"/>
      <c r="B14" s="152">
        <f t="shared" si="0"/>
        <v>0</v>
      </c>
      <c r="C14" s="153" t="s">
        <v>87</v>
      </c>
      <c r="D14" s="15" t="str">
        <f t="shared" si="1"/>
        <v>8.</v>
      </c>
      <c r="E14" s="142" t="s">
        <v>87</v>
      </c>
      <c r="F14" s="60" t="str">
        <f>[1]!wwsInput()</f>
        <v/>
      </c>
      <c r="G14" s="26"/>
      <c r="H14" s="53" t="s">
        <v>84</v>
      </c>
      <c r="I14" s="60" t="str">
        <f>[1]!wwsInput()</f>
        <v/>
      </c>
      <c r="J14" s="26"/>
      <c r="K14" s="53" t="s">
        <v>106</v>
      </c>
      <c r="L14" s="60" t="str">
        <f>[1]!wwsInput()</f>
        <v/>
      </c>
      <c r="M14" s="9"/>
      <c r="N14" s="35"/>
      <c r="O14" s="133"/>
      <c r="P14" s="133"/>
      <c r="Q14" s="133"/>
      <c r="R14" s="133"/>
      <c r="S14" s="140"/>
      <c r="T14" s="106"/>
      <c r="U14" s="106"/>
      <c r="V14" s="106"/>
    </row>
    <row r="15" spans="1:22" ht="21.6" thickBot="1" x14ac:dyDescent="0.45">
      <c r="A15" s="52"/>
      <c r="B15" s="152">
        <f t="shared" si="0"/>
        <v>0</v>
      </c>
      <c r="C15" s="153" t="s">
        <v>57</v>
      </c>
      <c r="D15" s="15" t="str">
        <f t="shared" si="1"/>
        <v>9.</v>
      </c>
      <c r="E15" s="142" t="s">
        <v>56</v>
      </c>
      <c r="F15" s="60" t="str">
        <f>[1]!wwsInput()</f>
        <v/>
      </c>
      <c r="G15" s="26"/>
      <c r="H15" s="53" t="s">
        <v>57</v>
      </c>
      <c r="I15" s="60" t="str">
        <f>[1]!wwsInput()</f>
        <v/>
      </c>
      <c r="J15" s="26"/>
      <c r="K15" s="53" t="s">
        <v>117</v>
      </c>
      <c r="L15" s="60" t="str">
        <f>[1]!wwsInput()</f>
        <v/>
      </c>
      <c r="M15" s="9"/>
      <c r="N15" s="35"/>
      <c r="O15" s="133"/>
      <c r="P15" s="133"/>
      <c r="Q15" s="133"/>
      <c r="R15" s="133"/>
      <c r="S15" s="140"/>
      <c r="T15" s="106"/>
      <c r="U15" s="106"/>
      <c r="V15" s="106"/>
    </row>
    <row r="16" spans="1:22" ht="21.6" thickBot="1" x14ac:dyDescent="0.45">
      <c r="A16" s="52"/>
      <c r="B16" s="152">
        <f t="shared" si="0"/>
        <v>0</v>
      </c>
      <c r="C16" s="153" t="s">
        <v>83</v>
      </c>
      <c r="D16" s="15" t="str">
        <f t="shared" si="1"/>
        <v>10.</v>
      </c>
      <c r="E16" s="142" t="s">
        <v>86</v>
      </c>
      <c r="F16" s="60" t="str">
        <f>[1]!wwsInput()</f>
        <v/>
      </c>
      <c r="G16" s="26"/>
      <c r="H16" s="53" t="s">
        <v>85</v>
      </c>
      <c r="I16" s="60" t="str">
        <f>[1]!wwsInput()</f>
        <v/>
      </c>
      <c r="J16" s="26"/>
      <c r="K16" s="53" t="s">
        <v>83</v>
      </c>
      <c r="L16" s="60" t="str">
        <f>[1]!wwsInput()</f>
        <v/>
      </c>
      <c r="M16" s="9"/>
      <c r="N16" s="35"/>
      <c r="O16" s="133"/>
      <c r="P16" s="133"/>
      <c r="Q16" s="133"/>
      <c r="R16" s="133"/>
      <c r="S16" s="140"/>
      <c r="T16" s="106"/>
      <c r="U16" s="106"/>
      <c r="V16" s="106"/>
    </row>
    <row r="17" spans="1:22" ht="21.6" thickBot="1" x14ac:dyDescent="0.45">
      <c r="A17" s="52"/>
      <c r="B17" s="152">
        <f t="shared" si="0"/>
        <v>0</v>
      </c>
      <c r="C17" s="153" t="s">
        <v>118</v>
      </c>
      <c r="D17" s="15" t="str">
        <f t="shared" si="1"/>
        <v>11.</v>
      </c>
      <c r="E17" s="142" t="s">
        <v>48</v>
      </c>
      <c r="F17" s="60" t="str">
        <f>[1]!wwsInput()</f>
        <v/>
      </c>
      <c r="G17" s="26"/>
      <c r="H17" s="53" t="s">
        <v>118</v>
      </c>
      <c r="I17" s="60" t="str">
        <f>[1]!wwsInput()</f>
        <v/>
      </c>
      <c r="J17" s="26"/>
      <c r="K17" s="53" t="s">
        <v>31</v>
      </c>
      <c r="L17" s="60" t="str">
        <f>[1]!wwsInput()</f>
        <v/>
      </c>
      <c r="M17" s="26"/>
      <c r="N17" s="35"/>
      <c r="O17" s="133"/>
      <c r="P17" s="133"/>
      <c r="Q17" s="133"/>
      <c r="R17" s="133"/>
      <c r="S17" s="140"/>
      <c r="T17" s="106"/>
      <c r="U17" s="106"/>
      <c r="V17" s="106"/>
    </row>
    <row r="18" spans="1:22" ht="21.6" thickBot="1" x14ac:dyDescent="0.45">
      <c r="A18" s="52"/>
      <c r="B18" s="152">
        <f t="shared" ref="B18:B22" si="2">IF(OR(AND($F18="y",$C18=E18,$I18="",$L18=""),AND($F18="",$C18=H18,$I18="y",$L18=""),AND($F18="",$C18=$K18,$I18="",$L18="y")),1,0)</f>
        <v>0</v>
      </c>
      <c r="C18" s="153" t="s">
        <v>60</v>
      </c>
      <c r="D18" s="15">
        <v>12</v>
      </c>
      <c r="E18" s="142" t="s">
        <v>58</v>
      </c>
      <c r="F18" s="60" t="str">
        <f>[1]!wwsInput()</f>
        <v/>
      </c>
      <c r="G18" s="26"/>
      <c r="H18" s="53" t="s">
        <v>119</v>
      </c>
      <c r="I18" s="60" t="str">
        <f>[1]!wwsInput()</f>
        <v/>
      </c>
      <c r="J18" s="26"/>
      <c r="K18" s="53" t="s">
        <v>60</v>
      </c>
      <c r="L18" s="60" t="str">
        <f>[1]!wwsInput()</f>
        <v/>
      </c>
      <c r="M18" s="26"/>
      <c r="N18" s="35"/>
      <c r="O18" s="133"/>
      <c r="P18" s="133"/>
      <c r="Q18" s="133"/>
      <c r="R18" s="133"/>
      <c r="S18" s="140"/>
      <c r="T18" s="106"/>
      <c r="U18" s="106"/>
      <c r="V18" s="106"/>
    </row>
    <row r="19" spans="1:22" ht="21.6" thickBot="1" x14ac:dyDescent="0.45">
      <c r="A19" s="52"/>
      <c r="B19" s="152">
        <f t="shared" si="2"/>
        <v>0</v>
      </c>
      <c r="C19" s="153" t="s">
        <v>89</v>
      </c>
      <c r="D19" s="15">
        <v>13</v>
      </c>
      <c r="E19" s="142" t="s">
        <v>105</v>
      </c>
      <c r="F19" s="60" t="str">
        <f>[1]!wwsInput()</f>
        <v/>
      </c>
      <c r="G19" s="26"/>
      <c r="H19" s="53" t="s">
        <v>89</v>
      </c>
      <c r="I19" s="60" t="str">
        <f>[1]!wwsInput()</f>
        <v/>
      </c>
      <c r="J19" s="26"/>
      <c r="K19" s="53" t="s">
        <v>38</v>
      </c>
      <c r="L19" s="60" t="str">
        <f>[1]!wwsInput()</f>
        <v/>
      </c>
      <c r="M19" s="26"/>
      <c r="N19" s="35"/>
      <c r="O19" s="133"/>
      <c r="P19" s="133"/>
      <c r="Q19" s="133"/>
      <c r="R19" s="133"/>
      <c r="S19" s="140"/>
      <c r="T19" s="106"/>
      <c r="U19" s="106"/>
      <c r="V19" s="106"/>
    </row>
    <row r="20" spans="1:22" ht="21.6" thickBot="1" x14ac:dyDescent="0.45">
      <c r="A20" s="52"/>
      <c r="B20" s="152">
        <f t="shared" si="2"/>
        <v>0</v>
      </c>
      <c r="C20" s="153" t="s">
        <v>120</v>
      </c>
      <c r="D20" s="15">
        <v>14</v>
      </c>
      <c r="E20" s="142" t="s">
        <v>120</v>
      </c>
      <c r="F20" s="60" t="str">
        <f>[1]!wwsInput()</f>
        <v/>
      </c>
      <c r="G20" s="26"/>
      <c r="H20" s="53" t="s">
        <v>90</v>
      </c>
      <c r="I20" s="60" t="str">
        <f>[1]!wwsInput()</f>
        <v/>
      </c>
      <c r="J20" s="26"/>
      <c r="K20" s="53" t="s">
        <v>89</v>
      </c>
      <c r="L20" s="60" t="str">
        <f>[1]!wwsInput()</f>
        <v/>
      </c>
      <c r="M20" s="26"/>
      <c r="N20" s="35"/>
      <c r="O20" s="133"/>
      <c r="P20" s="133"/>
      <c r="Q20" s="133"/>
      <c r="R20" s="133"/>
      <c r="S20" s="140"/>
      <c r="T20" s="106"/>
      <c r="U20" s="106"/>
      <c r="V20" s="106"/>
    </row>
    <row r="21" spans="1:22" ht="21.6" thickBot="1" x14ac:dyDescent="0.45">
      <c r="A21" s="52"/>
      <c r="B21" s="152">
        <f t="shared" si="2"/>
        <v>0</v>
      </c>
      <c r="C21" s="153" t="s">
        <v>75</v>
      </c>
      <c r="D21" s="15">
        <v>15</v>
      </c>
      <c r="E21" s="142" t="s">
        <v>96</v>
      </c>
      <c r="F21" s="60" t="str">
        <f>[1]!wwsInput()</f>
        <v/>
      </c>
      <c r="G21" s="26"/>
      <c r="H21" s="53" t="s">
        <v>75</v>
      </c>
      <c r="I21" s="60" t="str">
        <f>[1]!wwsInput()</f>
        <v/>
      </c>
      <c r="J21" s="26"/>
      <c r="K21" s="53" t="s">
        <v>121</v>
      </c>
      <c r="L21" s="60" t="str">
        <f>[1]!wwsInput()</f>
        <v/>
      </c>
      <c r="M21" s="26"/>
      <c r="N21" s="35"/>
      <c r="O21" s="133"/>
      <c r="P21" s="133"/>
      <c r="Q21" s="133"/>
      <c r="R21" s="133"/>
      <c r="S21" s="140"/>
      <c r="T21" s="106"/>
      <c r="U21" s="106"/>
      <c r="V21" s="106"/>
    </row>
    <row r="22" spans="1:22" ht="21.6" thickBot="1" x14ac:dyDescent="0.45">
      <c r="A22" s="52"/>
      <c r="B22" s="152">
        <f t="shared" si="2"/>
        <v>0</v>
      </c>
      <c r="C22" s="153" t="s">
        <v>93</v>
      </c>
      <c r="D22" s="15">
        <v>16</v>
      </c>
      <c r="E22" s="142" t="s">
        <v>122</v>
      </c>
      <c r="F22" s="60" t="str">
        <f>[1]!wwsInput()</f>
        <v/>
      </c>
      <c r="G22" s="26"/>
      <c r="H22" s="53" t="s">
        <v>123</v>
      </c>
      <c r="I22" s="60" t="str">
        <f>[1]!wwsInput()</f>
        <v/>
      </c>
      <c r="J22" s="26"/>
      <c r="K22" s="53" t="s">
        <v>93</v>
      </c>
      <c r="L22" s="60" t="str">
        <f>[1]!wwsInput()</f>
        <v/>
      </c>
      <c r="M22" s="26"/>
      <c r="N22" s="35"/>
      <c r="O22" s="133"/>
      <c r="P22" s="133"/>
      <c r="Q22" s="133"/>
      <c r="R22" s="133"/>
      <c r="S22" s="140"/>
      <c r="T22" s="106"/>
      <c r="U22" s="106"/>
      <c r="V22" s="106"/>
    </row>
    <row r="23" spans="1:22" ht="21.6" thickBot="1" x14ac:dyDescent="0.45">
      <c r="A23" s="52"/>
      <c r="B23" s="152">
        <f t="shared" si="0"/>
        <v>0</v>
      </c>
      <c r="C23" s="153" t="s">
        <v>62</v>
      </c>
      <c r="D23" s="15">
        <v>17</v>
      </c>
      <c r="E23" s="142" t="s">
        <v>61</v>
      </c>
      <c r="F23" s="60" t="str">
        <f>[1]!wwsInput()</f>
        <v/>
      </c>
      <c r="G23" s="26"/>
      <c r="H23" s="53" t="s">
        <v>63</v>
      </c>
      <c r="I23" s="60" t="str">
        <f>[1]!wwsInput()</f>
        <v/>
      </c>
      <c r="J23" s="26"/>
      <c r="K23" s="53" t="s">
        <v>62</v>
      </c>
      <c r="L23" s="60" t="str">
        <f>[1]!wwsInput()</f>
        <v/>
      </c>
      <c r="M23" s="9"/>
      <c r="N23" s="35"/>
      <c r="O23" s="133"/>
      <c r="P23" s="133"/>
      <c r="Q23" s="133"/>
      <c r="R23" s="133"/>
      <c r="S23" s="140"/>
      <c r="T23" s="106"/>
      <c r="U23" s="106"/>
      <c r="V23" s="106"/>
    </row>
    <row r="24" spans="1:22" ht="21.6" thickBot="1" x14ac:dyDescent="0.45">
      <c r="A24" s="52"/>
      <c r="B24" s="152">
        <f t="shared" si="0"/>
        <v>0</v>
      </c>
      <c r="C24" s="153" t="s">
        <v>95</v>
      </c>
      <c r="D24" s="15">
        <v>18</v>
      </c>
      <c r="E24" s="142" t="s">
        <v>95</v>
      </c>
      <c r="F24" s="60" t="str">
        <f>[1]!wwsInput()</f>
        <v/>
      </c>
      <c r="G24" s="26"/>
      <c r="H24" s="53" t="s">
        <v>124</v>
      </c>
      <c r="I24" s="60" t="str">
        <f>[1]!wwsInput()</f>
        <v/>
      </c>
      <c r="J24" s="26"/>
      <c r="K24" s="53" t="s">
        <v>125</v>
      </c>
      <c r="L24" s="60" t="str">
        <f>[1]!wwsInput()</f>
        <v/>
      </c>
      <c r="M24" s="9"/>
      <c r="N24" s="35"/>
      <c r="O24" s="133"/>
      <c r="P24" s="133"/>
      <c r="Q24" s="133"/>
      <c r="R24" s="133"/>
      <c r="S24" s="140"/>
      <c r="T24" s="106"/>
      <c r="U24" s="106"/>
      <c r="V24" s="106"/>
    </row>
    <row r="25" spans="1:22" ht="21.6" thickBot="1" x14ac:dyDescent="0.45">
      <c r="A25" s="52"/>
      <c r="B25" s="152">
        <f t="shared" si="0"/>
        <v>0</v>
      </c>
      <c r="C25" s="153" t="s">
        <v>126</v>
      </c>
      <c r="D25" s="15">
        <v>19</v>
      </c>
      <c r="E25" s="142" t="s">
        <v>126</v>
      </c>
      <c r="F25" s="60" t="str">
        <f>[1]!wwsInput()</f>
        <v/>
      </c>
      <c r="G25" s="26"/>
      <c r="H25" s="53" t="s">
        <v>68</v>
      </c>
      <c r="I25" s="60" t="str">
        <f>[1]!wwsInput()</f>
        <v/>
      </c>
      <c r="J25" s="26"/>
      <c r="K25" s="53" t="s">
        <v>11</v>
      </c>
      <c r="L25" s="60" t="str">
        <f>[1]!wwsInput()</f>
        <v/>
      </c>
      <c r="M25" s="9"/>
      <c r="N25" s="35"/>
      <c r="O25" s="133"/>
      <c r="P25" s="133"/>
      <c r="Q25" s="133"/>
      <c r="R25" s="133"/>
      <c r="S25" s="140"/>
      <c r="T25" s="106"/>
      <c r="U25" s="106"/>
      <c r="V25" s="106"/>
    </row>
    <row r="26" spans="1:22" ht="21.6" thickBot="1" x14ac:dyDescent="0.45">
      <c r="A26" s="107">
        <f>SUM(B7:B28)/22</f>
        <v>0</v>
      </c>
      <c r="B26" s="152">
        <f t="shared" si="0"/>
        <v>0</v>
      </c>
      <c r="C26" s="153" t="s">
        <v>11</v>
      </c>
      <c r="D26" s="15">
        <v>20</v>
      </c>
      <c r="E26" s="142" t="s">
        <v>11</v>
      </c>
      <c r="F26" s="60" t="str">
        <f>[1]!wwsInput()</f>
        <v/>
      </c>
      <c r="G26" s="26"/>
      <c r="H26" s="53" t="s">
        <v>99</v>
      </c>
      <c r="I26" s="60" t="str">
        <f>[1]!wwsInput()</f>
        <v/>
      </c>
      <c r="J26" s="26"/>
      <c r="K26" s="53" t="s">
        <v>67</v>
      </c>
      <c r="L26" s="60" t="str">
        <f>[1]!wwsInput()</f>
        <v/>
      </c>
      <c r="M26" s="9"/>
      <c r="N26" s="35"/>
      <c r="O26" s="133"/>
      <c r="P26" s="133"/>
      <c r="Q26" s="133"/>
      <c r="R26" s="133"/>
      <c r="S26" s="140"/>
      <c r="T26" s="106"/>
      <c r="U26" s="106"/>
      <c r="V26" s="106"/>
    </row>
    <row r="27" spans="1:22" ht="21.6" thickBot="1" x14ac:dyDescent="0.45">
      <c r="A27" s="89"/>
      <c r="B27" s="152">
        <f t="shared" si="0"/>
        <v>0</v>
      </c>
      <c r="C27" s="153" t="s">
        <v>127</v>
      </c>
      <c r="D27" s="15">
        <v>20</v>
      </c>
      <c r="E27" s="142" t="s">
        <v>66</v>
      </c>
      <c r="F27" s="60" t="str">
        <f>[1]!wwsInput()</f>
        <v/>
      </c>
      <c r="G27" s="26"/>
      <c r="H27" s="53" t="s">
        <v>64</v>
      </c>
      <c r="I27" s="60" t="str">
        <f>[1]!wwsInput()</f>
        <v/>
      </c>
      <c r="J27" s="26"/>
      <c r="K27" s="53" t="s">
        <v>127</v>
      </c>
      <c r="L27" s="60" t="str">
        <f>[1]!wwsInput()</f>
        <v/>
      </c>
      <c r="M27" s="9"/>
      <c r="N27" s="11"/>
      <c r="O27" s="133"/>
      <c r="P27" s="133"/>
      <c r="Q27" s="133"/>
      <c r="R27" s="133"/>
      <c r="S27" s="140"/>
      <c r="T27" s="106"/>
      <c r="U27" s="106"/>
      <c r="V27" s="106"/>
    </row>
    <row r="28" spans="1:22" ht="21.6" thickBot="1" x14ac:dyDescent="0.45">
      <c r="A28" s="81"/>
      <c r="B28" s="152">
        <f t="shared" si="0"/>
        <v>0</v>
      </c>
      <c r="C28" s="153" t="s">
        <v>7</v>
      </c>
      <c r="D28" s="15">
        <v>20</v>
      </c>
      <c r="E28" s="142" t="s">
        <v>65</v>
      </c>
      <c r="F28" s="60" t="str">
        <f>[1]!wwsInput()</f>
        <v/>
      </c>
      <c r="G28" s="26"/>
      <c r="H28" s="53" t="s">
        <v>7</v>
      </c>
      <c r="I28" s="60" t="str">
        <f>[1]!wwsInput()</f>
        <v/>
      </c>
      <c r="J28" s="26"/>
      <c r="K28" s="53" t="s">
        <v>29</v>
      </c>
      <c r="L28" s="60" t="str">
        <f>[1]!wwsInput()</f>
        <v/>
      </c>
      <c r="M28" s="91"/>
      <c r="N28" s="141"/>
      <c r="O28" s="133"/>
      <c r="P28" s="133"/>
      <c r="Q28" s="133"/>
      <c r="R28" s="133"/>
      <c r="S28" s="120"/>
    </row>
    <row r="29" spans="1:22" x14ac:dyDescent="0.3">
      <c r="F29" s="145"/>
      <c r="N29" s="120"/>
      <c r="O29" s="120"/>
      <c r="P29" s="120"/>
      <c r="Q29" s="120"/>
      <c r="R29" s="120"/>
      <c r="S29" s="120"/>
    </row>
    <row r="30" spans="1:22" x14ac:dyDescent="0.3">
      <c r="F30" s="145"/>
      <c r="N30" s="120"/>
      <c r="O30" s="120" t="s">
        <v>43</v>
      </c>
      <c r="P30" s="120"/>
      <c r="Q30" s="120"/>
      <c r="R30" s="120"/>
      <c r="S30" s="120"/>
    </row>
    <row r="31" spans="1:22" x14ac:dyDescent="0.3">
      <c r="F31" s="145"/>
    </row>
    <row r="32" spans="1:22" x14ac:dyDescent="0.3">
      <c r="F32" s="145"/>
    </row>
    <row r="33" spans="6:6" x14ac:dyDescent="0.3">
      <c r="F33" s="145"/>
    </row>
    <row r="34" spans="6:6" x14ac:dyDescent="0.3">
      <c r="F34" s="145"/>
    </row>
    <row r="35" spans="6:6" x14ac:dyDescent="0.3">
      <c r="F35" s="145"/>
    </row>
    <row r="36" spans="6:6" x14ac:dyDescent="0.3">
      <c r="F36" s="145"/>
    </row>
    <row r="37" spans="6:6" x14ac:dyDescent="0.3">
      <c r="F37" s="145"/>
    </row>
    <row r="38" spans="6:6" x14ac:dyDescent="0.3">
      <c r="F38" s="145"/>
    </row>
    <row r="39" spans="6:6" x14ac:dyDescent="0.3">
      <c r="F39" s="145"/>
    </row>
    <row r="40" spans="6:6" x14ac:dyDescent="0.3">
      <c r="F40" s="145"/>
    </row>
    <row r="41" spans="6:6" x14ac:dyDescent="0.3">
      <c r="F41" s="145"/>
    </row>
    <row r="42" spans="6:6" x14ac:dyDescent="0.3">
      <c r="F42" s="145"/>
    </row>
    <row r="43" spans="6:6" x14ac:dyDescent="0.3">
      <c r="F43" s="145"/>
    </row>
    <row r="44" spans="6:6" x14ac:dyDescent="0.3">
      <c r="F44" s="145"/>
    </row>
    <row r="45" spans="6:6" x14ac:dyDescent="0.3">
      <c r="F45" s="145"/>
    </row>
    <row r="46" spans="6:6" x14ac:dyDescent="0.3">
      <c r="F46" s="145"/>
    </row>
    <row r="47" spans="6:6" x14ac:dyDescent="0.3">
      <c r="F47" s="145"/>
    </row>
    <row r="48" spans="6:6" x14ac:dyDescent="0.3">
      <c r="F48" s="145"/>
    </row>
    <row r="49" spans="6:6" x14ac:dyDescent="0.3">
      <c r="F49" s="145"/>
    </row>
    <row r="50" spans="6:6" x14ac:dyDescent="0.3">
      <c r="F50" s="145"/>
    </row>
    <row r="51" spans="6:6" x14ac:dyDescent="0.3">
      <c r="F51" s="145"/>
    </row>
    <row r="52" spans="6:6" x14ac:dyDescent="0.3">
      <c r="F52" s="145"/>
    </row>
    <row r="53" spans="6:6" x14ac:dyDescent="0.3">
      <c r="F53" s="145"/>
    </row>
    <row r="54" spans="6:6" x14ac:dyDescent="0.3">
      <c r="F54" s="145"/>
    </row>
    <row r="55" spans="6:6" x14ac:dyDescent="0.3">
      <c r="F55" s="145"/>
    </row>
    <row r="56" spans="6:6" x14ac:dyDescent="0.3">
      <c r="F56" s="145"/>
    </row>
    <row r="57" spans="6:6" x14ac:dyDescent="0.3">
      <c r="F57" s="145"/>
    </row>
    <row r="58" spans="6:6" x14ac:dyDescent="0.3">
      <c r="F58" s="145"/>
    </row>
    <row r="59" spans="6:6" x14ac:dyDescent="0.3">
      <c r="F59" s="145"/>
    </row>
    <row r="60" spans="6:6" x14ac:dyDescent="0.3">
      <c r="F60" s="145"/>
    </row>
    <row r="61" spans="6:6" x14ac:dyDescent="0.3">
      <c r="F61" s="145"/>
    </row>
    <row r="62" spans="6:6" x14ac:dyDescent="0.3">
      <c r="F62" s="145"/>
    </row>
    <row r="63" spans="6:6" x14ac:dyDescent="0.3">
      <c r="F63" s="145"/>
    </row>
    <row r="64" spans="6:6" x14ac:dyDescent="0.3">
      <c r="F64" s="145"/>
    </row>
    <row r="65" spans="6:6" x14ac:dyDescent="0.3">
      <c r="F65" s="145"/>
    </row>
    <row r="66" spans="6:6" x14ac:dyDescent="0.3">
      <c r="F66" s="145"/>
    </row>
    <row r="67" spans="6:6" x14ac:dyDescent="0.3">
      <c r="F67" s="145"/>
    </row>
    <row r="68" spans="6:6" x14ac:dyDescent="0.3">
      <c r="F68" s="145"/>
    </row>
    <row r="69" spans="6:6" x14ac:dyDescent="0.3">
      <c r="F69" s="145"/>
    </row>
    <row r="70" spans="6:6" x14ac:dyDescent="0.3">
      <c r="F70" s="145"/>
    </row>
    <row r="71" spans="6:6" x14ac:dyDescent="0.3">
      <c r="F71" s="145"/>
    </row>
    <row r="72" spans="6:6" x14ac:dyDescent="0.3">
      <c r="F72" s="145"/>
    </row>
    <row r="73" spans="6:6" x14ac:dyDescent="0.3">
      <c r="F73" s="145"/>
    </row>
    <row r="74" spans="6:6" x14ac:dyDescent="0.3">
      <c r="F74" s="145"/>
    </row>
    <row r="75" spans="6:6" x14ac:dyDescent="0.3">
      <c r="F75" s="145"/>
    </row>
    <row r="76" spans="6:6" x14ac:dyDescent="0.3">
      <c r="F76" s="145"/>
    </row>
    <row r="77" spans="6:6" x14ac:dyDescent="0.3">
      <c r="F77" s="145"/>
    </row>
    <row r="78" spans="6:6" x14ac:dyDescent="0.3">
      <c r="F78" s="145"/>
    </row>
    <row r="79" spans="6:6" x14ac:dyDescent="0.3">
      <c r="F79" s="145"/>
    </row>
    <row r="80" spans="6:6" x14ac:dyDescent="0.3">
      <c r="F80" s="145"/>
    </row>
    <row r="81" spans="6:6" x14ac:dyDescent="0.3">
      <c r="F81" s="145"/>
    </row>
    <row r="82" spans="6:6" x14ac:dyDescent="0.3">
      <c r="F82" s="145"/>
    </row>
    <row r="83" spans="6:6" x14ac:dyDescent="0.3">
      <c r="F83" s="145"/>
    </row>
    <row r="84" spans="6:6" x14ac:dyDescent="0.3">
      <c r="F84" s="145"/>
    </row>
    <row r="85" spans="6:6" x14ac:dyDescent="0.3">
      <c r="F85" s="145"/>
    </row>
    <row r="86" spans="6:6" x14ac:dyDescent="0.3">
      <c r="F86" s="145"/>
    </row>
    <row r="87" spans="6:6" x14ac:dyDescent="0.3">
      <c r="F87" s="145"/>
    </row>
    <row r="88" spans="6:6" x14ac:dyDescent="0.3">
      <c r="F88" s="145"/>
    </row>
    <row r="89" spans="6:6" x14ac:dyDescent="0.3">
      <c r="F89" s="145"/>
    </row>
    <row r="90" spans="6:6" x14ac:dyDescent="0.3">
      <c r="F90" s="145"/>
    </row>
    <row r="91" spans="6:6" x14ac:dyDescent="0.3">
      <c r="F91" s="145"/>
    </row>
    <row r="92" spans="6:6" x14ac:dyDescent="0.3">
      <c r="F92" s="145"/>
    </row>
    <row r="93" spans="6:6" x14ac:dyDescent="0.3">
      <c r="F93" s="145"/>
    </row>
    <row r="94" spans="6:6" x14ac:dyDescent="0.3">
      <c r="F94" s="145"/>
    </row>
    <row r="95" spans="6:6" x14ac:dyDescent="0.3">
      <c r="F95" s="145"/>
    </row>
    <row r="96" spans="6:6" x14ac:dyDescent="0.3">
      <c r="F96" s="145"/>
    </row>
    <row r="97" spans="6:6" x14ac:dyDescent="0.3">
      <c r="F97" s="145"/>
    </row>
    <row r="98" spans="6:6" x14ac:dyDescent="0.3">
      <c r="F98" s="145"/>
    </row>
    <row r="99" spans="6:6" x14ac:dyDescent="0.3">
      <c r="F99" s="145"/>
    </row>
    <row r="100" spans="6:6" x14ac:dyDescent="0.3">
      <c r="F100" s="145"/>
    </row>
    <row r="101" spans="6:6" x14ac:dyDescent="0.3">
      <c r="F101" s="145"/>
    </row>
    <row r="102" spans="6:6" x14ac:dyDescent="0.3">
      <c r="F102" s="145"/>
    </row>
    <row r="103" spans="6:6" x14ac:dyDescent="0.3">
      <c r="F103" s="145"/>
    </row>
    <row r="104" spans="6:6" x14ac:dyDescent="0.3">
      <c r="F104" s="145"/>
    </row>
    <row r="105" spans="6:6" x14ac:dyDescent="0.3">
      <c r="F105" s="145"/>
    </row>
    <row r="106" spans="6:6" x14ac:dyDescent="0.3">
      <c r="F106" s="145"/>
    </row>
    <row r="107" spans="6:6" x14ac:dyDescent="0.3">
      <c r="F107" s="145"/>
    </row>
    <row r="108" spans="6:6" x14ac:dyDescent="0.3">
      <c r="F108" s="145"/>
    </row>
    <row r="109" spans="6:6" x14ac:dyDescent="0.3">
      <c r="F109" s="145"/>
    </row>
    <row r="110" spans="6:6" x14ac:dyDescent="0.3">
      <c r="F110" s="145"/>
    </row>
    <row r="111" spans="6:6" x14ac:dyDescent="0.3">
      <c r="F111" s="145"/>
    </row>
    <row r="112" spans="6:6" x14ac:dyDescent="0.3">
      <c r="F112" s="145"/>
    </row>
    <row r="113" spans="6:6" x14ac:dyDescent="0.3">
      <c r="F113" s="145"/>
    </row>
    <row r="114" spans="6:6" x14ac:dyDescent="0.3">
      <c r="F114" s="145"/>
    </row>
    <row r="115" spans="6:6" x14ac:dyDescent="0.3">
      <c r="F115" s="145"/>
    </row>
    <row r="116" spans="6:6" x14ac:dyDescent="0.3">
      <c r="F116" s="145"/>
    </row>
    <row r="117" spans="6:6" x14ac:dyDescent="0.3">
      <c r="F117" s="145"/>
    </row>
    <row r="118" spans="6:6" x14ac:dyDescent="0.3">
      <c r="F118" s="145"/>
    </row>
    <row r="119" spans="6:6" x14ac:dyDescent="0.3">
      <c r="F119" s="145"/>
    </row>
    <row r="120" spans="6:6" x14ac:dyDescent="0.3">
      <c r="F120" s="145"/>
    </row>
    <row r="121" spans="6:6" x14ac:dyDescent="0.3">
      <c r="F121" s="145"/>
    </row>
    <row r="122" spans="6:6" x14ac:dyDescent="0.3">
      <c r="F122" s="145"/>
    </row>
    <row r="123" spans="6:6" x14ac:dyDescent="0.3">
      <c r="F123" s="145"/>
    </row>
    <row r="124" spans="6:6" x14ac:dyDescent="0.3">
      <c r="F124" s="145"/>
    </row>
    <row r="125" spans="6:6" x14ac:dyDescent="0.3">
      <c r="F125" s="145"/>
    </row>
    <row r="126" spans="6:6" x14ac:dyDescent="0.3">
      <c r="F126" s="145"/>
    </row>
    <row r="127" spans="6:6" x14ac:dyDescent="0.3">
      <c r="F127" s="145"/>
    </row>
    <row r="128" spans="6:6" x14ac:dyDescent="0.3">
      <c r="F128" s="145"/>
    </row>
    <row r="129" spans="6:6" x14ac:dyDescent="0.3">
      <c r="F129" s="145"/>
    </row>
    <row r="130" spans="6:6" x14ac:dyDescent="0.3">
      <c r="F130" s="145"/>
    </row>
    <row r="131" spans="6:6" x14ac:dyDescent="0.3">
      <c r="F131" s="145"/>
    </row>
    <row r="132" spans="6:6" x14ac:dyDescent="0.3">
      <c r="F132" s="145"/>
    </row>
    <row r="133" spans="6:6" x14ac:dyDescent="0.3">
      <c r="F133" s="145"/>
    </row>
    <row r="134" spans="6:6" x14ac:dyDescent="0.3">
      <c r="F134" s="145"/>
    </row>
    <row r="135" spans="6:6" x14ac:dyDescent="0.3">
      <c r="F135" s="145"/>
    </row>
    <row r="136" spans="6:6" x14ac:dyDescent="0.3">
      <c r="F136" s="145"/>
    </row>
    <row r="137" spans="6:6" x14ac:dyDescent="0.3">
      <c r="F137" s="145"/>
    </row>
    <row r="138" spans="6:6" x14ac:dyDescent="0.3">
      <c r="F138" s="145"/>
    </row>
    <row r="139" spans="6:6" x14ac:dyDescent="0.3">
      <c r="F139" s="145"/>
    </row>
    <row r="140" spans="6:6" x14ac:dyDescent="0.3">
      <c r="F140" s="145"/>
    </row>
    <row r="141" spans="6:6" x14ac:dyDescent="0.3">
      <c r="F141" s="145"/>
    </row>
    <row r="142" spans="6:6" x14ac:dyDescent="0.3">
      <c r="F142" s="145"/>
    </row>
    <row r="143" spans="6:6" x14ac:dyDescent="0.3">
      <c r="F143" s="145"/>
    </row>
    <row r="144" spans="6:6" x14ac:dyDescent="0.3">
      <c r="F144" s="145"/>
    </row>
    <row r="145" spans="6:6" x14ac:dyDescent="0.3">
      <c r="F145" s="145"/>
    </row>
    <row r="146" spans="6:6" x14ac:dyDescent="0.3">
      <c r="F146" s="145"/>
    </row>
    <row r="147" spans="6:6" x14ac:dyDescent="0.3">
      <c r="F147" s="145"/>
    </row>
    <row r="148" spans="6:6" x14ac:dyDescent="0.3">
      <c r="F148" s="145"/>
    </row>
    <row r="149" spans="6:6" x14ac:dyDescent="0.3">
      <c r="F149" s="145"/>
    </row>
    <row r="150" spans="6:6" x14ac:dyDescent="0.3">
      <c r="F150" s="145"/>
    </row>
    <row r="151" spans="6:6" x14ac:dyDescent="0.3">
      <c r="F151" s="145"/>
    </row>
    <row r="152" spans="6:6" x14ac:dyDescent="0.3">
      <c r="F152" s="145"/>
    </row>
    <row r="153" spans="6:6" x14ac:dyDescent="0.3">
      <c r="F153" s="145"/>
    </row>
    <row r="154" spans="6:6" x14ac:dyDescent="0.3">
      <c r="F154" s="145"/>
    </row>
    <row r="155" spans="6:6" x14ac:dyDescent="0.3">
      <c r="F155" s="145"/>
    </row>
    <row r="156" spans="6:6" x14ac:dyDescent="0.3">
      <c r="F156" s="145"/>
    </row>
    <row r="157" spans="6:6" x14ac:dyDescent="0.3">
      <c r="F157" s="145"/>
    </row>
    <row r="158" spans="6:6" x14ac:dyDescent="0.3">
      <c r="F158" s="145"/>
    </row>
    <row r="159" spans="6:6" x14ac:dyDescent="0.3">
      <c r="F159" s="145"/>
    </row>
    <row r="160" spans="6:6" x14ac:dyDescent="0.3">
      <c r="F160" s="145"/>
    </row>
    <row r="161" spans="6:6" x14ac:dyDescent="0.3">
      <c r="F161" s="145"/>
    </row>
    <row r="162" spans="6:6" x14ac:dyDescent="0.3">
      <c r="F162" s="145"/>
    </row>
  </sheetData>
  <mergeCells count="5">
    <mergeCell ref="E5:L5"/>
    <mergeCell ref="A5:D5"/>
    <mergeCell ref="C6:D6"/>
    <mergeCell ref="B2:M2"/>
    <mergeCell ref="E3:K3"/>
  </mergeCells>
  <conditionalFormatting sqref="G9">
    <cfRule type="cellIs" dxfId="670" priority="480" operator="equal">
      <formula>"CORRECT !"</formula>
    </cfRule>
  </conditionalFormatting>
  <conditionalFormatting sqref="G10">
    <cfRule type="cellIs" dxfId="669" priority="479" operator="equal">
      <formula>"CORRECT !"</formula>
    </cfRule>
  </conditionalFormatting>
  <conditionalFormatting sqref="G11">
    <cfRule type="cellIs" dxfId="668" priority="478" operator="equal">
      <formula>"CORRECT !"</formula>
    </cfRule>
  </conditionalFormatting>
  <conditionalFormatting sqref="G26">
    <cfRule type="cellIs" dxfId="667" priority="467" operator="equal">
      <formula>"CORRECT !"</formula>
    </cfRule>
  </conditionalFormatting>
  <conditionalFormatting sqref="J13">
    <cfRule type="cellIs" dxfId="666" priority="466" operator="equal">
      <formula>"CORRECT !"</formula>
    </cfRule>
  </conditionalFormatting>
  <conditionalFormatting sqref="M7">
    <cfRule type="cellIs" dxfId="665" priority="504" operator="equal">
      <formula>"CORRECT !"</formula>
    </cfRule>
  </conditionalFormatting>
  <conditionalFormatting sqref="M8">
    <cfRule type="cellIs" dxfId="664" priority="503" operator="equal">
      <formula>"CORRECT !"</formula>
    </cfRule>
  </conditionalFormatting>
  <conditionalFormatting sqref="M9">
    <cfRule type="cellIs" dxfId="663" priority="502" operator="equal">
      <formula>"CORRECT !"</formula>
    </cfRule>
  </conditionalFormatting>
  <conditionalFormatting sqref="M10">
    <cfRule type="cellIs" dxfId="662" priority="501" operator="equal">
      <formula>"CORRECT !"</formula>
    </cfRule>
  </conditionalFormatting>
  <conditionalFormatting sqref="M11">
    <cfRule type="cellIs" dxfId="661" priority="500" operator="equal">
      <formula>"CORRECT !"</formula>
    </cfRule>
  </conditionalFormatting>
  <conditionalFormatting sqref="M12">
    <cfRule type="cellIs" dxfId="660" priority="499" operator="equal">
      <formula>"CORRECT !"</formula>
    </cfRule>
  </conditionalFormatting>
  <conditionalFormatting sqref="M13">
    <cfRule type="cellIs" dxfId="659" priority="498" operator="equal">
      <formula>"CORRECT !"</formula>
    </cfRule>
  </conditionalFormatting>
  <conditionalFormatting sqref="M14">
    <cfRule type="cellIs" dxfId="658" priority="497" operator="equal">
      <formula>"CORRECT !"</formula>
    </cfRule>
  </conditionalFormatting>
  <conditionalFormatting sqref="M15">
    <cfRule type="cellIs" dxfId="657" priority="496" operator="equal">
      <formula>"CORRECT !"</formula>
    </cfRule>
  </conditionalFormatting>
  <conditionalFormatting sqref="M16">
    <cfRule type="cellIs" dxfId="656" priority="495" operator="equal">
      <formula>"CORRECT !"</formula>
    </cfRule>
  </conditionalFormatting>
  <conditionalFormatting sqref="M23">
    <cfRule type="cellIs" dxfId="655" priority="493" operator="equal">
      <formula>"CORRECT !"</formula>
    </cfRule>
  </conditionalFormatting>
  <conditionalFormatting sqref="M24">
    <cfRule type="cellIs" dxfId="654" priority="492" operator="equal">
      <formula>"CORRECT !"</formula>
    </cfRule>
  </conditionalFormatting>
  <conditionalFormatting sqref="M26">
    <cfRule type="cellIs" dxfId="653" priority="491" operator="equal">
      <formula>"CORRECT !"</formula>
    </cfRule>
  </conditionalFormatting>
  <conditionalFormatting sqref="G7">
    <cfRule type="cellIs" dxfId="652" priority="490" operator="equal">
      <formula>"CORRECT !"</formula>
    </cfRule>
  </conditionalFormatting>
  <conditionalFormatting sqref="J7">
    <cfRule type="cellIs" dxfId="651" priority="489" operator="equal">
      <formula>"CORRECT !"</formula>
    </cfRule>
  </conditionalFormatting>
  <conditionalFormatting sqref="G8">
    <cfRule type="cellIs" dxfId="650" priority="488" operator="equal">
      <formula>"CORRECT !"</formula>
    </cfRule>
  </conditionalFormatting>
  <conditionalFormatting sqref="J8">
    <cfRule type="cellIs" dxfId="649" priority="487" operator="equal">
      <formula>"CORRECT !"</formula>
    </cfRule>
  </conditionalFormatting>
  <conditionalFormatting sqref="G12">
    <cfRule type="cellIs" dxfId="648" priority="486" operator="equal">
      <formula>"CORRECT !"</formula>
    </cfRule>
  </conditionalFormatting>
  <conditionalFormatting sqref="J12">
    <cfRule type="cellIs" dxfId="647" priority="485" operator="equal">
      <formula>"CORRECT !"</formula>
    </cfRule>
  </conditionalFormatting>
  <conditionalFormatting sqref="E6">
    <cfRule type="expression" dxfId="646" priority="482">
      <formula>$P$4&lt;&gt;""</formula>
    </cfRule>
  </conditionalFormatting>
  <conditionalFormatting sqref="J9">
    <cfRule type="cellIs" dxfId="645" priority="477" operator="equal">
      <formula>"CORRECT !"</formula>
    </cfRule>
  </conditionalFormatting>
  <conditionalFormatting sqref="J10">
    <cfRule type="cellIs" dxfId="644" priority="476" operator="equal">
      <formula>"CORRECT !"</formula>
    </cfRule>
  </conditionalFormatting>
  <conditionalFormatting sqref="J11">
    <cfRule type="cellIs" dxfId="643" priority="475" operator="equal">
      <formula>"CORRECT !"</formula>
    </cfRule>
  </conditionalFormatting>
  <conditionalFormatting sqref="G13">
    <cfRule type="cellIs" dxfId="642" priority="474" operator="equal">
      <formula>"CORRECT !"</formula>
    </cfRule>
  </conditionalFormatting>
  <conditionalFormatting sqref="G14">
    <cfRule type="cellIs" dxfId="641" priority="473" operator="equal">
      <formula>"CORRECT !"</formula>
    </cfRule>
  </conditionalFormatting>
  <conditionalFormatting sqref="G15">
    <cfRule type="cellIs" dxfId="640" priority="472" operator="equal">
      <formula>"CORRECT !"</formula>
    </cfRule>
  </conditionalFormatting>
  <conditionalFormatting sqref="G16">
    <cfRule type="cellIs" dxfId="639" priority="471" operator="equal">
      <formula>"CORRECT !"</formula>
    </cfRule>
  </conditionalFormatting>
  <conditionalFormatting sqref="G23">
    <cfRule type="cellIs" dxfId="638" priority="469" operator="equal">
      <formula>"CORRECT !"</formula>
    </cfRule>
  </conditionalFormatting>
  <conditionalFormatting sqref="G24">
    <cfRule type="cellIs" dxfId="637" priority="468" operator="equal">
      <formula>"CORRECT !"</formula>
    </cfRule>
  </conditionalFormatting>
  <conditionalFormatting sqref="J14">
    <cfRule type="cellIs" dxfId="636" priority="465" operator="equal">
      <formula>"CORRECT !"</formula>
    </cfRule>
  </conditionalFormatting>
  <conditionalFormatting sqref="J15">
    <cfRule type="cellIs" dxfId="635" priority="464" operator="equal">
      <formula>"CORRECT !"</formula>
    </cfRule>
  </conditionalFormatting>
  <conditionalFormatting sqref="J16">
    <cfRule type="cellIs" dxfId="634" priority="463" operator="equal">
      <formula>"CORRECT !"</formula>
    </cfRule>
  </conditionalFormatting>
  <conditionalFormatting sqref="J23">
    <cfRule type="cellIs" dxfId="633" priority="461" operator="equal">
      <formula>"CORRECT !"</formula>
    </cfRule>
  </conditionalFormatting>
  <conditionalFormatting sqref="J24">
    <cfRule type="cellIs" dxfId="632" priority="460" operator="equal">
      <formula>"CORRECT !"</formula>
    </cfRule>
  </conditionalFormatting>
  <conditionalFormatting sqref="J26">
    <cfRule type="cellIs" dxfId="631" priority="459" operator="equal">
      <formula>"CORRECT !"</formula>
    </cfRule>
  </conditionalFormatting>
  <conditionalFormatting sqref="M25">
    <cfRule type="cellIs" dxfId="630" priority="456" operator="equal">
      <formula>"CORRECT !"</formula>
    </cfRule>
  </conditionalFormatting>
  <conditionalFormatting sqref="G25">
    <cfRule type="cellIs" dxfId="629" priority="455" operator="equal">
      <formula>"CORRECT !"</formula>
    </cfRule>
  </conditionalFormatting>
  <conditionalFormatting sqref="J25">
    <cfRule type="cellIs" dxfId="628" priority="454" operator="equal">
      <formula>"CORRECT !"</formula>
    </cfRule>
  </conditionalFormatting>
  <conditionalFormatting sqref="G27">
    <cfRule type="cellIs" dxfId="627" priority="341" operator="equal">
      <formula>"CORRECT !"</formula>
    </cfRule>
  </conditionalFormatting>
  <conditionalFormatting sqref="M27">
    <cfRule type="cellIs" dxfId="626" priority="342" operator="equal">
      <formula>"CORRECT !"</formula>
    </cfRule>
  </conditionalFormatting>
  <conditionalFormatting sqref="J27">
    <cfRule type="cellIs" dxfId="625" priority="340" operator="equal">
      <formula>"CORRECT !"</formula>
    </cfRule>
  </conditionalFormatting>
  <conditionalFormatting sqref="G28">
    <cfRule type="cellIs" dxfId="624" priority="329" operator="equal">
      <formula>"CORRECT !"</formula>
    </cfRule>
  </conditionalFormatting>
  <conditionalFormatting sqref="J28">
    <cfRule type="cellIs" dxfId="623" priority="328" operator="equal">
      <formula>"CORRECT !"</formula>
    </cfRule>
  </conditionalFormatting>
  <conditionalFormatting sqref="E7">
    <cfRule type="expression" dxfId="622" priority="316">
      <formula>AND($F7&lt;&gt;"",$C7&lt;&gt;$E7)</formula>
    </cfRule>
    <cfRule type="expression" dxfId="621" priority="317">
      <formula>AND($F7="y",$C7=$E7)</formula>
    </cfRule>
  </conditionalFormatting>
  <conditionalFormatting sqref="E8">
    <cfRule type="expression" dxfId="620" priority="314">
      <formula>AND($F8&lt;&gt;"",$C8&lt;&gt;$E8)</formula>
    </cfRule>
    <cfRule type="expression" dxfId="619" priority="315">
      <formula>AND($F8="y",$C8=$E8)</formula>
    </cfRule>
  </conditionalFormatting>
  <conditionalFormatting sqref="H7">
    <cfRule type="expression" dxfId="618" priority="312">
      <formula>AND($I7&lt;&gt;"",$C7&lt;&gt;$H7)</formula>
    </cfRule>
    <cfRule type="expression" dxfId="617" priority="313">
      <formula>AND($I7="y",$C7=$H7)</formula>
    </cfRule>
  </conditionalFormatting>
  <conditionalFormatting sqref="H8">
    <cfRule type="expression" dxfId="616" priority="301">
      <formula>AND($I8&lt;&gt;"",$C8&lt;&gt;$H8)</formula>
    </cfRule>
    <cfRule type="expression" dxfId="615" priority="302">
      <formula>AND($I8="y",$C8=$H8)</formula>
    </cfRule>
  </conditionalFormatting>
  <conditionalFormatting sqref="F7">
    <cfRule type="expression" dxfId="614" priority="253">
      <formula>OR($L7&lt;&gt;"",$I7&lt;&gt;"")</formula>
    </cfRule>
  </conditionalFormatting>
  <conditionalFormatting sqref="K7">
    <cfRule type="expression" dxfId="613" priority="250">
      <formula>AND($L7&lt;&gt;"",$C7&lt;&gt;$L7)</formula>
    </cfRule>
    <cfRule type="expression" dxfId="612" priority="251">
      <formula>AND($L7="y",$C7=$K7)</formula>
    </cfRule>
  </conditionalFormatting>
  <conditionalFormatting sqref="K7">
    <cfRule type="expression" dxfId="611" priority="248">
      <formula>AND($L7&lt;&gt;"",$C7&lt;&gt;$K7)</formula>
    </cfRule>
    <cfRule type="expression" dxfId="610" priority="249">
      <formula>AND($L7="y",$C7=$K7)</formula>
    </cfRule>
  </conditionalFormatting>
  <conditionalFormatting sqref="F8">
    <cfRule type="expression" dxfId="609" priority="247">
      <formula>OR(L8&lt;&gt;"",I8&lt;&gt;"")</formula>
    </cfRule>
  </conditionalFormatting>
  <conditionalFormatting sqref="I7">
    <cfRule type="expression" dxfId="608" priority="246">
      <formula>OR($F7&lt;&gt;"",$L7&lt;&gt;"")</formula>
    </cfRule>
  </conditionalFormatting>
  <conditionalFormatting sqref="L7">
    <cfRule type="expression" dxfId="607" priority="245">
      <formula>OR($F7&lt;&gt;"",$I7&lt;&gt;"")</formula>
    </cfRule>
  </conditionalFormatting>
  <conditionalFormatting sqref="I8">
    <cfRule type="expression" dxfId="606" priority="243">
      <formula>OR($F8&lt;&gt;"",$L8&lt;&gt;"")</formula>
    </cfRule>
  </conditionalFormatting>
  <conditionalFormatting sqref="I9">
    <cfRule type="expression" dxfId="605" priority="242">
      <formula>OR($F9&lt;&gt;"",$L9&lt;&gt;"")</formula>
    </cfRule>
  </conditionalFormatting>
  <conditionalFormatting sqref="I10">
    <cfRule type="expression" dxfId="604" priority="241">
      <formula>OR($F10&lt;&gt;"",$L10&lt;&gt;"")</formula>
    </cfRule>
  </conditionalFormatting>
  <conditionalFormatting sqref="I11">
    <cfRule type="expression" dxfId="603" priority="240">
      <formula>OR($F11&lt;&gt;"",$L11&lt;&gt;"")</formula>
    </cfRule>
  </conditionalFormatting>
  <conditionalFormatting sqref="I12">
    <cfRule type="expression" dxfId="602" priority="239">
      <formula>OR($F12&lt;&gt;"",$L12&lt;&gt;"")</formula>
    </cfRule>
  </conditionalFormatting>
  <conditionalFormatting sqref="I13">
    <cfRule type="expression" dxfId="601" priority="238">
      <formula>OR($F13&lt;&gt;"",$L13&lt;&gt;"")</formula>
    </cfRule>
  </conditionalFormatting>
  <conditionalFormatting sqref="I14">
    <cfRule type="expression" dxfId="600" priority="237">
      <formula>OR($F14&lt;&gt;"",$L14&lt;&gt;"")</formula>
    </cfRule>
  </conditionalFormatting>
  <conditionalFormatting sqref="I15">
    <cfRule type="expression" dxfId="599" priority="236">
      <formula>OR($F15&lt;&gt;"",$L15&lt;&gt;"")</formula>
    </cfRule>
  </conditionalFormatting>
  <conditionalFormatting sqref="I16">
    <cfRule type="expression" dxfId="598" priority="235">
      <formula>OR($F16&lt;&gt;"",$L16&lt;&gt;"")</formula>
    </cfRule>
  </conditionalFormatting>
  <conditionalFormatting sqref="I17">
    <cfRule type="expression" dxfId="597" priority="234">
      <formula>OR($F17&lt;&gt;"",$L17&lt;&gt;"")</formula>
    </cfRule>
  </conditionalFormatting>
  <conditionalFormatting sqref="I18">
    <cfRule type="expression" dxfId="596" priority="233">
      <formula>OR($F18&lt;&gt;"",$L18&lt;&gt;"")</formula>
    </cfRule>
  </conditionalFormatting>
  <conditionalFormatting sqref="I19">
    <cfRule type="expression" dxfId="595" priority="232">
      <formula>OR($F19&lt;&gt;"",$L19&lt;&gt;"")</formula>
    </cfRule>
  </conditionalFormatting>
  <conditionalFormatting sqref="I20">
    <cfRule type="expression" dxfId="594" priority="231">
      <formula>OR($F20&lt;&gt;"",$L20&lt;&gt;"")</formula>
    </cfRule>
  </conditionalFormatting>
  <conditionalFormatting sqref="I21">
    <cfRule type="expression" dxfId="593" priority="230">
      <formula>OR($F21&lt;&gt;"",$L21&lt;&gt;"")</formula>
    </cfRule>
  </conditionalFormatting>
  <conditionalFormatting sqref="I22">
    <cfRule type="expression" dxfId="592" priority="229">
      <formula>OR($F22&lt;&gt;"",$L22&lt;&gt;"")</formula>
    </cfRule>
  </conditionalFormatting>
  <conditionalFormatting sqref="I23">
    <cfRule type="expression" dxfId="591" priority="228">
      <formula>OR($F23&lt;&gt;"",$L23&lt;&gt;"")</formula>
    </cfRule>
  </conditionalFormatting>
  <conditionalFormatting sqref="I24">
    <cfRule type="expression" dxfId="590" priority="227">
      <formula>OR($F24&lt;&gt;"",$L24&lt;&gt;"")</formula>
    </cfRule>
  </conditionalFormatting>
  <conditionalFormatting sqref="I25">
    <cfRule type="expression" dxfId="589" priority="226">
      <formula>OR($F25&lt;&gt;"",$L25&lt;&gt;"")</formula>
    </cfRule>
  </conditionalFormatting>
  <conditionalFormatting sqref="I26">
    <cfRule type="expression" dxfId="588" priority="225">
      <formula>OR($F26&lt;&gt;"",$L26&lt;&gt;"")</formula>
    </cfRule>
  </conditionalFormatting>
  <conditionalFormatting sqref="I27">
    <cfRule type="expression" dxfId="587" priority="224">
      <formula>OR($F27&lt;&gt;"",$L27&lt;&gt;"")</formula>
    </cfRule>
  </conditionalFormatting>
  <conditionalFormatting sqref="K8">
    <cfRule type="expression" dxfId="586" priority="222">
      <formula>AND($L8&lt;&gt;"",$C8&lt;&gt;$L8)</formula>
    </cfRule>
    <cfRule type="expression" dxfId="585" priority="223">
      <formula>AND($L8="y",$C8=$K8)</formula>
    </cfRule>
  </conditionalFormatting>
  <conditionalFormatting sqref="K8">
    <cfRule type="expression" dxfId="584" priority="220">
      <formula>AND($L8&lt;&gt;"",$C8&lt;&gt;$K8)</formula>
    </cfRule>
    <cfRule type="expression" dxfId="583" priority="221">
      <formula>AND($L8="y",$C8=$K8)</formula>
    </cfRule>
  </conditionalFormatting>
  <conditionalFormatting sqref="K9">
    <cfRule type="expression" dxfId="582" priority="218">
      <formula>AND($L9&lt;&gt;"",$C9&lt;&gt;$L9)</formula>
    </cfRule>
    <cfRule type="expression" dxfId="581" priority="219">
      <formula>AND($L9="y",$C9=$K9)</formula>
    </cfRule>
  </conditionalFormatting>
  <conditionalFormatting sqref="K9">
    <cfRule type="expression" dxfId="580" priority="216">
      <formula>AND($L9&lt;&gt;"",$C9&lt;&gt;$K9)</formula>
    </cfRule>
    <cfRule type="expression" dxfId="579" priority="217">
      <formula>AND($L9="y",$C9=$K9)</formula>
    </cfRule>
  </conditionalFormatting>
  <conditionalFormatting sqref="K10">
    <cfRule type="expression" dxfId="578" priority="214">
      <formula>AND($L10&lt;&gt;"",$C10&lt;&gt;$L10)</formula>
    </cfRule>
    <cfRule type="expression" dxfId="577" priority="215">
      <formula>AND($L10="y",$C10=$K10)</formula>
    </cfRule>
  </conditionalFormatting>
  <conditionalFormatting sqref="K10">
    <cfRule type="expression" dxfId="576" priority="212">
      <formula>AND($L10&lt;&gt;"",$C10&lt;&gt;$K10)</formula>
    </cfRule>
    <cfRule type="expression" dxfId="575" priority="213">
      <formula>AND($L10="y",$C10=$K10)</formula>
    </cfRule>
  </conditionalFormatting>
  <conditionalFormatting sqref="K11">
    <cfRule type="expression" dxfId="574" priority="210">
      <formula>AND($L11&lt;&gt;"",$C11&lt;&gt;$L11)</formula>
    </cfRule>
    <cfRule type="expression" dxfId="573" priority="211">
      <formula>AND($L11="y",$C11=$K11)</formula>
    </cfRule>
  </conditionalFormatting>
  <conditionalFormatting sqref="K11">
    <cfRule type="expression" dxfId="572" priority="208">
      <formula>AND($L11&lt;&gt;"",$C11&lt;&gt;$K11)</formula>
    </cfRule>
    <cfRule type="expression" dxfId="571" priority="209">
      <formula>AND($L11="y",$C11=$K11)</formula>
    </cfRule>
  </conditionalFormatting>
  <conditionalFormatting sqref="K12">
    <cfRule type="expression" dxfId="570" priority="206">
      <formula>AND($L12&lt;&gt;"",$C12&lt;&gt;$L12)</formula>
    </cfRule>
    <cfRule type="expression" dxfId="569" priority="207">
      <formula>AND($L12="y",$C12=$K12)</formula>
    </cfRule>
  </conditionalFormatting>
  <conditionalFormatting sqref="K12">
    <cfRule type="expression" dxfId="568" priority="204">
      <formula>AND($L12&lt;&gt;"",$C12&lt;&gt;$K12)</formula>
    </cfRule>
    <cfRule type="expression" dxfId="567" priority="205">
      <formula>AND($L12="y",$C12=$K12)</formula>
    </cfRule>
  </conditionalFormatting>
  <conditionalFormatting sqref="K13">
    <cfRule type="expression" dxfId="566" priority="202">
      <formula>AND($L13&lt;&gt;"",$C13&lt;&gt;$L13)</formula>
    </cfRule>
    <cfRule type="expression" dxfId="565" priority="203">
      <formula>AND($L13="y",$C13=$K13)</formula>
    </cfRule>
  </conditionalFormatting>
  <conditionalFormatting sqref="K13">
    <cfRule type="expression" dxfId="564" priority="200">
      <formula>AND($L13&lt;&gt;"",$C13&lt;&gt;$K13)</formula>
    </cfRule>
    <cfRule type="expression" dxfId="563" priority="201">
      <formula>AND($L13="y",$C13=$K13)</formula>
    </cfRule>
  </conditionalFormatting>
  <conditionalFormatting sqref="K14">
    <cfRule type="expression" dxfId="562" priority="198">
      <formula>AND($L14&lt;&gt;"",$C14&lt;&gt;$L14)</formula>
    </cfRule>
    <cfRule type="expression" dxfId="561" priority="199">
      <formula>AND($L14="y",$C14=$K14)</formula>
    </cfRule>
  </conditionalFormatting>
  <conditionalFormatting sqref="K14">
    <cfRule type="expression" dxfId="560" priority="196">
      <formula>AND($L14&lt;&gt;"",$C14&lt;&gt;$K14)</formula>
    </cfRule>
    <cfRule type="expression" dxfId="559" priority="197">
      <formula>AND($L14="y",$C14=$K14)</formula>
    </cfRule>
  </conditionalFormatting>
  <conditionalFormatting sqref="K15">
    <cfRule type="expression" dxfId="558" priority="194">
      <formula>AND($L15&lt;&gt;"",$C15&lt;&gt;$L15)</formula>
    </cfRule>
    <cfRule type="expression" dxfId="557" priority="195">
      <formula>AND($L15="y",$C15=$K15)</formula>
    </cfRule>
  </conditionalFormatting>
  <conditionalFormatting sqref="K15">
    <cfRule type="expression" dxfId="556" priority="192">
      <formula>AND($L15&lt;&gt;"",$C15&lt;&gt;$K15)</formula>
    </cfRule>
    <cfRule type="expression" dxfId="555" priority="193">
      <formula>AND($L15="y",$C15=$K15)</formula>
    </cfRule>
  </conditionalFormatting>
  <conditionalFormatting sqref="K16">
    <cfRule type="expression" dxfId="554" priority="190">
      <formula>AND($L16&lt;&gt;"",$C16&lt;&gt;$L16)</formula>
    </cfRule>
    <cfRule type="expression" dxfId="553" priority="191">
      <formula>AND($L16="y",$C16=$K16)</formula>
    </cfRule>
  </conditionalFormatting>
  <conditionalFormatting sqref="K16">
    <cfRule type="expression" dxfId="552" priority="188">
      <formula>AND($L16&lt;&gt;"",$C16&lt;&gt;$K16)</formula>
    </cfRule>
    <cfRule type="expression" dxfId="551" priority="189">
      <formula>AND($L16="y",$C16=$K16)</formula>
    </cfRule>
  </conditionalFormatting>
  <conditionalFormatting sqref="K17">
    <cfRule type="expression" dxfId="550" priority="186">
      <formula>AND($L17&lt;&gt;"",$C17&lt;&gt;$L17)</formula>
    </cfRule>
    <cfRule type="expression" dxfId="549" priority="187">
      <formula>AND($L17="y",$C17=$K17)</formula>
    </cfRule>
  </conditionalFormatting>
  <conditionalFormatting sqref="K17">
    <cfRule type="expression" dxfId="548" priority="184">
      <formula>AND($L17&lt;&gt;"",$C17&lt;&gt;$K17)</formula>
    </cfRule>
    <cfRule type="expression" dxfId="547" priority="185">
      <formula>AND($L17="y",$C17=$K17)</formula>
    </cfRule>
  </conditionalFormatting>
  <conditionalFormatting sqref="K18">
    <cfRule type="expression" dxfId="546" priority="182">
      <formula>AND($L18&lt;&gt;"",$C18&lt;&gt;$L18)</formula>
    </cfRule>
    <cfRule type="expression" dxfId="545" priority="183">
      <formula>AND($L18="y",$C18=$K18)</formula>
    </cfRule>
  </conditionalFormatting>
  <conditionalFormatting sqref="K18">
    <cfRule type="expression" dxfId="544" priority="180">
      <formula>AND($L18&lt;&gt;"",$C18&lt;&gt;$K18)</formula>
    </cfRule>
    <cfRule type="expression" dxfId="543" priority="181">
      <formula>AND($L18="y",$C18=$K18)</formula>
    </cfRule>
  </conditionalFormatting>
  <conditionalFormatting sqref="K19">
    <cfRule type="expression" dxfId="542" priority="178">
      <formula>AND($L19&lt;&gt;"",$C19&lt;&gt;$L19)</formula>
    </cfRule>
    <cfRule type="expression" dxfId="541" priority="179">
      <formula>AND($L19="y",$C19=$K19)</formula>
    </cfRule>
  </conditionalFormatting>
  <conditionalFormatting sqref="K19">
    <cfRule type="expression" dxfId="540" priority="176">
      <formula>AND($L19&lt;&gt;"",$C19&lt;&gt;$K19)</formula>
    </cfRule>
    <cfRule type="expression" dxfId="539" priority="177">
      <formula>AND($L19="y",$C19=$K19)</formula>
    </cfRule>
  </conditionalFormatting>
  <conditionalFormatting sqref="K20">
    <cfRule type="expression" dxfId="538" priority="174">
      <formula>AND($L20&lt;&gt;"",$C20&lt;&gt;$L20)</formula>
    </cfRule>
    <cfRule type="expression" dxfId="537" priority="175">
      <formula>AND($L20="y",$C20=$K20)</formula>
    </cfRule>
  </conditionalFormatting>
  <conditionalFormatting sqref="K20">
    <cfRule type="expression" dxfId="536" priority="172">
      <formula>AND($L20&lt;&gt;"",$C20&lt;&gt;$K20)</formula>
    </cfRule>
    <cfRule type="expression" dxfId="535" priority="173">
      <formula>AND($L20="y",$C20=$K20)</formula>
    </cfRule>
  </conditionalFormatting>
  <conditionalFormatting sqref="K21">
    <cfRule type="expression" dxfId="534" priority="170">
      <formula>AND($L21&lt;&gt;"",$C21&lt;&gt;$L21)</formula>
    </cfRule>
    <cfRule type="expression" dxfId="533" priority="171">
      <formula>AND($L21="y",$C21=$K21)</formula>
    </cfRule>
  </conditionalFormatting>
  <conditionalFormatting sqref="K21">
    <cfRule type="expression" dxfId="532" priority="168">
      <formula>AND($L21&lt;&gt;"",$C21&lt;&gt;$K21)</formula>
    </cfRule>
    <cfRule type="expression" dxfId="531" priority="169">
      <formula>AND($L21="y",$C21=$K21)</formula>
    </cfRule>
  </conditionalFormatting>
  <conditionalFormatting sqref="K22">
    <cfRule type="expression" dxfId="530" priority="166">
      <formula>AND($L22&lt;&gt;"",$C22&lt;&gt;$L22)</formula>
    </cfRule>
    <cfRule type="expression" dxfId="529" priority="167">
      <formula>AND($L22="y",$C22=$K22)</formula>
    </cfRule>
  </conditionalFormatting>
  <conditionalFormatting sqref="K22">
    <cfRule type="expression" dxfId="528" priority="164">
      <formula>AND($L22&lt;&gt;"",$C22&lt;&gt;$K22)</formula>
    </cfRule>
    <cfRule type="expression" dxfId="527" priority="165">
      <formula>AND($L22="y",$C22=$K22)</formula>
    </cfRule>
  </conditionalFormatting>
  <conditionalFormatting sqref="K23">
    <cfRule type="expression" dxfId="526" priority="162">
      <formula>AND($L23&lt;&gt;"",$C23&lt;&gt;$L23)</formula>
    </cfRule>
    <cfRule type="expression" dxfId="525" priority="163">
      <formula>AND($L23="y",$C23=$K23)</formula>
    </cfRule>
  </conditionalFormatting>
  <conditionalFormatting sqref="K23">
    <cfRule type="expression" dxfId="524" priority="160">
      <formula>AND($L23&lt;&gt;"",$C23&lt;&gt;$K23)</formula>
    </cfRule>
    <cfRule type="expression" dxfId="523" priority="161">
      <formula>AND($L23="y",$C23=$K23)</formula>
    </cfRule>
  </conditionalFormatting>
  <conditionalFormatting sqref="K24">
    <cfRule type="expression" dxfId="522" priority="158">
      <formula>AND($L24&lt;&gt;"",$C24&lt;&gt;$L24)</formula>
    </cfRule>
    <cfRule type="expression" dxfId="521" priority="159">
      <formula>AND($L24="y",$C24=$K24)</formula>
    </cfRule>
  </conditionalFormatting>
  <conditionalFormatting sqref="K24">
    <cfRule type="expression" dxfId="520" priority="156">
      <formula>AND($L24&lt;&gt;"",$C24&lt;&gt;$K24)</formula>
    </cfRule>
    <cfRule type="expression" dxfId="519" priority="157">
      <formula>AND($L24="y",$C24=$K24)</formula>
    </cfRule>
  </conditionalFormatting>
  <conditionalFormatting sqref="K25">
    <cfRule type="expression" dxfId="518" priority="154">
      <formula>AND($L25&lt;&gt;"",$C25&lt;&gt;$L25)</formula>
    </cfRule>
    <cfRule type="expression" dxfId="517" priority="155">
      <formula>AND($L25="y",$C25=$K25)</formula>
    </cfRule>
  </conditionalFormatting>
  <conditionalFormatting sqref="K25">
    <cfRule type="expression" dxfId="516" priority="152">
      <formula>AND($L25&lt;&gt;"",$C25&lt;&gt;$K25)</formula>
    </cfRule>
    <cfRule type="expression" dxfId="515" priority="153">
      <formula>AND($L25="y",$C25=$K25)</formula>
    </cfRule>
  </conditionalFormatting>
  <conditionalFormatting sqref="K26">
    <cfRule type="expression" dxfId="514" priority="150">
      <formula>AND($L26&lt;&gt;"",$C26&lt;&gt;$L26)</formula>
    </cfRule>
    <cfRule type="expression" dxfId="513" priority="151">
      <formula>AND($L26="y",$C26=$K26)</formula>
    </cfRule>
  </conditionalFormatting>
  <conditionalFormatting sqref="K26">
    <cfRule type="expression" dxfId="512" priority="148">
      <formula>AND($L26&lt;&gt;"",$C26&lt;&gt;$K26)</formula>
    </cfRule>
    <cfRule type="expression" dxfId="511" priority="149">
      <formula>AND($L26="y",$C26=$K26)</formula>
    </cfRule>
  </conditionalFormatting>
  <conditionalFormatting sqref="K27">
    <cfRule type="expression" dxfId="510" priority="146">
      <formula>AND($L27&lt;&gt;"",$C27&lt;&gt;$L27)</formula>
    </cfRule>
    <cfRule type="expression" dxfId="509" priority="147">
      <formula>AND($L27="y",$C27=$K27)</formula>
    </cfRule>
  </conditionalFormatting>
  <conditionalFormatting sqref="K27">
    <cfRule type="expression" dxfId="508" priority="144">
      <formula>AND($L27&lt;&gt;"",$C27&lt;&gt;$K27)</formula>
    </cfRule>
    <cfRule type="expression" dxfId="507" priority="145">
      <formula>AND($L27="y",$C27=$K27)</formula>
    </cfRule>
  </conditionalFormatting>
  <conditionalFormatting sqref="K28">
    <cfRule type="expression" dxfId="506" priority="142">
      <formula>AND($L28&lt;&gt;"",$C28&lt;&gt;$L28)</formula>
    </cfRule>
    <cfRule type="expression" dxfId="505" priority="143">
      <formula>AND($L28="y",$C28=$K28)</formula>
    </cfRule>
  </conditionalFormatting>
  <conditionalFormatting sqref="K28">
    <cfRule type="expression" dxfId="504" priority="140">
      <formula>AND($L28&lt;&gt;"",$C28&lt;&gt;$K28)</formula>
    </cfRule>
    <cfRule type="expression" dxfId="503" priority="141">
      <formula>AND($L28="y",$C28=$K28)</formula>
    </cfRule>
  </conditionalFormatting>
  <conditionalFormatting sqref="L8">
    <cfRule type="expression" dxfId="502" priority="139">
      <formula>OR($F8&lt;&gt;"",$I8&lt;&gt;"")</formula>
    </cfRule>
  </conditionalFormatting>
  <conditionalFormatting sqref="L9">
    <cfRule type="expression" dxfId="501" priority="138">
      <formula>OR($F9&lt;&gt;"",$I9&lt;&gt;"")</formula>
    </cfRule>
  </conditionalFormatting>
  <conditionalFormatting sqref="L10">
    <cfRule type="expression" dxfId="500" priority="137">
      <formula>OR($F10&lt;&gt;"",$I10&lt;&gt;"")</formula>
    </cfRule>
  </conditionalFormatting>
  <conditionalFormatting sqref="L11">
    <cfRule type="expression" dxfId="499" priority="136">
      <formula>OR($F11&lt;&gt;"",$I11&lt;&gt;"")</formula>
    </cfRule>
  </conditionalFormatting>
  <conditionalFormatting sqref="L12">
    <cfRule type="expression" dxfId="498" priority="135">
      <formula>OR($F12&lt;&gt;"",$I12&lt;&gt;"")</formula>
    </cfRule>
  </conditionalFormatting>
  <conditionalFormatting sqref="L13">
    <cfRule type="expression" dxfId="497" priority="134">
      <formula>OR($F13&lt;&gt;"",$I13&lt;&gt;"")</formula>
    </cfRule>
  </conditionalFormatting>
  <conditionalFormatting sqref="L14">
    <cfRule type="expression" dxfId="496" priority="133">
      <formula>OR($F14&lt;&gt;"",$I14&lt;&gt;"")</formula>
    </cfRule>
  </conditionalFormatting>
  <conditionalFormatting sqref="L15">
    <cfRule type="expression" dxfId="495" priority="132">
      <formula>OR($F15&lt;&gt;"",$I15&lt;&gt;"")</formula>
    </cfRule>
  </conditionalFormatting>
  <conditionalFormatting sqref="L16">
    <cfRule type="expression" dxfId="494" priority="131">
      <formula>OR($F16&lt;&gt;"",$I16&lt;&gt;"")</formula>
    </cfRule>
  </conditionalFormatting>
  <conditionalFormatting sqref="L17">
    <cfRule type="expression" dxfId="493" priority="130">
      <formula>OR($F17&lt;&gt;"",$I17&lt;&gt;"")</formula>
    </cfRule>
  </conditionalFormatting>
  <conditionalFormatting sqref="L18">
    <cfRule type="expression" dxfId="492" priority="129">
      <formula>OR($F18&lt;&gt;"",$I18&lt;&gt;"")</formula>
    </cfRule>
  </conditionalFormatting>
  <conditionalFormatting sqref="L19">
    <cfRule type="expression" dxfId="491" priority="128">
      <formula>OR($F19&lt;&gt;"",$I19&lt;&gt;"")</formula>
    </cfRule>
  </conditionalFormatting>
  <conditionalFormatting sqref="L20">
    <cfRule type="expression" dxfId="490" priority="127">
      <formula>OR($F20&lt;&gt;"",$I20&lt;&gt;"")</formula>
    </cfRule>
  </conditionalFormatting>
  <conditionalFormatting sqref="L21">
    <cfRule type="expression" dxfId="489" priority="126">
      <formula>OR($F21&lt;&gt;"",$I21&lt;&gt;"")</formula>
    </cfRule>
  </conditionalFormatting>
  <conditionalFormatting sqref="L22">
    <cfRule type="expression" dxfId="488" priority="125">
      <formula>OR($F22&lt;&gt;"",$I22&lt;&gt;"")</formula>
    </cfRule>
  </conditionalFormatting>
  <conditionalFormatting sqref="L23">
    <cfRule type="expression" dxfId="487" priority="124">
      <formula>OR($F23&lt;&gt;"",$I23&lt;&gt;"")</formula>
    </cfRule>
  </conditionalFormatting>
  <conditionalFormatting sqref="L24">
    <cfRule type="expression" dxfId="486" priority="123">
      <formula>OR($F24&lt;&gt;"",$I24&lt;&gt;"")</formula>
    </cfRule>
  </conditionalFormatting>
  <conditionalFormatting sqref="L25">
    <cfRule type="expression" dxfId="485" priority="122">
      <formula>OR($F25&lt;&gt;"",$I25&lt;&gt;"")</formula>
    </cfRule>
  </conditionalFormatting>
  <conditionalFormatting sqref="L26">
    <cfRule type="expression" dxfId="484" priority="121">
      <formula>OR($F26&lt;&gt;"",$I26&lt;&gt;"")</formula>
    </cfRule>
  </conditionalFormatting>
  <conditionalFormatting sqref="L27">
    <cfRule type="expression" dxfId="483" priority="120">
      <formula>OR($F27&lt;&gt;"",$I27&lt;&gt;"")</formula>
    </cfRule>
  </conditionalFormatting>
  <conditionalFormatting sqref="L28">
    <cfRule type="expression" dxfId="482" priority="119">
      <formula>OR($F28&lt;&gt;"",$I28&lt;&gt;"")</formula>
    </cfRule>
  </conditionalFormatting>
  <conditionalFormatting sqref="E9">
    <cfRule type="expression" dxfId="481" priority="117">
      <formula>AND($F9&lt;&gt;"",$C9&lt;&gt;$E9)</formula>
    </cfRule>
    <cfRule type="expression" dxfId="480" priority="118">
      <formula>AND($F9="y",$C9=$E9)</formula>
    </cfRule>
  </conditionalFormatting>
  <conditionalFormatting sqref="E10">
    <cfRule type="expression" dxfId="479" priority="115">
      <formula>AND($F10&lt;&gt;"",$C10&lt;&gt;$E10)</formula>
    </cfRule>
    <cfRule type="expression" dxfId="478" priority="116">
      <formula>AND($F10="y",$C10=$E10)</formula>
    </cfRule>
  </conditionalFormatting>
  <conditionalFormatting sqref="E11">
    <cfRule type="expression" dxfId="477" priority="113">
      <formula>AND($F11&lt;&gt;"",$C11&lt;&gt;$E11)</formula>
    </cfRule>
    <cfRule type="expression" dxfId="476" priority="114">
      <formula>AND($F11="y",$C11=$E11)</formula>
    </cfRule>
  </conditionalFormatting>
  <conditionalFormatting sqref="E12">
    <cfRule type="expression" dxfId="475" priority="111">
      <formula>AND($F12&lt;&gt;"",$C12&lt;&gt;$E12)</formula>
    </cfRule>
    <cfRule type="expression" dxfId="474" priority="112">
      <formula>AND($F12="y",$C12=$E12)</formula>
    </cfRule>
  </conditionalFormatting>
  <conditionalFormatting sqref="E13">
    <cfRule type="expression" dxfId="473" priority="109">
      <formula>AND($F13&lt;&gt;"",$C13&lt;&gt;$E13)</formula>
    </cfRule>
    <cfRule type="expression" dxfId="472" priority="110">
      <formula>AND($F13="y",$C13=$E13)</formula>
    </cfRule>
  </conditionalFormatting>
  <conditionalFormatting sqref="E14">
    <cfRule type="expression" dxfId="471" priority="107">
      <formula>AND($F14&lt;&gt;"",$C14&lt;&gt;$E14)</formula>
    </cfRule>
    <cfRule type="expression" dxfId="470" priority="108">
      <formula>AND($F14="y",$C14=$E14)</formula>
    </cfRule>
  </conditionalFormatting>
  <conditionalFormatting sqref="E15">
    <cfRule type="expression" dxfId="469" priority="105">
      <formula>AND($F15&lt;&gt;"",$C15&lt;&gt;$E15)</formula>
    </cfRule>
    <cfRule type="expression" dxfId="468" priority="106">
      <formula>AND($F15="y",$C15=$E15)</formula>
    </cfRule>
  </conditionalFormatting>
  <conditionalFormatting sqref="E16">
    <cfRule type="expression" dxfId="467" priority="103">
      <formula>AND($F16&lt;&gt;"",$C16&lt;&gt;$E16)</formula>
    </cfRule>
    <cfRule type="expression" dxfId="466" priority="104">
      <formula>AND($F16="y",$C16=$E16)</formula>
    </cfRule>
  </conditionalFormatting>
  <conditionalFormatting sqref="E17">
    <cfRule type="expression" dxfId="465" priority="101">
      <formula>AND($F17&lt;&gt;"",$C17&lt;&gt;$E17)</formula>
    </cfRule>
    <cfRule type="expression" dxfId="464" priority="102">
      <formula>AND($F17="y",$C17=$E17)</formula>
    </cfRule>
  </conditionalFormatting>
  <conditionalFormatting sqref="E18">
    <cfRule type="expression" dxfId="463" priority="99">
      <formula>AND($F18&lt;&gt;"",$C18&lt;&gt;$E18)</formula>
    </cfRule>
    <cfRule type="expression" dxfId="462" priority="100">
      <formula>AND($F18="y",$C18=$E18)</formula>
    </cfRule>
  </conditionalFormatting>
  <conditionalFormatting sqref="E19">
    <cfRule type="expression" dxfId="461" priority="97">
      <formula>AND($F19&lt;&gt;"",$C19&lt;&gt;$E19)</formula>
    </cfRule>
    <cfRule type="expression" dxfId="460" priority="98">
      <formula>AND($F19="y",$C19=$E19)</formula>
    </cfRule>
  </conditionalFormatting>
  <conditionalFormatting sqref="E20">
    <cfRule type="expression" dxfId="459" priority="95">
      <formula>AND($F20&lt;&gt;"",$C20&lt;&gt;$E20)</formula>
    </cfRule>
    <cfRule type="expression" dxfId="458" priority="96">
      <formula>AND($F20="y",$C20=$E20)</formula>
    </cfRule>
  </conditionalFormatting>
  <conditionalFormatting sqref="E21">
    <cfRule type="expression" dxfId="457" priority="93">
      <formula>AND($F21&lt;&gt;"",$C21&lt;&gt;$E21)</formula>
    </cfRule>
    <cfRule type="expression" dxfId="456" priority="94">
      <formula>AND($F21="y",$C21=$E21)</formula>
    </cfRule>
  </conditionalFormatting>
  <conditionalFormatting sqref="E22">
    <cfRule type="expression" dxfId="455" priority="91">
      <formula>AND($F22&lt;&gt;"",$C22&lt;&gt;$E22)</formula>
    </cfRule>
    <cfRule type="expression" dxfId="454" priority="92">
      <formula>AND($F22="y",$C22=$E22)</formula>
    </cfRule>
  </conditionalFormatting>
  <conditionalFormatting sqref="E23">
    <cfRule type="expression" dxfId="453" priority="89">
      <formula>AND($F23&lt;&gt;"",$C23&lt;&gt;$E23)</formula>
    </cfRule>
    <cfRule type="expression" dxfId="452" priority="90">
      <formula>AND($F23="y",$C23=$E23)</formula>
    </cfRule>
  </conditionalFormatting>
  <conditionalFormatting sqref="E24">
    <cfRule type="expression" dxfId="451" priority="87">
      <formula>AND($F24&lt;&gt;"",$C24&lt;&gt;$E24)</formula>
    </cfRule>
    <cfRule type="expression" dxfId="450" priority="88">
      <formula>AND($F24="y",$C24=$E24)</formula>
    </cfRule>
  </conditionalFormatting>
  <conditionalFormatting sqref="E25">
    <cfRule type="expression" dxfId="449" priority="85">
      <formula>AND($F25&lt;&gt;"",$C25&lt;&gt;$E25)</formula>
    </cfRule>
    <cfRule type="expression" dxfId="448" priority="86">
      <formula>AND($F25="y",$C25=$E25)</formula>
    </cfRule>
  </conditionalFormatting>
  <conditionalFormatting sqref="E26">
    <cfRule type="expression" dxfId="447" priority="83">
      <formula>AND($F26&lt;&gt;"",$C26&lt;&gt;$E26)</formula>
    </cfRule>
    <cfRule type="expression" dxfId="446" priority="84">
      <formula>AND($F26="y",$C26=$E26)</formula>
    </cfRule>
  </conditionalFormatting>
  <conditionalFormatting sqref="E27">
    <cfRule type="expression" dxfId="445" priority="81">
      <formula>AND($F27&lt;&gt;"",$C27&lt;&gt;$E27)</formula>
    </cfRule>
    <cfRule type="expression" dxfId="444" priority="82">
      <formula>AND($F27="y",$C27=$E27)</formula>
    </cfRule>
  </conditionalFormatting>
  <conditionalFormatting sqref="E28">
    <cfRule type="expression" dxfId="443" priority="79">
      <formula>AND($F28&lt;&gt;"",$C28&lt;&gt;$E28)</formula>
    </cfRule>
    <cfRule type="expression" dxfId="442" priority="80">
      <formula>AND($F28="y",$C28=$E28)</formula>
    </cfRule>
  </conditionalFormatting>
  <conditionalFormatting sqref="F9">
    <cfRule type="expression" dxfId="441" priority="78">
      <formula>OR(L9&lt;&gt;"",I9&lt;&gt;"")</formula>
    </cfRule>
  </conditionalFormatting>
  <conditionalFormatting sqref="F10">
    <cfRule type="expression" dxfId="440" priority="77">
      <formula>OR(L10&lt;&gt;"",I10&lt;&gt;"")</formula>
    </cfRule>
  </conditionalFormatting>
  <conditionalFormatting sqref="F11">
    <cfRule type="expression" dxfId="439" priority="76">
      <formula>OR(L11&lt;&gt;"",I11&lt;&gt;"")</formula>
    </cfRule>
  </conditionalFormatting>
  <conditionalFormatting sqref="F12">
    <cfRule type="expression" dxfId="438" priority="75">
      <formula>OR(L12&lt;&gt;"",I12&lt;&gt;"")</formula>
    </cfRule>
  </conditionalFormatting>
  <conditionalFormatting sqref="F13">
    <cfRule type="expression" dxfId="437" priority="74">
      <formula>OR(L13&lt;&gt;"",I13&lt;&gt;"")</formula>
    </cfRule>
  </conditionalFormatting>
  <conditionalFormatting sqref="F14">
    <cfRule type="expression" dxfId="436" priority="73">
      <formula>OR(L14&lt;&gt;"",I14&lt;&gt;"")</formula>
    </cfRule>
  </conditionalFormatting>
  <conditionalFormatting sqref="F15">
    <cfRule type="expression" dxfId="435" priority="72">
      <formula>OR(L15&lt;&gt;"",I15&lt;&gt;"")</formula>
    </cfRule>
  </conditionalFormatting>
  <conditionalFormatting sqref="F16">
    <cfRule type="expression" dxfId="434" priority="71">
      <formula>OR(L16&lt;&gt;"",I16&lt;&gt;"")</formula>
    </cfRule>
  </conditionalFormatting>
  <conditionalFormatting sqref="F17">
    <cfRule type="expression" dxfId="433" priority="70">
      <formula>OR(L17&lt;&gt;"",I17&lt;&gt;"")</formula>
    </cfRule>
  </conditionalFormatting>
  <conditionalFormatting sqref="F18">
    <cfRule type="expression" dxfId="432" priority="69">
      <formula>OR(L18&lt;&gt;"",I18&lt;&gt;"")</formula>
    </cfRule>
  </conditionalFormatting>
  <conditionalFormatting sqref="F19">
    <cfRule type="expression" dxfId="431" priority="68">
      <formula>OR(L19&lt;&gt;"",I19&lt;&gt;"")</formula>
    </cfRule>
  </conditionalFormatting>
  <conditionalFormatting sqref="F20">
    <cfRule type="expression" dxfId="430" priority="67">
      <formula>OR(L20&lt;&gt;"",I20&lt;&gt;"")</formula>
    </cfRule>
  </conditionalFormatting>
  <conditionalFormatting sqref="F21">
    <cfRule type="expression" dxfId="429" priority="66">
      <formula>OR(L21&lt;&gt;"",I21&lt;&gt;"")</formula>
    </cfRule>
  </conditionalFormatting>
  <conditionalFormatting sqref="F22">
    <cfRule type="expression" dxfId="428" priority="65">
      <formula>OR(L22&lt;&gt;"",I22&lt;&gt;"")</formula>
    </cfRule>
  </conditionalFormatting>
  <conditionalFormatting sqref="F23">
    <cfRule type="expression" dxfId="427" priority="64">
      <formula>OR(L23&lt;&gt;"",I23&lt;&gt;"")</formula>
    </cfRule>
  </conditionalFormatting>
  <conditionalFormatting sqref="F24">
    <cfRule type="expression" dxfId="426" priority="63">
      <formula>OR(L24&lt;&gt;"",I24&lt;&gt;"")</formula>
    </cfRule>
  </conditionalFormatting>
  <conditionalFormatting sqref="F25">
    <cfRule type="expression" dxfId="425" priority="62">
      <formula>OR(L25&lt;&gt;"",I25&lt;&gt;"")</formula>
    </cfRule>
  </conditionalFormatting>
  <conditionalFormatting sqref="F26">
    <cfRule type="expression" dxfId="424" priority="61">
      <formula>OR(L26&lt;&gt;"",I26&lt;&gt;"")</formula>
    </cfRule>
  </conditionalFormatting>
  <conditionalFormatting sqref="F27">
    <cfRule type="expression" dxfId="423" priority="60">
      <formula>OR(L27&lt;&gt;"",I27&lt;&gt;"")</formula>
    </cfRule>
  </conditionalFormatting>
  <conditionalFormatting sqref="F28">
    <cfRule type="expression" dxfId="422" priority="59">
      <formula>OR(L28&lt;&gt;"",I28&lt;&gt;"")</formula>
    </cfRule>
  </conditionalFormatting>
  <conditionalFormatting sqref="H9">
    <cfRule type="expression" dxfId="421" priority="57">
      <formula>AND($I9&lt;&gt;"",$C9&lt;&gt;$H9)</formula>
    </cfRule>
    <cfRule type="expression" dxfId="420" priority="58">
      <formula>AND($I9="y",$C9=$H9)</formula>
    </cfRule>
  </conditionalFormatting>
  <conditionalFormatting sqref="H10">
    <cfRule type="expression" dxfId="419" priority="55">
      <formula>AND($I10&lt;&gt;"",$C10&lt;&gt;$H10)</formula>
    </cfRule>
    <cfRule type="expression" dxfId="418" priority="56">
      <formula>AND($I10="y",$C10=$H10)</formula>
    </cfRule>
  </conditionalFormatting>
  <conditionalFormatting sqref="H11">
    <cfRule type="expression" dxfId="417" priority="53">
      <formula>AND($I11&lt;&gt;"",$C11&lt;&gt;$H11)</formula>
    </cfRule>
    <cfRule type="expression" dxfId="416" priority="54">
      <formula>AND($I11="y",$C11=$H11)</formula>
    </cfRule>
  </conditionalFormatting>
  <conditionalFormatting sqref="H12">
    <cfRule type="expression" dxfId="415" priority="51">
      <formula>AND($I12&lt;&gt;"",$C12&lt;&gt;$H12)</formula>
    </cfRule>
    <cfRule type="expression" dxfId="414" priority="52">
      <formula>AND($I12="y",$C12=$H12)</formula>
    </cfRule>
  </conditionalFormatting>
  <conditionalFormatting sqref="H13">
    <cfRule type="expression" dxfId="413" priority="49">
      <formula>AND($I13&lt;&gt;"",$C13&lt;&gt;$H13)</formula>
    </cfRule>
    <cfRule type="expression" dxfId="412" priority="50">
      <formula>AND($I13="y",$C13=$H13)</formula>
    </cfRule>
  </conditionalFormatting>
  <conditionalFormatting sqref="H14">
    <cfRule type="expression" dxfId="411" priority="47">
      <formula>AND($I14&lt;&gt;"",$C14&lt;&gt;$H14)</formula>
    </cfRule>
    <cfRule type="expression" dxfId="410" priority="48">
      <formula>AND($I14="y",$C14=$H14)</formula>
    </cfRule>
  </conditionalFormatting>
  <conditionalFormatting sqref="H15">
    <cfRule type="expression" dxfId="409" priority="45">
      <formula>AND($I15&lt;&gt;"",$C15&lt;&gt;$H15)</formula>
    </cfRule>
    <cfRule type="expression" dxfId="408" priority="46">
      <formula>AND($I15="y",$C15=$H15)</formula>
    </cfRule>
  </conditionalFormatting>
  <conditionalFormatting sqref="H16">
    <cfRule type="expression" dxfId="407" priority="43">
      <formula>AND($I16&lt;&gt;"",$C16&lt;&gt;$H16)</formula>
    </cfRule>
    <cfRule type="expression" dxfId="406" priority="44">
      <formula>AND($I16="y",$C16=$H16)</formula>
    </cfRule>
  </conditionalFormatting>
  <conditionalFormatting sqref="H17">
    <cfRule type="expression" dxfId="405" priority="41">
      <formula>AND($I17&lt;&gt;"",$C17&lt;&gt;$H17)</formula>
    </cfRule>
    <cfRule type="expression" dxfId="404" priority="42">
      <formula>AND($I17="y",$C17=$H17)</formula>
    </cfRule>
  </conditionalFormatting>
  <conditionalFormatting sqref="H18">
    <cfRule type="expression" dxfId="403" priority="39">
      <formula>AND($I18&lt;&gt;"",$C18&lt;&gt;$H18)</formula>
    </cfRule>
    <cfRule type="expression" dxfId="402" priority="40">
      <formula>AND($I18="y",$C18=$H18)</formula>
    </cfRule>
  </conditionalFormatting>
  <conditionalFormatting sqref="H19">
    <cfRule type="expression" dxfId="401" priority="37">
      <formula>AND($I19&lt;&gt;"",$C19&lt;&gt;$H19)</formula>
    </cfRule>
    <cfRule type="expression" dxfId="400" priority="38">
      <formula>AND($I19="y",$C19=$H19)</formula>
    </cfRule>
  </conditionalFormatting>
  <conditionalFormatting sqref="H20">
    <cfRule type="expression" dxfId="399" priority="35">
      <formula>AND($I20&lt;&gt;"",$C20&lt;&gt;$H20)</formula>
    </cfRule>
    <cfRule type="expression" dxfId="398" priority="36">
      <formula>AND($I20="y",$C20=$H20)</formula>
    </cfRule>
  </conditionalFormatting>
  <conditionalFormatting sqref="H21">
    <cfRule type="expression" dxfId="397" priority="33">
      <formula>AND($I21&lt;&gt;"",$C21&lt;&gt;$H21)</formula>
    </cfRule>
    <cfRule type="expression" dxfId="396" priority="34">
      <formula>AND($I21="y",$C21=$H21)</formula>
    </cfRule>
  </conditionalFormatting>
  <conditionalFormatting sqref="H22">
    <cfRule type="expression" dxfId="395" priority="31">
      <formula>AND($I22&lt;&gt;"",$C22&lt;&gt;$H22)</formula>
    </cfRule>
    <cfRule type="expression" dxfId="394" priority="32">
      <formula>AND($I22="y",$C22=$H22)</formula>
    </cfRule>
  </conditionalFormatting>
  <conditionalFormatting sqref="H23">
    <cfRule type="expression" dxfId="393" priority="29">
      <formula>AND($I23&lt;&gt;"",$C23&lt;&gt;$H23)</formula>
    </cfRule>
    <cfRule type="expression" dxfId="392" priority="30">
      <formula>AND($I23="y",$C23=$H23)</formula>
    </cfRule>
  </conditionalFormatting>
  <conditionalFormatting sqref="H24">
    <cfRule type="expression" dxfId="391" priority="27">
      <formula>AND($I24&lt;&gt;"",$C24&lt;&gt;$H24)</formula>
    </cfRule>
    <cfRule type="expression" dxfId="390" priority="28">
      <formula>AND($I24="y",$C24=$H24)</formula>
    </cfRule>
  </conditionalFormatting>
  <conditionalFormatting sqref="H25">
    <cfRule type="expression" dxfId="389" priority="25">
      <formula>AND($I25&lt;&gt;"",$C25&lt;&gt;$H25)</formula>
    </cfRule>
    <cfRule type="expression" dxfId="388" priority="26">
      <formula>AND($I25="y",$C25=$H25)</formula>
    </cfRule>
  </conditionalFormatting>
  <conditionalFormatting sqref="H26">
    <cfRule type="expression" dxfId="387" priority="23">
      <formula>AND($I26&lt;&gt;"",$C26&lt;&gt;$H26)</formula>
    </cfRule>
    <cfRule type="expression" dxfId="386" priority="24">
      <formula>AND($I26="y",$C26=$H26)</formula>
    </cfRule>
  </conditionalFormatting>
  <conditionalFormatting sqref="H27">
    <cfRule type="expression" dxfId="385" priority="21">
      <formula>AND($I27&lt;&gt;"",$C27&lt;&gt;$H27)</formula>
    </cfRule>
    <cfRule type="expression" dxfId="384" priority="22">
      <formula>AND($I27="y",$C27=$H27)</formula>
    </cfRule>
  </conditionalFormatting>
  <conditionalFormatting sqref="H28">
    <cfRule type="expression" dxfId="383" priority="19">
      <formula>AND($I28&lt;&gt;"",$C28&lt;&gt;$H28)</formula>
    </cfRule>
    <cfRule type="expression" dxfId="382" priority="20">
      <formula>AND($I28="y",$C28=$H28)</formula>
    </cfRule>
  </conditionalFormatting>
  <conditionalFormatting sqref="M17">
    <cfRule type="cellIs" dxfId="381" priority="18" operator="equal">
      <formula>"CORRECT !"</formula>
    </cfRule>
  </conditionalFormatting>
  <conditionalFormatting sqref="M18">
    <cfRule type="cellIs" dxfId="380" priority="17" operator="equal">
      <formula>"CORRECT !"</formula>
    </cfRule>
  </conditionalFormatting>
  <conditionalFormatting sqref="M19">
    <cfRule type="cellIs" dxfId="379" priority="16" operator="equal">
      <formula>"CORRECT !"</formula>
    </cfRule>
  </conditionalFormatting>
  <conditionalFormatting sqref="M20">
    <cfRule type="cellIs" dxfId="378" priority="15" operator="equal">
      <formula>"CORRECT !"</formula>
    </cfRule>
  </conditionalFormatting>
  <conditionalFormatting sqref="M21">
    <cfRule type="cellIs" dxfId="377" priority="14" operator="equal">
      <formula>"CORRECT !"</formula>
    </cfRule>
  </conditionalFormatting>
  <conditionalFormatting sqref="M22">
    <cfRule type="cellIs" dxfId="376" priority="13" operator="equal">
      <formula>"CORRECT !"</formula>
    </cfRule>
  </conditionalFormatting>
  <conditionalFormatting sqref="G17">
    <cfRule type="cellIs" dxfId="375" priority="12" operator="equal">
      <formula>"CORRECT !"</formula>
    </cfRule>
  </conditionalFormatting>
  <conditionalFormatting sqref="G18">
    <cfRule type="cellIs" dxfId="374" priority="11" operator="equal">
      <formula>"CORRECT !"</formula>
    </cfRule>
  </conditionalFormatting>
  <conditionalFormatting sqref="G19">
    <cfRule type="cellIs" dxfId="373" priority="10" operator="equal">
      <formula>"CORRECT !"</formula>
    </cfRule>
  </conditionalFormatting>
  <conditionalFormatting sqref="G20">
    <cfRule type="cellIs" dxfId="372" priority="9" operator="equal">
      <formula>"CORRECT !"</formula>
    </cfRule>
  </conditionalFormatting>
  <conditionalFormatting sqref="G21">
    <cfRule type="cellIs" dxfId="371" priority="8" operator="equal">
      <formula>"CORRECT !"</formula>
    </cfRule>
  </conditionalFormatting>
  <conditionalFormatting sqref="G22">
    <cfRule type="cellIs" dxfId="370" priority="7" operator="equal">
      <formula>"CORRECT !"</formula>
    </cfRule>
  </conditionalFormatting>
  <conditionalFormatting sqref="J17">
    <cfRule type="cellIs" dxfId="369" priority="6" operator="equal">
      <formula>"CORRECT !"</formula>
    </cfRule>
  </conditionalFormatting>
  <conditionalFormatting sqref="J18">
    <cfRule type="cellIs" dxfId="368" priority="5" operator="equal">
      <formula>"CORRECT !"</formula>
    </cfRule>
  </conditionalFormatting>
  <conditionalFormatting sqref="J19">
    <cfRule type="cellIs" dxfId="367" priority="4" operator="equal">
      <formula>"CORRECT !"</formula>
    </cfRule>
  </conditionalFormatting>
  <conditionalFormatting sqref="J20">
    <cfRule type="cellIs" dxfId="366" priority="3" operator="equal">
      <formula>"CORRECT !"</formula>
    </cfRule>
  </conditionalFormatting>
  <conditionalFormatting sqref="J21">
    <cfRule type="cellIs" dxfId="365" priority="2" operator="equal">
      <formula>"CORRECT !"</formula>
    </cfRule>
  </conditionalFormatting>
  <conditionalFormatting sqref="J22">
    <cfRule type="cellIs" dxfId="364" priority="1" operator="equal">
      <formula>"CORRECT !"</formula>
    </cfRule>
  </conditionalFormatting>
  <hyperlinks>
    <hyperlink ref="N1" r:id="rId1" xr:uid="{AB124EFC-EC30-4B12-A6FE-659A6D53286D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58361-E2E8-4224-A613-2FF5D22F3F88}">
  <dimension ref="A1:O63"/>
  <sheetViews>
    <sheetView showGridLines="0" workbookViewId="0">
      <selection activeCell="M9" sqref="M9"/>
    </sheetView>
  </sheetViews>
  <sheetFormatPr defaultRowHeight="14.4" x14ac:dyDescent="0.3"/>
  <cols>
    <col min="2" max="2" width="10.21875" customWidth="1"/>
    <col min="6" max="6" width="3.33203125" customWidth="1"/>
    <col min="7" max="7" width="2" customWidth="1"/>
    <col min="9" max="9" width="3.33203125" customWidth="1"/>
    <col min="10" max="10" width="11.33203125" customWidth="1"/>
  </cols>
  <sheetData>
    <row r="1" spans="1:15" ht="21" x14ac:dyDescent="0.4">
      <c r="A1" s="78" t="s">
        <v>154</v>
      </c>
      <c r="B1" s="78"/>
      <c r="C1" s="67"/>
      <c r="D1" s="66"/>
      <c r="E1" s="66"/>
      <c r="F1" s="1"/>
      <c r="G1" s="67"/>
      <c r="H1" s="68"/>
      <c r="I1" s="69"/>
      <c r="J1" s="67"/>
      <c r="K1" s="68"/>
      <c r="L1" s="104" t="s">
        <v>73</v>
      </c>
      <c r="M1" s="84" t="s">
        <v>74</v>
      </c>
    </row>
    <row r="2" spans="1:15" ht="23.4" x14ac:dyDescent="0.45">
      <c r="A2" s="179" t="s">
        <v>44</v>
      </c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56"/>
      <c r="M2" s="5"/>
      <c r="O2" t="s">
        <v>150</v>
      </c>
    </row>
    <row r="3" spans="1:15" ht="18" x14ac:dyDescent="0.35">
      <c r="B3" s="157"/>
      <c r="C3" s="157"/>
      <c r="D3" s="180" t="s">
        <v>134</v>
      </c>
      <c r="E3" s="180"/>
      <c r="F3" s="180"/>
      <c r="G3" s="180"/>
      <c r="H3" s="180"/>
      <c r="I3" s="180"/>
      <c r="J3" s="180"/>
      <c r="K3" s="157"/>
      <c r="L3" s="157"/>
      <c r="M3" s="160"/>
      <c r="O3" t="s">
        <v>151</v>
      </c>
    </row>
    <row r="4" spans="1:15" ht="21" x14ac:dyDescent="0.4">
      <c r="B4" s="55"/>
      <c r="C4" s="155" t="s">
        <v>76</v>
      </c>
      <c r="D4" s="5"/>
      <c r="E4" s="147"/>
      <c r="F4" s="7"/>
      <c r="G4" s="36"/>
      <c r="H4" s="36"/>
      <c r="I4" s="148"/>
      <c r="J4" s="149"/>
      <c r="K4" s="150"/>
      <c r="L4" s="36"/>
      <c r="M4" s="7"/>
      <c r="N4" s="5"/>
      <c r="O4" t="s">
        <v>153</v>
      </c>
    </row>
    <row r="5" spans="1:15" ht="18" x14ac:dyDescent="0.35">
      <c r="A5" s="185" t="str">
        <f>[1]!wwsInput()</f>
        <v/>
      </c>
      <c r="B5" s="185"/>
      <c r="C5" s="185"/>
      <c r="D5" s="185"/>
      <c r="K5" s="162"/>
      <c r="L5" s="159"/>
      <c r="M5" s="27"/>
      <c r="N5" s="31"/>
      <c r="O5" t="s">
        <v>152</v>
      </c>
    </row>
    <row r="6" spans="1:15" s="171" customFormat="1" ht="30" customHeight="1" thickBot="1" x14ac:dyDescent="0.35">
      <c r="A6" s="166"/>
      <c r="B6" s="166"/>
      <c r="C6" s="187">
        <f>SUM(B7:B61)/55</f>
        <v>0</v>
      </c>
      <c r="D6" s="187"/>
      <c r="E6" s="188" t="s">
        <v>45</v>
      </c>
      <c r="F6" s="188"/>
      <c r="G6" s="188"/>
      <c r="H6" s="188"/>
      <c r="I6" s="188"/>
      <c r="J6" s="188"/>
      <c r="K6" s="167"/>
      <c r="L6" s="168"/>
      <c r="M6" s="169"/>
      <c r="N6" s="170"/>
    </row>
    <row r="7" spans="1:15" ht="21.6" thickBot="1" x14ac:dyDescent="0.45">
      <c r="A7" s="52"/>
      <c r="B7" s="152">
        <f>IF(OR(AND(UPPER($F7)="Y",$C7=$E7,$I7=""),AND(UPPER($I7)="Y",$C7=$H7,$F7="")),1,0)</f>
        <v>0</v>
      </c>
      <c r="C7" s="164" t="s">
        <v>21</v>
      </c>
      <c r="D7" s="15" t="str">
        <f>CONCATENATE(1,".")</f>
        <v>1.</v>
      </c>
      <c r="E7" s="142" t="s">
        <v>21</v>
      </c>
      <c r="F7" s="177" t="str">
        <f>[1]!wwsInput()</f>
        <v/>
      </c>
      <c r="G7" s="26"/>
      <c r="H7" s="142" t="s">
        <v>38</v>
      </c>
      <c r="I7" s="177" t="str">
        <f>[1]!wwsInput()</f>
        <v/>
      </c>
      <c r="J7" s="173"/>
      <c r="K7" s="39">
        <f>IF(AND(F7&lt;&gt;"",I7&lt;&gt;""),1,0)</f>
        <v>0</v>
      </c>
    </row>
    <row r="8" spans="1:15" ht="21.6" thickBot="1" x14ac:dyDescent="0.45">
      <c r="A8" s="52"/>
      <c r="B8" s="152">
        <f t="shared" ref="B8:B61" si="0">IF(OR(AND(UPPER($F8)="Y",$C8=$E8,$I8=""),AND(UPPER($I8)="Y",$C8=$H8,$F8="")),1,0)</f>
        <v>0</v>
      </c>
      <c r="C8" s="164" t="s">
        <v>124</v>
      </c>
      <c r="D8" s="15" t="str">
        <f t="shared" ref="D8:D61" si="1">CONCATENATE(D7+1,".")</f>
        <v>2.</v>
      </c>
      <c r="E8" s="174" t="s">
        <v>124</v>
      </c>
      <c r="F8" s="175" t="str">
        <f>[1]!wwsInput()</f>
        <v/>
      </c>
      <c r="G8" s="26"/>
      <c r="H8" s="174" t="s">
        <v>95</v>
      </c>
      <c r="I8" s="176" t="str">
        <f>[1]!wwsInput()</f>
        <v/>
      </c>
      <c r="J8" s="173"/>
      <c r="K8" s="39">
        <f t="shared" ref="K8:K61" si="2">IF(AND(F8&lt;&gt;"",I8&lt;&gt;""),1,0)</f>
        <v>0</v>
      </c>
      <c r="L8" t="s">
        <v>157</v>
      </c>
    </row>
    <row r="9" spans="1:15" ht="21.6" thickBot="1" x14ac:dyDescent="0.45">
      <c r="A9" s="52"/>
      <c r="B9" s="152">
        <f t="shared" si="0"/>
        <v>0</v>
      </c>
      <c r="C9" s="164" t="s">
        <v>100</v>
      </c>
      <c r="D9" s="15" t="str">
        <f t="shared" si="1"/>
        <v>3.</v>
      </c>
      <c r="E9" s="142" t="s">
        <v>23</v>
      </c>
      <c r="F9" s="60" t="str">
        <f>[1]!wwsInput()</f>
        <v/>
      </c>
      <c r="G9" s="26"/>
      <c r="H9" s="142" t="s">
        <v>100</v>
      </c>
      <c r="I9" s="165" t="str">
        <f>[1]!wwsInput()</f>
        <v/>
      </c>
      <c r="J9" s="173"/>
      <c r="K9" s="39">
        <f t="shared" si="2"/>
        <v>0</v>
      </c>
      <c r="L9" t="s">
        <v>158</v>
      </c>
    </row>
    <row r="10" spans="1:15" ht="21.6" thickBot="1" x14ac:dyDescent="0.45">
      <c r="A10" s="52"/>
      <c r="B10" s="152">
        <f t="shared" si="0"/>
        <v>0</v>
      </c>
      <c r="C10" s="164" t="s">
        <v>98</v>
      </c>
      <c r="D10" s="15" t="str">
        <f t="shared" si="1"/>
        <v>4.</v>
      </c>
      <c r="E10" s="142" t="s">
        <v>136</v>
      </c>
      <c r="F10" s="60" t="str">
        <f>[1]!wwsInput()</f>
        <v/>
      </c>
      <c r="G10" s="26"/>
      <c r="H10" s="142" t="s">
        <v>98</v>
      </c>
      <c r="I10" s="165" t="str">
        <f>[1]!wwsInput()</f>
        <v/>
      </c>
      <c r="J10" s="173"/>
      <c r="K10" s="39">
        <f t="shared" si="2"/>
        <v>0</v>
      </c>
    </row>
    <row r="11" spans="1:15" ht="21.6" thickBot="1" x14ac:dyDescent="0.45">
      <c r="A11" s="52"/>
      <c r="B11" s="152">
        <f t="shared" si="0"/>
        <v>0</v>
      </c>
      <c r="C11" s="164" t="s">
        <v>9</v>
      </c>
      <c r="D11" s="15" t="str">
        <f t="shared" si="1"/>
        <v>5.</v>
      </c>
      <c r="E11" s="142" t="s">
        <v>9</v>
      </c>
      <c r="F11" s="60" t="str">
        <f>[1]!wwsInput()</f>
        <v/>
      </c>
      <c r="G11" s="26"/>
      <c r="H11" s="142" t="s">
        <v>79</v>
      </c>
      <c r="I11" s="165" t="str">
        <f>[1]!wwsInput()</f>
        <v/>
      </c>
      <c r="J11" s="173"/>
      <c r="K11" s="39">
        <f t="shared" si="2"/>
        <v>0</v>
      </c>
    </row>
    <row r="12" spans="1:15" ht="21.6" thickBot="1" x14ac:dyDescent="0.45">
      <c r="A12" s="52"/>
      <c r="B12" s="152">
        <f t="shared" si="0"/>
        <v>0</v>
      </c>
      <c r="C12" s="164" t="s">
        <v>137</v>
      </c>
      <c r="D12" s="15" t="str">
        <f t="shared" si="1"/>
        <v>6.</v>
      </c>
      <c r="E12" s="142" t="s">
        <v>137</v>
      </c>
      <c r="F12" s="60" t="str">
        <f>[1]!wwsInput()</f>
        <v/>
      </c>
      <c r="G12" s="26"/>
      <c r="H12" s="142" t="s">
        <v>85</v>
      </c>
      <c r="I12" s="165" t="str">
        <f>[1]!wwsInput()</f>
        <v/>
      </c>
      <c r="J12" s="26"/>
      <c r="K12" s="39">
        <f t="shared" si="2"/>
        <v>0</v>
      </c>
    </row>
    <row r="13" spans="1:15" ht="21.6" thickBot="1" x14ac:dyDescent="0.45">
      <c r="A13" s="52"/>
      <c r="B13" s="152">
        <f t="shared" si="0"/>
        <v>0</v>
      </c>
      <c r="C13" s="164" t="s">
        <v>138</v>
      </c>
      <c r="D13" s="15" t="str">
        <f t="shared" si="1"/>
        <v>7.</v>
      </c>
      <c r="E13" s="142" t="s">
        <v>138</v>
      </c>
      <c r="F13" s="60" t="str">
        <f>[1]!wwsInput()</f>
        <v/>
      </c>
      <c r="G13" s="26"/>
      <c r="H13" s="142" t="s">
        <v>83</v>
      </c>
      <c r="I13" s="165" t="str">
        <f>[1]!wwsInput()</f>
        <v/>
      </c>
      <c r="J13" s="26"/>
      <c r="K13" s="39">
        <f t="shared" si="2"/>
        <v>0</v>
      </c>
    </row>
    <row r="14" spans="1:15" ht="21.6" thickBot="1" x14ac:dyDescent="0.45">
      <c r="A14" s="52"/>
      <c r="B14" s="152">
        <f t="shared" si="0"/>
        <v>0</v>
      </c>
      <c r="C14" s="164" t="s">
        <v>139</v>
      </c>
      <c r="D14" s="15" t="str">
        <f t="shared" si="1"/>
        <v>8.</v>
      </c>
      <c r="E14" s="142" t="s">
        <v>50</v>
      </c>
      <c r="F14" s="60" t="str">
        <f>[1]!wwsInput()</f>
        <v/>
      </c>
      <c r="G14" s="26"/>
      <c r="H14" s="142" t="s">
        <v>139</v>
      </c>
      <c r="I14" s="165" t="str">
        <f>[1]!wwsInput()</f>
        <v/>
      </c>
      <c r="J14" s="26"/>
      <c r="K14" s="39">
        <f t="shared" si="2"/>
        <v>0</v>
      </c>
    </row>
    <row r="15" spans="1:15" ht="21.6" thickBot="1" x14ac:dyDescent="0.45">
      <c r="A15" s="52"/>
      <c r="B15" s="152">
        <f t="shared" si="0"/>
        <v>0</v>
      </c>
      <c r="C15" s="164" t="s">
        <v>55</v>
      </c>
      <c r="D15" s="15" t="str">
        <f t="shared" si="1"/>
        <v>9.</v>
      </c>
      <c r="E15" s="142" t="s">
        <v>55</v>
      </c>
      <c r="F15" s="60" t="str">
        <f>[1]!wwsInput()</f>
        <v/>
      </c>
      <c r="G15" s="26"/>
      <c r="H15" s="142" t="s">
        <v>116</v>
      </c>
      <c r="I15" s="165" t="str">
        <f>[1]!wwsInput()</f>
        <v/>
      </c>
      <c r="J15" s="26"/>
      <c r="K15" s="39">
        <f t="shared" si="2"/>
        <v>0</v>
      </c>
    </row>
    <row r="16" spans="1:15" ht="21.6" thickBot="1" x14ac:dyDescent="0.45">
      <c r="A16" s="52"/>
      <c r="B16" s="152">
        <f t="shared" si="0"/>
        <v>0</v>
      </c>
      <c r="C16" s="164" t="s">
        <v>96</v>
      </c>
      <c r="D16" s="15" t="str">
        <f t="shared" si="1"/>
        <v>10.</v>
      </c>
      <c r="E16" s="142" t="s">
        <v>123</v>
      </c>
      <c r="F16" s="60" t="str">
        <f>[1]!wwsInput()</f>
        <v/>
      </c>
      <c r="G16" s="26"/>
      <c r="H16" s="142" t="s">
        <v>96</v>
      </c>
      <c r="I16" s="165" t="str">
        <f>[1]!wwsInput()</f>
        <v/>
      </c>
      <c r="J16" s="26"/>
      <c r="K16" s="39">
        <f t="shared" si="2"/>
        <v>0</v>
      </c>
    </row>
    <row r="17" spans="1:11" ht="21.6" thickBot="1" x14ac:dyDescent="0.45">
      <c r="A17" s="52"/>
      <c r="B17" s="152">
        <f t="shared" si="0"/>
        <v>0</v>
      </c>
      <c r="C17" s="164" t="s">
        <v>141</v>
      </c>
      <c r="D17" s="15" t="str">
        <f t="shared" si="1"/>
        <v>11.</v>
      </c>
      <c r="E17" s="142" t="s">
        <v>141</v>
      </c>
      <c r="F17" s="60" t="str">
        <f>[1]!wwsInput()</f>
        <v/>
      </c>
      <c r="G17" s="26"/>
      <c r="H17" s="142" t="s">
        <v>142</v>
      </c>
      <c r="I17" s="165" t="str">
        <f>[1]!wwsInput()</f>
        <v/>
      </c>
      <c r="J17" s="26"/>
      <c r="K17" s="39">
        <f t="shared" si="2"/>
        <v>0</v>
      </c>
    </row>
    <row r="18" spans="1:11" ht="21.6" thickBot="1" x14ac:dyDescent="0.45">
      <c r="A18" s="52"/>
      <c r="B18" s="152">
        <f t="shared" si="0"/>
        <v>0</v>
      </c>
      <c r="C18" s="164" t="s">
        <v>126</v>
      </c>
      <c r="D18" s="15" t="str">
        <f t="shared" si="1"/>
        <v>12.</v>
      </c>
      <c r="E18" s="142" t="s">
        <v>68</v>
      </c>
      <c r="F18" s="60" t="str">
        <f>[1]!wwsInput()</f>
        <v/>
      </c>
      <c r="G18" s="26"/>
      <c r="H18" s="142" t="s">
        <v>126</v>
      </c>
      <c r="I18" s="165" t="str">
        <f>[1]!wwsInput()</f>
        <v/>
      </c>
      <c r="J18" s="26"/>
      <c r="K18" s="39">
        <f t="shared" si="2"/>
        <v>0</v>
      </c>
    </row>
    <row r="19" spans="1:11" ht="21.6" thickBot="1" x14ac:dyDescent="0.45">
      <c r="A19" s="52"/>
      <c r="B19" s="152">
        <f t="shared" si="0"/>
        <v>0</v>
      </c>
      <c r="C19" s="164" t="s">
        <v>50</v>
      </c>
      <c r="D19" s="15" t="str">
        <f t="shared" si="1"/>
        <v>13.</v>
      </c>
      <c r="E19" s="142" t="s">
        <v>50</v>
      </c>
      <c r="F19" s="60" t="str">
        <f>[1]!wwsInput()</f>
        <v/>
      </c>
      <c r="G19" s="26"/>
      <c r="H19" s="142" t="s">
        <v>111</v>
      </c>
      <c r="I19" s="165" t="str">
        <f>[1]!wwsInput()</f>
        <v/>
      </c>
      <c r="J19" s="26"/>
      <c r="K19" s="39">
        <f t="shared" si="2"/>
        <v>0</v>
      </c>
    </row>
    <row r="20" spans="1:11" ht="21.6" thickBot="1" x14ac:dyDescent="0.45">
      <c r="A20" s="52"/>
      <c r="B20" s="152">
        <f t="shared" si="0"/>
        <v>0</v>
      </c>
      <c r="C20" s="164" t="s">
        <v>119</v>
      </c>
      <c r="D20" s="15" t="str">
        <f t="shared" si="1"/>
        <v>14.</v>
      </c>
      <c r="E20" s="142" t="s">
        <v>119</v>
      </c>
      <c r="F20" s="60" t="str">
        <f>[1]!wwsInput()</f>
        <v/>
      </c>
      <c r="G20" s="26"/>
      <c r="H20" s="142" t="s">
        <v>92</v>
      </c>
      <c r="I20" s="165" t="str">
        <f>[1]!wwsInput()</f>
        <v/>
      </c>
      <c r="J20" s="26"/>
      <c r="K20" s="39">
        <f t="shared" si="2"/>
        <v>0</v>
      </c>
    </row>
    <row r="21" spans="1:11" ht="21.6" thickBot="1" x14ac:dyDescent="0.45">
      <c r="A21" s="52"/>
      <c r="B21" s="152">
        <f t="shared" si="0"/>
        <v>0</v>
      </c>
      <c r="C21" s="164" t="s">
        <v>110</v>
      </c>
      <c r="D21" s="15" t="str">
        <f t="shared" si="1"/>
        <v>15.</v>
      </c>
      <c r="E21" s="142" t="s">
        <v>110</v>
      </c>
      <c r="F21" s="60" t="str">
        <f>[1]!wwsInput()</f>
        <v/>
      </c>
      <c r="G21" s="26"/>
      <c r="H21" s="142" t="s">
        <v>80</v>
      </c>
      <c r="I21" s="165" t="str">
        <f>[1]!wwsInput()</f>
        <v/>
      </c>
      <c r="J21" s="26"/>
      <c r="K21" s="39">
        <f t="shared" si="2"/>
        <v>0</v>
      </c>
    </row>
    <row r="22" spans="1:11" ht="21.6" thickBot="1" x14ac:dyDescent="0.45">
      <c r="A22" s="52"/>
      <c r="B22" s="152">
        <f t="shared" si="0"/>
        <v>0</v>
      </c>
      <c r="C22" s="164" t="s">
        <v>140</v>
      </c>
      <c r="D22" s="15" t="str">
        <f t="shared" si="1"/>
        <v>16.</v>
      </c>
      <c r="E22" s="142" t="s">
        <v>140</v>
      </c>
      <c r="F22" s="60" t="str">
        <f>[1]!wwsInput()</f>
        <v/>
      </c>
      <c r="G22" s="26"/>
      <c r="H22" s="142" t="s">
        <v>99</v>
      </c>
      <c r="I22" s="165" t="str">
        <f>[1]!wwsInput()</f>
        <v/>
      </c>
      <c r="J22" s="26"/>
      <c r="K22" s="39">
        <f t="shared" si="2"/>
        <v>0</v>
      </c>
    </row>
    <row r="23" spans="1:11" ht="21.6" thickBot="1" x14ac:dyDescent="0.45">
      <c r="A23" s="52"/>
      <c r="B23" s="152">
        <f t="shared" si="0"/>
        <v>0</v>
      </c>
      <c r="C23" s="164" t="s">
        <v>23</v>
      </c>
      <c r="D23" s="15" t="str">
        <f t="shared" si="1"/>
        <v>17.</v>
      </c>
      <c r="E23" s="142" t="s">
        <v>66</v>
      </c>
      <c r="F23" s="60" t="str">
        <f>[1]!wwsInput()</f>
        <v/>
      </c>
      <c r="G23" s="26"/>
      <c r="H23" s="142" t="s">
        <v>23</v>
      </c>
      <c r="I23" s="165" t="str">
        <f>[1]!wwsInput()</f>
        <v/>
      </c>
      <c r="J23" s="26"/>
      <c r="K23" s="39">
        <f t="shared" si="2"/>
        <v>0</v>
      </c>
    </row>
    <row r="24" spans="1:11" ht="21.6" thickBot="1" x14ac:dyDescent="0.45">
      <c r="A24" s="52"/>
      <c r="B24" s="152">
        <f t="shared" si="0"/>
        <v>0</v>
      </c>
      <c r="C24" s="164" t="s">
        <v>142</v>
      </c>
      <c r="D24" s="15" t="str">
        <f t="shared" si="1"/>
        <v>18.</v>
      </c>
      <c r="E24" s="142" t="s">
        <v>142</v>
      </c>
      <c r="F24" s="60" t="str">
        <f>[1]!wwsInput()</f>
        <v/>
      </c>
      <c r="G24" s="26"/>
      <c r="H24" s="142" t="s">
        <v>100</v>
      </c>
      <c r="I24" s="165" t="str">
        <f>[1]!wwsInput()</f>
        <v/>
      </c>
      <c r="J24" s="26"/>
      <c r="K24" s="39">
        <f t="shared" si="2"/>
        <v>0</v>
      </c>
    </row>
    <row r="25" spans="1:11" ht="21.6" thickBot="1" x14ac:dyDescent="0.45">
      <c r="A25" s="52"/>
      <c r="B25" s="152">
        <f t="shared" si="0"/>
        <v>0</v>
      </c>
      <c r="C25" s="164" t="s">
        <v>96</v>
      </c>
      <c r="D25" s="15" t="str">
        <f t="shared" si="1"/>
        <v>19.</v>
      </c>
      <c r="E25" s="142" t="s">
        <v>121</v>
      </c>
      <c r="F25" s="60" t="str">
        <f>[1]!wwsInput()</f>
        <v/>
      </c>
      <c r="G25" s="26"/>
      <c r="H25" s="142" t="s">
        <v>96</v>
      </c>
      <c r="I25" s="165" t="str">
        <f>[1]!wwsInput()</f>
        <v/>
      </c>
      <c r="J25" s="26"/>
      <c r="K25" s="39">
        <f t="shared" si="2"/>
        <v>0</v>
      </c>
    </row>
    <row r="26" spans="1:11" ht="21.6" thickBot="1" x14ac:dyDescent="0.45">
      <c r="A26" s="107"/>
      <c r="B26" s="152">
        <f t="shared" si="0"/>
        <v>0</v>
      </c>
      <c r="C26" s="164" t="s">
        <v>39</v>
      </c>
      <c r="D26" s="15" t="str">
        <f t="shared" si="1"/>
        <v>20.</v>
      </c>
      <c r="E26" s="142" t="s">
        <v>116</v>
      </c>
      <c r="F26" s="60" t="str">
        <f>[1]!wwsInput()</f>
        <v/>
      </c>
      <c r="G26" s="26"/>
      <c r="H26" s="142" t="s">
        <v>39</v>
      </c>
      <c r="I26" s="165" t="str">
        <f>[1]!wwsInput()</f>
        <v/>
      </c>
      <c r="J26" s="26"/>
      <c r="K26" s="39">
        <f t="shared" si="2"/>
        <v>0</v>
      </c>
    </row>
    <row r="27" spans="1:11" ht="21.6" thickBot="1" x14ac:dyDescent="0.45">
      <c r="A27" s="89"/>
      <c r="B27" s="152">
        <f t="shared" si="0"/>
        <v>0</v>
      </c>
      <c r="C27" s="164" t="s">
        <v>81</v>
      </c>
      <c r="D27" s="15" t="str">
        <f t="shared" si="1"/>
        <v>21.</v>
      </c>
      <c r="E27" s="142" t="s">
        <v>139</v>
      </c>
      <c r="F27" s="60" t="str">
        <f>[1]!wwsInput()</f>
        <v/>
      </c>
      <c r="G27" s="26"/>
      <c r="H27" s="142" t="s">
        <v>81</v>
      </c>
      <c r="I27" s="165" t="str">
        <f>[1]!wwsInput()</f>
        <v/>
      </c>
      <c r="J27" s="26"/>
      <c r="K27" s="39">
        <f t="shared" si="2"/>
        <v>0</v>
      </c>
    </row>
    <row r="28" spans="1:11" ht="21.6" thickBot="1" x14ac:dyDescent="0.45">
      <c r="A28" s="158"/>
      <c r="B28" s="152">
        <f t="shared" si="0"/>
        <v>0</v>
      </c>
      <c r="C28" s="164" t="s">
        <v>67</v>
      </c>
      <c r="D28" s="15" t="str">
        <f t="shared" si="1"/>
        <v>22.</v>
      </c>
      <c r="E28" s="142" t="s">
        <v>67</v>
      </c>
      <c r="F28" s="60" t="str">
        <f>[1]!wwsInput()</f>
        <v/>
      </c>
      <c r="G28" s="26"/>
      <c r="H28" s="142" t="s">
        <v>141</v>
      </c>
      <c r="I28" s="165" t="str">
        <f>[1]!wwsInput()</f>
        <v/>
      </c>
      <c r="J28" s="26"/>
      <c r="K28" s="39">
        <f t="shared" si="2"/>
        <v>0</v>
      </c>
    </row>
    <row r="29" spans="1:11" ht="21.6" thickBot="1" x14ac:dyDescent="0.45">
      <c r="B29" s="152">
        <f t="shared" si="0"/>
        <v>0</v>
      </c>
      <c r="C29" s="164" t="s">
        <v>21</v>
      </c>
      <c r="D29" s="15" t="str">
        <f t="shared" si="1"/>
        <v>23.</v>
      </c>
      <c r="E29" s="142" t="s">
        <v>147</v>
      </c>
      <c r="F29" s="60" t="str">
        <f>[1]!wwsInput()</f>
        <v/>
      </c>
      <c r="H29" s="142" t="s">
        <v>21</v>
      </c>
      <c r="I29" s="165" t="str">
        <f>[1]!wwsInput()</f>
        <v/>
      </c>
      <c r="K29" s="39">
        <f t="shared" si="2"/>
        <v>0</v>
      </c>
    </row>
    <row r="30" spans="1:11" ht="21.6" thickBot="1" x14ac:dyDescent="0.45">
      <c r="B30" s="152">
        <f t="shared" si="0"/>
        <v>0</v>
      </c>
      <c r="C30" s="164" t="s">
        <v>67</v>
      </c>
      <c r="D30" s="15" t="str">
        <f t="shared" si="1"/>
        <v>24.</v>
      </c>
      <c r="E30" s="142" t="s">
        <v>67</v>
      </c>
      <c r="F30" s="60" t="str">
        <f>[1]!wwsInput()</f>
        <v/>
      </c>
      <c r="H30" s="142" t="s">
        <v>11</v>
      </c>
      <c r="I30" s="165" t="str">
        <f>[1]!wwsInput()</f>
        <v/>
      </c>
      <c r="K30" s="39">
        <f t="shared" si="2"/>
        <v>0</v>
      </c>
    </row>
    <row r="31" spans="1:11" ht="21.6" thickBot="1" x14ac:dyDescent="0.45">
      <c r="B31" s="152">
        <f t="shared" si="0"/>
        <v>0</v>
      </c>
      <c r="C31" s="164" t="s">
        <v>104</v>
      </c>
      <c r="D31" s="15" t="str">
        <f t="shared" si="1"/>
        <v>25.</v>
      </c>
      <c r="E31" s="142" t="s">
        <v>55</v>
      </c>
      <c r="F31" s="60" t="str">
        <f>[1]!wwsInput()</f>
        <v/>
      </c>
      <c r="H31" s="142" t="s">
        <v>104</v>
      </c>
      <c r="I31" s="165" t="str">
        <f>[1]!wwsInput()</f>
        <v/>
      </c>
      <c r="K31" s="39">
        <f t="shared" si="2"/>
        <v>0</v>
      </c>
    </row>
    <row r="32" spans="1:11" ht="21.6" thickBot="1" x14ac:dyDescent="0.45">
      <c r="B32" s="152">
        <f t="shared" si="0"/>
        <v>0</v>
      </c>
      <c r="C32" s="164" t="s">
        <v>60</v>
      </c>
      <c r="D32" s="15" t="str">
        <f t="shared" si="1"/>
        <v>26.</v>
      </c>
      <c r="E32" s="142" t="s">
        <v>60</v>
      </c>
      <c r="F32" s="60" t="str">
        <f>[1]!wwsInput()</f>
        <v/>
      </c>
      <c r="H32" s="142" t="s">
        <v>119</v>
      </c>
      <c r="I32" s="165" t="str">
        <f>[1]!wwsInput()</f>
        <v/>
      </c>
      <c r="K32" s="39">
        <f t="shared" si="2"/>
        <v>0</v>
      </c>
    </row>
    <row r="33" spans="2:11" ht="21.6" thickBot="1" x14ac:dyDescent="0.45">
      <c r="B33" s="152">
        <f t="shared" si="0"/>
        <v>0</v>
      </c>
      <c r="C33" s="164" t="s">
        <v>79</v>
      </c>
      <c r="D33" s="15" t="str">
        <f t="shared" si="1"/>
        <v>27.</v>
      </c>
      <c r="E33" s="142" t="s">
        <v>116</v>
      </c>
      <c r="F33" s="60" t="str">
        <f>[1]!wwsInput()</f>
        <v/>
      </c>
      <c r="H33" s="142" t="s">
        <v>79</v>
      </c>
      <c r="I33" s="165" t="str">
        <f>[1]!wwsInput()</f>
        <v/>
      </c>
      <c r="K33" s="39">
        <f t="shared" si="2"/>
        <v>0</v>
      </c>
    </row>
    <row r="34" spans="2:11" ht="21.6" thickBot="1" x14ac:dyDescent="0.45">
      <c r="B34" s="152">
        <f t="shared" si="0"/>
        <v>0</v>
      </c>
      <c r="C34" s="164" t="s">
        <v>58</v>
      </c>
      <c r="D34" s="15" t="str">
        <f t="shared" si="1"/>
        <v>28.</v>
      </c>
      <c r="E34" s="142" t="s">
        <v>58</v>
      </c>
      <c r="F34" s="60" t="str">
        <f>[1]!wwsInput()</f>
        <v/>
      </c>
      <c r="H34" s="142" t="s">
        <v>119</v>
      </c>
      <c r="I34" s="165" t="str">
        <f>[1]!wwsInput()</f>
        <v/>
      </c>
      <c r="K34" s="39">
        <f t="shared" si="2"/>
        <v>0</v>
      </c>
    </row>
    <row r="35" spans="2:11" ht="21.6" thickBot="1" x14ac:dyDescent="0.45">
      <c r="B35" s="152">
        <f t="shared" si="0"/>
        <v>0</v>
      </c>
      <c r="C35" s="164" t="s">
        <v>123</v>
      </c>
      <c r="D35" s="15" t="str">
        <f t="shared" si="1"/>
        <v>29.</v>
      </c>
      <c r="E35" s="142" t="s">
        <v>61</v>
      </c>
      <c r="F35" s="60" t="str">
        <f>[1]!wwsInput()</f>
        <v/>
      </c>
      <c r="H35" s="142" t="s">
        <v>123</v>
      </c>
      <c r="I35" s="165" t="str">
        <f>[1]!wwsInput()</f>
        <v/>
      </c>
      <c r="K35" s="39">
        <f t="shared" si="2"/>
        <v>0</v>
      </c>
    </row>
    <row r="36" spans="2:11" ht="21.6" thickBot="1" x14ac:dyDescent="0.45">
      <c r="B36" s="152">
        <f t="shared" si="0"/>
        <v>0</v>
      </c>
      <c r="C36" s="164" t="s">
        <v>52</v>
      </c>
      <c r="D36" s="15" t="str">
        <f t="shared" si="1"/>
        <v>30.</v>
      </c>
      <c r="E36" s="142" t="s">
        <v>52</v>
      </c>
      <c r="F36" s="60" t="str">
        <f>[1]!wwsInput()</f>
        <v/>
      </c>
      <c r="H36" s="142" t="s">
        <v>104</v>
      </c>
      <c r="I36" s="165" t="str">
        <f>[1]!wwsInput()</f>
        <v/>
      </c>
      <c r="K36" s="39">
        <f t="shared" si="2"/>
        <v>0</v>
      </c>
    </row>
    <row r="37" spans="2:11" ht="21.6" thickBot="1" x14ac:dyDescent="0.45">
      <c r="B37" s="152">
        <f t="shared" si="0"/>
        <v>0</v>
      </c>
      <c r="C37" s="164" t="s">
        <v>142</v>
      </c>
      <c r="D37" s="15" t="str">
        <f t="shared" si="1"/>
        <v>31.</v>
      </c>
      <c r="E37" s="142" t="s">
        <v>142</v>
      </c>
      <c r="F37" s="60" t="str">
        <f>[1]!wwsInput()</f>
        <v/>
      </c>
      <c r="H37" s="142" t="s">
        <v>97</v>
      </c>
      <c r="I37" s="165" t="str">
        <f>[1]!wwsInput()</f>
        <v/>
      </c>
      <c r="K37" s="39">
        <f t="shared" si="2"/>
        <v>0</v>
      </c>
    </row>
    <row r="38" spans="2:11" ht="21.6" thickBot="1" x14ac:dyDescent="0.45">
      <c r="B38" s="152">
        <f t="shared" si="0"/>
        <v>0</v>
      </c>
      <c r="C38" s="164" t="s">
        <v>50</v>
      </c>
      <c r="D38" s="15" t="str">
        <f t="shared" si="1"/>
        <v>32.</v>
      </c>
      <c r="E38" s="142" t="s">
        <v>50</v>
      </c>
      <c r="F38" s="60" t="str">
        <f>[1]!wwsInput()</f>
        <v/>
      </c>
      <c r="H38" s="142" t="s">
        <v>51</v>
      </c>
      <c r="I38" s="165" t="str">
        <f>[1]!wwsInput()</f>
        <v/>
      </c>
      <c r="K38" s="39">
        <f t="shared" si="2"/>
        <v>0</v>
      </c>
    </row>
    <row r="39" spans="2:11" ht="21.6" thickBot="1" x14ac:dyDescent="0.45">
      <c r="B39" s="152">
        <f t="shared" si="0"/>
        <v>0</v>
      </c>
      <c r="C39" s="164" t="s">
        <v>39</v>
      </c>
      <c r="D39" s="15" t="str">
        <f t="shared" si="1"/>
        <v>33.</v>
      </c>
      <c r="E39" s="142" t="s">
        <v>104</v>
      </c>
      <c r="F39" s="60" t="str">
        <f>[1]!wwsInput()</f>
        <v/>
      </c>
      <c r="H39" s="142" t="s">
        <v>39</v>
      </c>
      <c r="I39" s="165" t="str">
        <f>[1]!wwsInput()</f>
        <v/>
      </c>
      <c r="K39" s="39">
        <f t="shared" si="2"/>
        <v>0</v>
      </c>
    </row>
    <row r="40" spans="2:11" ht="21.6" thickBot="1" x14ac:dyDescent="0.45">
      <c r="B40" s="152">
        <f t="shared" si="0"/>
        <v>0</v>
      </c>
      <c r="C40" s="164" t="s">
        <v>89</v>
      </c>
      <c r="D40" s="15" t="str">
        <f t="shared" si="1"/>
        <v>34.</v>
      </c>
      <c r="E40" s="142" t="s">
        <v>105</v>
      </c>
      <c r="F40" s="60" t="str">
        <f>[1]!wwsInput()</f>
        <v/>
      </c>
      <c r="H40" s="142" t="s">
        <v>89</v>
      </c>
      <c r="I40" s="165" t="str">
        <f>[1]!wwsInput()</f>
        <v/>
      </c>
      <c r="K40" s="39">
        <f t="shared" si="2"/>
        <v>0</v>
      </c>
    </row>
    <row r="41" spans="2:11" ht="21.6" thickBot="1" x14ac:dyDescent="0.45">
      <c r="B41" s="152">
        <f t="shared" si="0"/>
        <v>0</v>
      </c>
      <c r="C41" s="164" t="s">
        <v>144</v>
      </c>
      <c r="D41" s="15" t="str">
        <f t="shared" si="1"/>
        <v>35.</v>
      </c>
      <c r="E41" s="142" t="s">
        <v>143</v>
      </c>
      <c r="F41" s="60" t="str">
        <f>[1]!wwsInput()</f>
        <v/>
      </c>
      <c r="H41" s="142" t="s">
        <v>144</v>
      </c>
      <c r="I41" s="165" t="str">
        <f>[1]!wwsInput()</f>
        <v/>
      </c>
      <c r="K41" s="39">
        <f t="shared" si="2"/>
        <v>0</v>
      </c>
    </row>
    <row r="42" spans="2:11" ht="21.6" thickBot="1" x14ac:dyDescent="0.45">
      <c r="B42" s="152">
        <f t="shared" si="0"/>
        <v>0</v>
      </c>
      <c r="C42" s="164" t="s">
        <v>114</v>
      </c>
      <c r="D42" s="15" t="str">
        <f t="shared" si="1"/>
        <v>36.</v>
      </c>
      <c r="E42" s="142" t="s">
        <v>114</v>
      </c>
      <c r="F42" s="60" t="str">
        <f>[1]!wwsInput()</f>
        <v/>
      </c>
      <c r="H42" s="142" t="s">
        <v>148</v>
      </c>
      <c r="I42" s="165" t="str">
        <f>[1]!wwsInput()</f>
        <v/>
      </c>
      <c r="K42" s="39">
        <f t="shared" si="2"/>
        <v>0</v>
      </c>
    </row>
    <row r="43" spans="2:11" ht="21.6" thickBot="1" x14ac:dyDescent="0.45">
      <c r="B43" s="152">
        <f t="shared" si="0"/>
        <v>0</v>
      </c>
      <c r="C43" s="164" t="s">
        <v>115</v>
      </c>
      <c r="D43" s="15" t="str">
        <f t="shared" si="1"/>
        <v>37.</v>
      </c>
      <c r="E43" s="142" t="s">
        <v>30</v>
      </c>
      <c r="F43" s="60" t="str">
        <f>[1]!wwsInput()</f>
        <v/>
      </c>
      <c r="H43" s="142" t="s">
        <v>115</v>
      </c>
      <c r="I43" s="165" t="str">
        <f>[1]!wwsInput()</f>
        <v/>
      </c>
      <c r="K43" s="39">
        <f t="shared" si="2"/>
        <v>0</v>
      </c>
    </row>
    <row r="44" spans="2:11" ht="21.6" thickBot="1" x14ac:dyDescent="0.45">
      <c r="B44" s="152">
        <f t="shared" si="0"/>
        <v>0</v>
      </c>
      <c r="C44" s="164" t="s">
        <v>98</v>
      </c>
      <c r="D44" s="15" t="str">
        <f t="shared" si="1"/>
        <v>38.</v>
      </c>
      <c r="E44" s="142" t="s">
        <v>140</v>
      </c>
      <c r="F44" s="60" t="str">
        <f>[1]!wwsInput()</f>
        <v/>
      </c>
      <c r="H44" s="142" t="s">
        <v>98</v>
      </c>
      <c r="I44" s="165" t="str">
        <f>[1]!wwsInput()</f>
        <v/>
      </c>
      <c r="K44" s="39">
        <f t="shared" si="2"/>
        <v>0</v>
      </c>
    </row>
    <row r="45" spans="2:11" ht="21.6" thickBot="1" x14ac:dyDescent="0.45">
      <c r="B45" s="152">
        <f t="shared" si="0"/>
        <v>0</v>
      </c>
      <c r="C45" s="164" t="s">
        <v>105</v>
      </c>
      <c r="D45" s="15" t="str">
        <f t="shared" si="1"/>
        <v>39.</v>
      </c>
      <c r="E45" s="142" t="s">
        <v>147</v>
      </c>
      <c r="F45" s="60" t="str">
        <f>[1]!wwsInput()</f>
        <v/>
      </c>
      <c r="H45" s="142" t="s">
        <v>105</v>
      </c>
      <c r="I45" s="165" t="str">
        <f>[1]!wwsInput()</f>
        <v/>
      </c>
      <c r="K45" s="39">
        <f t="shared" si="2"/>
        <v>0</v>
      </c>
    </row>
    <row r="46" spans="2:11" ht="21.6" thickBot="1" x14ac:dyDescent="0.45">
      <c r="B46" s="152">
        <f t="shared" si="0"/>
        <v>0</v>
      </c>
      <c r="C46" s="164" t="s">
        <v>111</v>
      </c>
      <c r="D46" s="15" t="str">
        <f t="shared" si="1"/>
        <v>40.</v>
      </c>
      <c r="E46" s="142" t="s">
        <v>111</v>
      </c>
      <c r="F46" s="60" t="str">
        <f>[1]!wwsInput()</f>
        <v/>
      </c>
      <c r="H46" s="142" t="s">
        <v>80</v>
      </c>
      <c r="I46" s="165" t="str">
        <f>[1]!wwsInput()</f>
        <v/>
      </c>
      <c r="K46" s="39">
        <f t="shared" si="2"/>
        <v>0</v>
      </c>
    </row>
    <row r="47" spans="2:11" ht="21.6" thickBot="1" x14ac:dyDescent="0.45">
      <c r="B47" s="152">
        <f t="shared" si="0"/>
        <v>0</v>
      </c>
      <c r="C47" s="164" t="s">
        <v>144</v>
      </c>
      <c r="D47" s="15" t="str">
        <f t="shared" si="1"/>
        <v>41.</v>
      </c>
      <c r="E47" s="142" t="s">
        <v>144</v>
      </c>
      <c r="F47" s="60" t="str">
        <f>[1]!wwsInput()</f>
        <v/>
      </c>
      <c r="H47" s="142" t="s">
        <v>93</v>
      </c>
      <c r="I47" s="165" t="str">
        <f>[1]!wwsInput()</f>
        <v/>
      </c>
      <c r="K47" s="39">
        <f t="shared" si="2"/>
        <v>0</v>
      </c>
    </row>
    <row r="48" spans="2:11" ht="21.6" thickBot="1" x14ac:dyDescent="0.45">
      <c r="B48" s="152">
        <f t="shared" si="0"/>
        <v>0</v>
      </c>
      <c r="C48" s="164" t="s">
        <v>68</v>
      </c>
      <c r="D48" s="15" t="str">
        <f t="shared" si="1"/>
        <v>42.</v>
      </c>
      <c r="E48" s="142" t="s">
        <v>68</v>
      </c>
      <c r="F48" s="60" t="str">
        <f>[1]!wwsInput()</f>
        <v/>
      </c>
      <c r="H48" s="142" t="s">
        <v>145</v>
      </c>
      <c r="I48" s="165" t="str">
        <f>[1]!wwsInput()</f>
        <v/>
      </c>
      <c r="K48" s="39">
        <f t="shared" si="2"/>
        <v>0</v>
      </c>
    </row>
    <row r="49" spans="2:14" ht="21.6" thickBot="1" x14ac:dyDescent="0.45">
      <c r="B49" s="152">
        <f t="shared" si="0"/>
        <v>0</v>
      </c>
      <c r="C49" s="164" t="s">
        <v>23</v>
      </c>
      <c r="D49" s="15" t="str">
        <f t="shared" si="1"/>
        <v>43.</v>
      </c>
      <c r="E49" s="142" t="s">
        <v>67</v>
      </c>
      <c r="F49" s="60" t="str">
        <f>[1]!wwsInput()</f>
        <v/>
      </c>
      <c r="H49" s="142" t="s">
        <v>23</v>
      </c>
      <c r="I49" s="165" t="str">
        <f>[1]!wwsInput()</f>
        <v/>
      </c>
      <c r="K49" s="39">
        <f t="shared" si="2"/>
        <v>0</v>
      </c>
    </row>
    <row r="50" spans="2:14" ht="21.6" thickBot="1" x14ac:dyDescent="0.45">
      <c r="B50" s="152">
        <f t="shared" si="0"/>
        <v>0</v>
      </c>
      <c r="C50" s="164" t="s">
        <v>146</v>
      </c>
      <c r="D50" s="15" t="str">
        <f t="shared" si="1"/>
        <v>44.</v>
      </c>
      <c r="E50" s="142" t="s">
        <v>146</v>
      </c>
      <c r="F50" s="60" t="str">
        <f>[1]!wwsInput()</f>
        <v/>
      </c>
      <c r="H50" s="142" t="s">
        <v>105</v>
      </c>
      <c r="I50" s="165" t="str">
        <f>[1]!wwsInput()</f>
        <v/>
      </c>
      <c r="K50" s="39">
        <f t="shared" si="2"/>
        <v>0</v>
      </c>
    </row>
    <row r="51" spans="2:14" ht="21.6" thickBot="1" x14ac:dyDescent="0.45">
      <c r="B51" s="152">
        <f t="shared" si="0"/>
        <v>0</v>
      </c>
      <c r="C51" s="164" t="s">
        <v>55</v>
      </c>
      <c r="D51" s="15" t="str">
        <f t="shared" si="1"/>
        <v>45.</v>
      </c>
      <c r="E51" s="142" t="s">
        <v>55</v>
      </c>
      <c r="F51" s="60" t="str">
        <f>[1]!wwsInput()</f>
        <v/>
      </c>
      <c r="H51" s="142" t="s">
        <v>9</v>
      </c>
      <c r="I51" s="165" t="str">
        <f>[1]!wwsInput()</f>
        <v/>
      </c>
      <c r="K51" s="39">
        <f t="shared" si="2"/>
        <v>0</v>
      </c>
    </row>
    <row r="52" spans="2:14" ht="21.6" thickBot="1" x14ac:dyDescent="0.45">
      <c r="B52" s="152">
        <f t="shared" si="0"/>
        <v>0</v>
      </c>
      <c r="C52" s="164" t="s">
        <v>61</v>
      </c>
      <c r="D52" s="15" t="str">
        <f t="shared" si="1"/>
        <v>46.</v>
      </c>
      <c r="E52" s="142" t="s">
        <v>124</v>
      </c>
      <c r="F52" s="60" t="str">
        <f>[1]!wwsInput()</f>
        <v/>
      </c>
      <c r="H52" s="142" t="s">
        <v>61</v>
      </c>
      <c r="I52" s="165" t="str">
        <f>[1]!wwsInput()</f>
        <v/>
      </c>
      <c r="K52" s="39">
        <f t="shared" si="2"/>
        <v>0</v>
      </c>
    </row>
    <row r="53" spans="2:14" ht="21.6" thickBot="1" x14ac:dyDescent="0.45">
      <c r="B53" s="152">
        <f t="shared" si="0"/>
        <v>0</v>
      </c>
      <c r="C53" s="164" t="s">
        <v>56</v>
      </c>
      <c r="D53" s="15" t="str">
        <f t="shared" si="1"/>
        <v>47.</v>
      </c>
      <c r="E53" s="142" t="s">
        <v>56</v>
      </c>
      <c r="F53" s="60" t="str">
        <f>[1]!wwsInput()</f>
        <v/>
      </c>
      <c r="H53" s="142" t="s">
        <v>106</v>
      </c>
      <c r="I53" s="165" t="str">
        <f>[1]!wwsInput()</f>
        <v/>
      </c>
      <c r="K53" s="39">
        <f t="shared" si="2"/>
        <v>0</v>
      </c>
    </row>
    <row r="54" spans="2:14" ht="21.6" thickBot="1" x14ac:dyDescent="0.45">
      <c r="B54" s="152">
        <f t="shared" si="0"/>
        <v>0</v>
      </c>
      <c r="C54" s="164" t="s">
        <v>68</v>
      </c>
      <c r="D54" s="15" t="str">
        <f t="shared" si="1"/>
        <v>48.</v>
      </c>
      <c r="E54" s="142" t="s">
        <v>68</v>
      </c>
      <c r="F54" s="60" t="str">
        <f>[1]!wwsInput()</f>
        <v/>
      </c>
      <c r="H54" s="142" t="s">
        <v>140</v>
      </c>
      <c r="I54" s="165" t="str">
        <f>[1]!wwsInput()</f>
        <v/>
      </c>
      <c r="K54" s="39">
        <f t="shared" si="2"/>
        <v>0</v>
      </c>
    </row>
    <row r="55" spans="2:14" ht="21.6" thickBot="1" x14ac:dyDescent="0.45">
      <c r="B55" s="152">
        <f t="shared" si="0"/>
        <v>0</v>
      </c>
      <c r="C55" s="164" t="s">
        <v>135</v>
      </c>
      <c r="D55" s="15" t="str">
        <f t="shared" si="1"/>
        <v>49.</v>
      </c>
      <c r="E55" s="142" t="s">
        <v>135</v>
      </c>
      <c r="F55" s="60" t="str">
        <f>[1]!wwsInput()</f>
        <v/>
      </c>
      <c r="H55" s="142" t="s">
        <v>94</v>
      </c>
      <c r="I55" s="165" t="str">
        <f>[1]!wwsInput()</f>
        <v/>
      </c>
      <c r="K55" s="39">
        <f t="shared" si="2"/>
        <v>0</v>
      </c>
    </row>
    <row r="56" spans="2:14" ht="21.6" thickBot="1" x14ac:dyDescent="0.45">
      <c r="B56" s="152">
        <f t="shared" si="0"/>
        <v>0</v>
      </c>
      <c r="C56" s="164" t="s">
        <v>90</v>
      </c>
      <c r="D56" s="15" t="str">
        <f t="shared" si="1"/>
        <v>50.</v>
      </c>
      <c r="E56" s="142" t="s">
        <v>120</v>
      </c>
      <c r="F56" s="60" t="str">
        <f>[1]!wwsInput()</f>
        <v/>
      </c>
      <c r="H56" s="142" t="s">
        <v>90</v>
      </c>
      <c r="I56" s="165" t="str">
        <f>[1]!wwsInput()</f>
        <v/>
      </c>
      <c r="K56" s="39">
        <f t="shared" si="2"/>
        <v>0</v>
      </c>
    </row>
    <row r="57" spans="2:14" ht="21.6" thickBot="1" x14ac:dyDescent="0.45">
      <c r="B57" s="152">
        <f t="shared" si="0"/>
        <v>0</v>
      </c>
      <c r="C57" s="164" t="s">
        <v>87</v>
      </c>
      <c r="D57" s="15" t="str">
        <f t="shared" si="1"/>
        <v>51.</v>
      </c>
      <c r="E57" s="142" t="s">
        <v>106</v>
      </c>
      <c r="F57" s="60" t="str">
        <f>[1]!wwsInput()</f>
        <v/>
      </c>
      <c r="H57" s="142" t="s">
        <v>87</v>
      </c>
      <c r="I57" s="165" t="str">
        <f>[1]!wwsInput()</f>
        <v/>
      </c>
      <c r="K57" s="39">
        <f t="shared" si="2"/>
        <v>0</v>
      </c>
    </row>
    <row r="58" spans="2:14" ht="21.6" thickBot="1" x14ac:dyDescent="0.45">
      <c r="B58" s="152">
        <f t="shared" si="0"/>
        <v>0</v>
      </c>
      <c r="C58" s="164" t="s">
        <v>93</v>
      </c>
      <c r="D58" s="15" t="str">
        <f t="shared" si="1"/>
        <v>52.</v>
      </c>
      <c r="E58" s="142" t="s">
        <v>135</v>
      </c>
      <c r="F58" s="60" t="str">
        <f>[1]!wwsInput()</f>
        <v/>
      </c>
      <c r="H58" s="142" t="s">
        <v>93</v>
      </c>
      <c r="I58" s="165" t="str">
        <f>[1]!wwsInput()</f>
        <v/>
      </c>
      <c r="K58" s="39">
        <f t="shared" si="2"/>
        <v>0</v>
      </c>
    </row>
    <row r="59" spans="2:14" ht="21.6" thickBot="1" x14ac:dyDescent="0.45">
      <c r="B59" s="152">
        <f t="shared" si="0"/>
        <v>0</v>
      </c>
      <c r="C59" s="164" t="s">
        <v>120</v>
      </c>
      <c r="D59" s="15" t="str">
        <f t="shared" si="1"/>
        <v>53.</v>
      </c>
      <c r="E59" s="142" t="s">
        <v>120</v>
      </c>
      <c r="F59" s="60" t="str">
        <f>[1]!wwsInput()</f>
        <v/>
      </c>
      <c r="H59" s="142" t="s">
        <v>91</v>
      </c>
      <c r="I59" s="165" t="str">
        <f>[1]!wwsInput()</f>
        <v/>
      </c>
      <c r="K59" s="39">
        <f t="shared" si="2"/>
        <v>0</v>
      </c>
    </row>
    <row r="60" spans="2:14" ht="21.6" thickBot="1" x14ac:dyDescent="0.45">
      <c r="B60" s="152">
        <f t="shared" si="0"/>
        <v>0</v>
      </c>
      <c r="C60" s="164" t="s">
        <v>30</v>
      </c>
      <c r="D60" s="15" t="str">
        <f t="shared" si="1"/>
        <v>54.</v>
      </c>
      <c r="E60" s="142" t="s">
        <v>30</v>
      </c>
      <c r="F60" s="60" t="str">
        <f>[1]!wwsInput()</f>
        <v/>
      </c>
      <c r="H60" s="142" t="s">
        <v>114</v>
      </c>
      <c r="I60" s="165" t="str">
        <f>[1]!wwsInput()</f>
        <v/>
      </c>
      <c r="K60" s="39">
        <f t="shared" si="2"/>
        <v>0</v>
      </c>
    </row>
    <row r="61" spans="2:14" ht="21.6" thickBot="1" x14ac:dyDescent="0.45">
      <c r="B61" s="152">
        <f t="shared" si="0"/>
        <v>0</v>
      </c>
      <c r="C61" s="164" t="s">
        <v>125</v>
      </c>
      <c r="D61" s="15" t="str">
        <f t="shared" si="1"/>
        <v>55.</v>
      </c>
      <c r="E61" s="142" t="s">
        <v>63</v>
      </c>
      <c r="F61" s="60" t="str">
        <f>[1]!wwsInput()</f>
        <v/>
      </c>
      <c r="H61" s="142" t="s">
        <v>125</v>
      </c>
      <c r="I61" s="165" t="str">
        <f>[1]!wwsInput()</f>
        <v/>
      </c>
      <c r="K61" s="39">
        <f t="shared" si="2"/>
        <v>0</v>
      </c>
    </row>
    <row r="62" spans="2:14" x14ac:dyDescent="0.3">
      <c r="J62" s="97" t="s">
        <v>156</v>
      </c>
      <c r="K62" s="193">
        <f>SUM(K7:K61)/55</f>
        <v>0</v>
      </c>
    </row>
    <row r="63" spans="2:14" x14ac:dyDescent="0.3">
      <c r="N63" s="120" t="s">
        <v>43</v>
      </c>
    </row>
  </sheetData>
  <mergeCells count="5">
    <mergeCell ref="A5:D5"/>
    <mergeCell ref="C6:D6"/>
    <mergeCell ref="E6:J6"/>
    <mergeCell ref="A2:K2"/>
    <mergeCell ref="D3:J3"/>
  </mergeCells>
  <conditionalFormatting sqref="G26">
    <cfRule type="cellIs" dxfId="363" priority="1022" operator="equal">
      <formula>"CORRECT !"</formula>
    </cfRule>
  </conditionalFormatting>
  <conditionalFormatting sqref="G23">
    <cfRule type="cellIs" dxfId="362" priority="1024" operator="equal">
      <formula>"CORRECT !"</formula>
    </cfRule>
  </conditionalFormatting>
  <conditionalFormatting sqref="G24">
    <cfRule type="cellIs" dxfId="361" priority="1023" operator="equal">
      <formula>"CORRECT !"</formula>
    </cfRule>
  </conditionalFormatting>
  <conditionalFormatting sqref="G25">
    <cfRule type="cellIs" dxfId="360" priority="1013" operator="equal">
      <formula>"CORRECT !"</formula>
    </cfRule>
  </conditionalFormatting>
  <conditionalFormatting sqref="G27">
    <cfRule type="cellIs" dxfId="359" priority="1010" operator="equal">
      <formula>"CORRECT !"</formula>
    </cfRule>
  </conditionalFormatting>
  <conditionalFormatting sqref="G28">
    <cfRule type="cellIs" dxfId="358" priority="1008" operator="equal">
      <formula>"CORRECT !"</formula>
    </cfRule>
  </conditionalFormatting>
  <conditionalFormatting sqref="G21">
    <cfRule type="cellIs" dxfId="357" priority="755" operator="equal">
      <formula>"CORRECT !"</formula>
    </cfRule>
  </conditionalFormatting>
  <conditionalFormatting sqref="G22">
    <cfRule type="cellIs" dxfId="356" priority="754" operator="equal">
      <formula>"CORRECT !"</formula>
    </cfRule>
  </conditionalFormatting>
  <conditionalFormatting sqref="G7">
    <cfRule type="cellIs" dxfId="355" priority="375" operator="equal">
      <formula>"CORRECT !"</formula>
    </cfRule>
  </conditionalFormatting>
  <conditionalFormatting sqref="F7">
    <cfRule type="expression" dxfId="354" priority="372">
      <formula>OR($F7&lt;&gt;"",$I7&lt;&gt;"")</formula>
    </cfRule>
  </conditionalFormatting>
  <conditionalFormatting sqref="I7">
    <cfRule type="expression" dxfId="353" priority="369">
      <formula>OR($F7&lt;&gt;"",$I7&lt;&gt;"")</formula>
    </cfRule>
  </conditionalFormatting>
  <conditionalFormatting sqref="E7">
    <cfRule type="expression" dxfId="352" priority="342">
      <formula>AND($F7&lt;&gt;"",$C7&lt;&gt;$E7)</formula>
    </cfRule>
    <cfRule type="expression" dxfId="351" priority="343">
      <formula>AND(UPPER($F7)="Y",$C7=$E7)</formula>
    </cfRule>
  </conditionalFormatting>
  <conditionalFormatting sqref="H7">
    <cfRule type="expression" dxfId="350" priority="338">
      <formula>AND($I7&lt;&gt;"",$C7&lt;&gt;$H7)</formula>
    </cfRule>
    <cfRule type="expression" dxfId="349" priority="339">
      <formula>AND(UPPER($I7)="Y",$C7=$H7)</formula>
    </cfRule>
  </conditionalFormatting>
  <conditionalFormatting sqref="E8">
    <cfRule type="expression" dxfId="348" priority="336">
      <formula>AND($F8&lt;&gt;"",$C8&lt;&gt;$E8)</formula>
    </cfRule>
    <cfRule type="expression" dxfId="347" priority="337">
      <formula>AND(UPPER($F8)="Y",$C8=$E8)</formula>
    </cfRule>
  </conditionalFormatting>
  <conditionalFormatting sqref="H8">
    <cfRule type="expression" dxfId="346" priority="334">
      <formula>AND($I8&lt;&gt;"",$C8&lt;&gt;$H8)</formula>
    </cfRule>
    <cfRule type="expression" dxfId="345" priority="335">
      <formula>AND(UPPER($I8)="Y",$C8=$H8)</formula>
    </cfRule>
  </conditionalFormatting>
  <conditionalFormatting sqref="F8">
    <cfRule type="expression" dxfId="344" priority="333">
      <formula>OR($F8&lt;&gt;"",$I8&lt;&gt;"")</formula>
    </cfRule>
  </conditionalFormatting>
  <conditionalFormatting sqref="F9">
    <cfRule type="expression" dxfId="343" priority="332">
      <formula>OR($F9&lt;&gt;"",$I9&lt;&gt;"")</formula>
    </cfRule>
  </conditionalFormatting>
  <conditionalFormatting sqref="F10">
    <cfRule type="expression" dxfId="342" priority="331">
      <formula>OR($F10&lt;&gt;"",$I10&lt;&gt;"")</formula>
    </cfRule>
  </conditionalFormatting>
  <conditionalFormatting sqref="F11">
    <cfRule type="expression" dxfId="341" priority="330">
      <formula>OR($F11&lt;&gt;"",$I11&lt;&gt;"")</formula>
    </cfRule>
  </conditionalFormatting>
  <conditionalFormatting sqref="F12">
    <cfRule type="expression" dxfId="340" priority="329">
      <formula>OR($F12&lt;&gt;"",$I12&lt;&gt;"")</formula>
    </cfRule>
  </conditionalFormatting>
  <conditionalFormatting sqref="F13">
    <cfRule type="expression" dxfId="339" priority="328">
      <formula>OR($F13&lt;&gt;"",$I13&lt;&gt;"")</formula>
    </cfRule>
  </conditionalFormatting>
  <conditionalFormatting sqref="F14">
    <cfRule type="expression" dxfId="338" priority="327">
      <formula>OR($F14&lt;&gt;"",$I14&lt;&gt;"")</formula>
    </cfRule>
  </conditionalFormatting>
  <conditionalFormatting sqref="F15">
    <cfRule type="expression" dxfId="337" priority="326">
      <formula>OR($F15&lt;&gt;"",$I15&lt;&gt;"")</formula>
    </cfRule>
  </conditionalFormatting>
  <conditionalFormatting sqref="F16">
    <cfRule type="expression" dxfId="336" priority="325">
      <formula>OR($F16&lt;&gt;"",$I16&lt;&gt;"")</formula>
    </cfRule>
  </conditionalFormatting>
  <conditionalFormatting sqref="F17">
    <cfRule type="expression" dxfId="335" priority="324">
      <formula>OR($F17&lt;&gt;"",$I17&lt;&gt;"")</formula>
    </cfRule>
  </conditionalFormatting>
  <conditionalFormatting sqref="F18">
    <cfRule type="expression" dxfId="334" priority="323">
      <formula>OR($F18&lt;&gt;"",$I18&lt;&gt;"")</formula>
    </cfRule>
  </conditionalFormatting>
  <conditionalFormatting sqref="F19">
    <cfRule type="expression" dxfId="333" priority="322">
      <formula>OR($F19&lt;&gt;"",$I19&lt;&gt;"")</formula>
    </cfRule>
  </conditionalFormatting>
  <conditionalFormatting sqref="F20">
    <cfRule type="expression" dxfId="332" priority="321">
      <formula>OR($F20&lt;&gt;"",$I20&lt;&gt;"")</formula>
    </cfRule>
  </conditionalFormatting>
  <conditionalFormatting sqref="F21">
    <cfRule type="expression" dxfId="331" priority="320">
      <formula>OR($F21&lt;&gt;"",$I21&lt;&gt;"")</formula>
    </cfRule>
  </conditionalFormatting>
  <conditionalFormatting sqref="F22">
    <cfRule type="expression" dxfId="330" priority="319">
      <formula>OR($F22&lt;&gt;"",$I22&lt;&gt;"")</formula>
    </cfRule>
  </conditionalFormatting>
  <conditionalFormatting sqref="F23">
    <cfRule type="expression" dxfId="329" priority="318">
      <formula>OR($F23&lt;&gt;"",$I23&lt;&gt;"")</formula>
    </cfRule>
  </conditionalFormatting>
  <conditionalFormatting sqref="F24">
    <cfRule type="expression" dxfId="328" priority="317">
      <formula>OR($F24&lt;&gt;"",$I24&lt;&gt;"")</formula>
    </cfRule>
  </conditionalFormatting>
  <conditionalFormatting sqref="F25">
    <cfRule type="expression" dxfId="327" priority="316">
      <formula>OR($F25&lt;&gt;"",$I25&lt;&gt;"")</formula>
    </cfRule>
  </conditionalFormatting>
  <conditionalFormatting sqref="F26">
    <cfRule type="expression" dxfId="326" priority="315">
      <formula>OR($F26&lt;&gt;"",$I26&lt;&gt;"")</formula>
    </cfRule>
  </conditionalFormatting>
  <conditionalFormatting sqref="F27">
    <cfRule type="expression" dxfId="325" priority="314">
      <formula>OR($F27&lt;&gt;"",$I27&lt;&gt;"")</formula>
    </cfRule>
  </conditionalFormatting>
  <conditionalFormatting sqref="F28">
    <cfRule type="expression" dxfId="324" priority="313">
      <formula>OR($F28&lt;&gt;"",$I28&lt;&gt;"")</formula>
    </cfRule>
  </conditionalFormatting>
  <conditionalFormatting sqref="F29">
    <cfRule type="expression" dxfId="323" priority="312">
      <formula>OR($F29&lt;&gt;"",$I29&lt;&gt;"")</formula>
    </cfRule>
  </conditionalFormatting>
  <conditionalFormatting sqref="F30">
    <cfRule type="expression" dxfId="322" priority="311">
      <formula>OR($F30&lt;&gt;"",$I30&lt;&gt;"")</formula>
    </cfRule>
  </conditionalFormatting>
  <conditionalFormatting sqref="F31">
    <cfRule type="expression" dxfId="321" priority="310">
      <formula>OR($F31&lt;&gt;"",$I31&lt;&gt;"")</formula>
    </cfRule>
  </conditionalFormatting>
  <conditionalFormatting sqref="F32">
    <cfRule type="expression" dxfId="320" priority="309">
      <formula>OR($F32&lt;&gt;"",$I32&lt;&gt;"")</formula>
    </cfRule>
  </conditionalFormatting>
  <conditionalFormatting sqref="F33">
    <cfRule type="expression" dxfId="319" priority="308">
      <formula>OR($F33&lt;&gt;"",$I33&lt;&gt;"")</formula>
    </cfRule>
  </conditionalFormatting>
  <conditionalFormatting sqref="F34">
    <cfRule type="expression" dxfId="318" priority="307">
      <formula>OR($F34&lt;&gt;"",$I34&lt;&gt;"")</formula>
    </cfRule>
  </conditionalFormatting>
  <conditionalFormatting sqref="F35">
    <cfRule type="expression" dxfId="317" priority="306">
      <formula>OR($F35&lt;&gt;"",$I35&lt;&gt;"")</formula>
    </cfRule>
  </conditionalFormatting>
  <conditionalFormatting sqref="F36">
    <cfRule type="expression" dxfId="316" priority="305">
      <formula>OR($F36&lt;&gt;"",$I36&lt;&gt;"")</formula>
    </cfRule>
  </conditionalFormatting>
  <conditionalFormatting sqref="F37">
    <cfRule type="expression" dxfId="315" priority="304">
      <formula>OR($F37&lt;&gt;"",$I37&lt;&gt;"")</formula>
    </cfRule>
  </conditionalFormatting>
  <conditionalFormatting sqref="F38">
    <cfRule type="expression" dxfId="314" priority="303">
      <formula>OR($F38&lt;&gt;"",$I38&lt;&gt;"")</formula>
    </cfRule>
  </conditionalFormatting>
  <conditionalFormatting sqref="F39">
    <cfRule type="expression" dxfId="313" priority="302">
      <formula>OR($F39&lt;&gt;"",$I39&lt;&gt;"")</formula>
    </cfRule>
  </conditionalFormatting>
  <conditionalFormatting sqref="F40">
    <cfRule type="expression" dxfId="312" priority="301">
      <formula>OR($F40&lt;&gt;"",$I40&lt;&gt;"")</formula>
    </cfRule>
  </conditionalFormatting>
  <conditionalFormatting sqref="F41">
    <cfRule type="expression" dxfId="311" priority="300">
      <formula>OR($F41&lt;&gt;"",$I41&lt;&gt;"")</formula>
    </cfRule>
  </conditionalFormatting>
  <conditionalFormatting sqref="F42">
    <cfRule type="expression" dxfId="310" priority="299">
      <formula>OR($F42&lt;&gt;"",$I42&lt;&gt;"")</formula>
    </cfRule>
  </conditionalFormatting>
  <conditionalFormatting sqref="F43">
    <cfRule type="expression" dxfId="309" priority="298">
      <formula>OR($F43&lt;&gt;"",$I43&lt;&gt;"")</formula>
    </cfRule>
  </conditionalFormatting>
  <conditionalFormatting sqref="F44">
    <cfRule type="expression" dxfId="308" priority="297">
      <formula>OR($F44&lt;&gt;"",$I44&lt;&gt;"")</formula>
    </cfRule>
  </conditionalFormatting>
  <conditionalFormatting sqref="F45">
    <cfRule type="expression" dxfId="307" priority="296">
      <formula>OR($F45&lt;&gt;"",$I45&lt;&gt;"")</formula>
    </cfRule>
  </conditionalFormatting>
  <conditionalFormatting sqref="F46">
    <cfRule type="expression" dxfId="306" priority="295">
      <formula>OR($F46&lt;&gt;"",$I46&lt;&gt;"")</formula>
    </cfRule>
  </conditionalFormatting>
  <conditionalFormatting sqref="F47">
    <cfRule type="expression" dxfId="305" priority="294">
      <formula>OR($F47&lt;&gt;"",$I47&lt;&gt;"")</formula>
    </cfRule>
  </conditionalFormatting>
  <conditionalFormatting sqref="F48">
    <cfRule type="expression" dxfId="304" priority="293">
      <formula>OR($F48&lt;&gt;"",$I48&lt;&gt;"")</formula>
    </cfRule>
  </conditionalFormatting>
  <conditionalFormatting sqref="F49">
    <cfRule type="expression" dxfId="303" priority="292">
      <formula>OR($F49&lt;&gt;"",$I49&lt;&gt;"")</formula>
    </cfRule>
  </conditionalFormatting>
  <conditionalFormatting sqref="F50">
    <cfRule type="expression" dxfId="302" priority="291">
      <formula>OR($F50&lt;&gt;"",$I50&lt;&gt;"")</formula>
    </cfRule>
  </conditionalFormatting>
  <conditionalFormatting sqref="F51">
    <cfRule type="expression" dxfId="301" priority="290">
      <formula>OR($F51&lt;&gt;"",$I51&lt;&gt;"")</formula>
    </cfRule>
  </conditionalFormatting>
  <conditionalFormatting sqref="F52">
    <cfRule type="expression" dxfId="300" priority="289">
      <formula>OR($F52&lt;&gt;"",$I52&lt;&gt;"")</formula>
    </cfRule>
  </conditionalFormatting>
  <conditionalFormatting sqref="F53">
    <cfRule type="expression" dxfId="299" priority="288">
      <formula>OR($F53&lt;&gt;"",$I53&lt;&gt;"")</formula>
    </cfRule>
  </conditionalFormatting>
  <conditionalFormatting sqref="F54">
    <cfRule type="expression" dxfId="298" priority="287">
      <formula>OR($F54&lt;&gt;"",$I54&lt;&gt;"")</formula>
    </cfRule>
  </conditionalFormatting>
  <conditionalFormatting sqref="F55">
    <cfRule type="expression" dxfId="297" priority="286">
      <formula>OR($F55&lt;&gt;"",$I55&lt;&gt;"")</formula>
    </cfRule>
  </conditionalFormatting>
  <conditionalFormatting sqref="F56">
    <cfRule type="expression" dxfId="296" priority="285">
      <formula>OR($F56&lt;&gt;"",$I56&lt;&gt;"")</formula>
    </cfRule>
  </conditionalFormatting>
  <conditionalFormatting sqref="F57">
    <cfRule type="expression" dxfId="295" priority="284">
      <formula>OR($F57&lt;&gt;"",$I57&lt;&gt;"")</formula>
    </cfRule>
  </conditionalFormatting>
  <conditionalFormatting sqref="F58">
    <cfRule type="expression" dxfId="294" priority="283">
      <formula>OR($F58&lt;&gt;"",$I58&lt;&gt;"")</formula>
    </cfRule>
  </conditionalFormatting>
  <conditionalFormatting sqref="F59">
    <cfRule type="expression" dxfId="293" priority="282">
      <formula>OR($F59&lt;&gt;"",$I59&lt;&gt;"")</formula>
    </cfRule>
  </conditionalFormatting>
  <conditionalFormatting sqref="F60">
    <cfRule type="expression" dxfId="292" priority="281">
      <formula>OR($F60&lt;&gt;"",$I60&lt;&gt;"")</formula>
    </cfRule>
  </conditionalFormatting>
  <conditionalFormatting sqref="F61">
    <cfRule type="expression" dxfId="291" priority="280">
      <formula>OR($F61&lt;&gt;"",$I61&lt;&gt;"")</formula>
    </cfRule>
  </conditionalFormatting>
  <conditionalFormatting sqref="G8">
    <cfRule type="cellIs" dxfId="290" priority="279" operator="equal">
      <formula>"CORRECT !"</formula>
    </cfRule>
  </conditionalFormatting>
  <conditionalFormatting sqref="G9">
    <cfRule type="cellIs" dxfId="289" priority="278" operator="equal">
      <formula>"CORRECT !"</formula>
    </cfRule>
  </conditionalFormatting>
  <conditionalFormatting sqref="G10">
    <cfRule type="cellIs" dxfId="288" priority="277" operator="equal">
      <formula>"CORRECT !"</formula>
    </cfRule>
  </conditionalFormatting>
  <conditionalFormatting sqref="G11">
    <cfRule type="cellIs" dxfId="287" priority="276" operator="equal">
      <formula>"CORRECT !"</formula>
    </cfRule>
  </conditionalFormatting>
  <conditionalFormatting sqref="G12">
    <cfRule type="cellIs" dxfId="286" priority="275" operator="equal">
      <formula>"CORRECT !"</formula>
    </cfRule>
  </conditionalFormatting>
  <conditionalFormatting sqref="G13">
    <cfRule type="cellIs" dxfId="285" priority="274" operator="equal">
      <formula>"CORRECT !"</formula>
    </cfRule>
  </conditionalFormatting>
  <conditionalFormatting sqref="G14">
    <cfRule type="cellIs" dxfId="284" priority="273" operator="equal">
      <formula>"CORRECT !"</formula>
    </cfRule>
  </conditionalFormatting>
  <conditionalFormatting sqref="G15">
    <cfRule type="cellIs" dxfId="283" priority="272" operator="equal">
      <formula>"CORRECT !"</formula>
    </cfRule>
  </conditionalFormatting>
  <conditionalFormatting sqref="G16">
    <cfRule type="cellIs" dxfId="282" priority="271" operator="equal">
      <formula>"CORRECT !"</formula>
    </cfRule>
  </conditionalFormatting>
  <conditionalFormatting sqref="G17">
    <cfRule type="cellIs" dxfId="281" priority="270" operator="equal">
      <formula>"CORRECT !"</formula>
    </cfRule>
  </conditionalFormatting>
  <conditionalFormatting sqref="G18">
    <cfRule type="cellIs" dxfId="280" priority="269" operator="equal">
      <formula>"CORRECT !"</formula>
    </cfRule>
  </conditionalFormatting>
  <conditionalFormatting sqref="G19">
    <cfRule type="cellIs" dxfId="279" priority="268" operator="equal">
      <formula>"CORRECT !"</formula>
    </cfRule>
  </conditionalFormatting>
  <conditionalFormatting sqref="G20">
    <cfRule type="cellIs" dxfId="278" priority="267" operator="equal">
      <formula>"CORRECT !"</formula>
    </cfRule>
  </conditionalFormatting>
  <conditionalFormatting sqref="I8">
    <cfRule type="expression" dxfId="277" priority="266">
      <formula>OR($F8&lt;&gt;"",$I8&lt;&gt;"")</formula>
    </cfRule>
  </conditionalFormatting>
  <conditionalFormatting sqref="I9">
    <cfRule type="expression" dxfId="276" priority="265">
      <formula>OR($F9&lt;&gt;"",$I9&lt;&gt;"")</formula>
    </cfRule>
  </conditionalFormatting>
  <conditionalFormatting sqref="I10">
    <cfRule type="expression" dxfId="275" priority="264">
      <formula>OR($F10&lt;&gt;"",$I10&lt;&gt;"")</formula>
    </cfRule>
  </conditionalFormatting>
  <conditionalFormatting sqref="I11">
    <cfRule type="expression" dxfId="274" priority="263">
      <formula>OR($F11&lt;&gt;"",$I11&lt;&gt;"")</formula>
    </cfRule>
  </conditionalFormatting>
  <conditionalFormatting sqref="I12">
    <cfRule type="expression" dxfId="273" priority="262">
      <formula>OR($F12&lt;&gt;"",$I12&lt;&gt;"")</formula>
    </cfRule>
  </conditionalFormatting>
  <conditionalFormatting sqref="I13">
    <cfRule type="expression" dxfId="272" priority="261">
      <formula>OR($F13&lt;&gt;"",$I13&lt;&gt;"")</formula>
    </cfRule>
  </conditionalFormatting>
  <conditionalFormatting sqref="I14">
    <cfRule type="expression" dxfId="271" priority="260">
      <formula>OR($F14&lt;&gt;"",$I14&lt;&gt;"")</formula>
    </cfRule>
  </conditionalFormatting>
  <conditionalFormatting sqref="I15">
    <cfRule type="expression" dxfId="270" priority="259">
      <formula>OR($F15&lt;&gt;"",$I15&lt;&gt;"")</formula>
    </cfRule>
  </conditionalFormatting>
  <conditionalFormatting sqref="I16">
    <cfRule type="expression" dxfId="269" priority="258">
      <formula>OR($F16&lt;&gt;"",$I16&lt;&gt;"")</formula>
    </cfRule>
  </conditionalFormatting>
  <conditionalFormatting sqref="I17">
    <cfRule type="expression" dxfId="268" priority="257">
      <formula>OR($F17&lt;&gt;"",$I17&lt;&gt;"")</formula>
    </cfRule>
  </conditionalFormatting>
  <conditionalFormatting sqref="I18">
    <cfRule type="expression" dxfId="267" priority="256">
      <formula>OR($F18&lt;&gt;"",$I18&lt;&gt;"")</formula>
    </cfRule>
  </conditionalFormatting>
  <conditionalFormatting sqref="I19">
    <cfRule type="expression" dxfId="266" priority="255">
      <formula>OR($F19&lt;&gt;"",$I19&lt;&gt;"")</formula>
    </cfRule>
  </conditionalFormatting>
  <conditionalFormatting sqref="I20">
    <cfRule type="expression" dxfId="265" priority="254">
      <formula>OR($F20&lt;&gt;"",$I20&lt;&gt;"")</formula>
    </cfRule>
  </conditionalFormatting>
  <conditionalFormatting sqref="I21">
    <cfRule type="expression" dxfId="264" priority="253">
      <formula>OR($F21&lt;&gt;"",$I21&lt;&gt;"")</formula>
    </cfRule>
  </conditionalFormatting>
  <conditionalFormatting sqref="I22">
    <cfRule type="expression" dxfId="263" priority="252">
      <formula>OR($F22&lt;&gt;"",$I22&lt;&gt;"")</formula>
    </cfRule>
  </conditionalFormatting>
  <conditionalFormatting sqref="I23">
    <cfRule type="expression" dxfId="262" priority="251">
      <formula>OR($F23&lt;&gt;"",$I23&lt;&gt;"")</formula>
    </cfRule>
  </conditionalFormatting>
  <conditionalFormatting sqref="I24">
    <cfRule type="expression" dxfId="261" priority="250">
      <formula>OR($F24&lt;&gt;"",$I24&lt;&gt;"")</formula>
    </cfRule>
  </conditionalFormatting>
  <conditionalFormatting sqref="I25">
    <cfRule type="expression" dxfId="260" priority="249">
      <formula>OR($F25&lt;&gt;"",$I25&lt;&gt;"")</formula>
    </cfRule>
  </conditionalFormatting>
  <conditionalFormatting sqref="I26">
    <cfRule type="expression" dxfId="259" priority="248">
      <formula>OR($F26&lt;&gt;"",$I26&lt;&gt;"")</formula>
    </cfRule>
  </conditionalFormatting>
  <conditionalFormatting sqref="I27">
    <cfRule type="expression" dxfId="258" priority="247">
      <formula>OR($F27&lt;&gt;"",$I27&lt;&gt;"")</formula>
    </cfRule>
  </conditionalFormatting>
  <conditionalFormatting sqref="I28">
    <cfRule type="expression" dxfId="257" priority="246">
      <formula>OR($F28&lt;&gt;"",$I28&lt;&gt;"")</formula>
    </cfRule>
  </conditionalFormatting>
  <conditionalFormatting sqref="I29">
    <cfRule type="expression" dxfId="256" priority="245">
      <formula>OR($F29&lt;&gt;"",$I29&lt;&gt;"")</formula>
    </cfRule>
  </conditionalFormatting>
  <conditionalFormatting sqref="I30">
    <cfRule type="expression" dxfId="255" priority="244">
      <formula>OR($F30&lt;&gt;"",$I30&lt;&gt;"")</formula>
    </cfRule>
  </conditionalFormatting>
  <conditionalFormatting sqref="I31">
    <cfRule type="expression" dxfId="254" priority="243">
      <formula>OR($F31&lt;&gt;"",$I31&lt;&gt;"")</formula>
    </cfRule>
  </conditionalFormatting>
  <conditionalFormatting sqref="I32">
    <cfRule type="expression" dxfId="253" priority="242">
      <formula>OR($F32&lt;&gt;"",$I32&lt;&gt;"")</formula>
    </cfRule>
  </conditionalFormatting>
  <conditionalFormatting sqref="I33">
    <cfRule type="expression" dxfId="252" priority="241">
      <formula>OR($F33&lt;&gt;"",$I33&lt;&gt;"")</formula>
    </cfRule>
  </conditionalFormatting>
  <conditionalFormatting sqref="I34">
    <cfRule type="expression" dxfId="251" priority="240">
      <formula>OR($F34&lt;&gt;"",$I34&lt;&gt;"")</formula>
    </cfRule>
  </conditionalFormatting>
  <conditionalFormatting sqref="I35">
    <cfRule type="expression" dxfId="250" priority="239">
      <formula>OR($F35&lt;&gt;"",$I35&lt;&gt;"")</formula>
    </cfRule>
  </conditionalFormatting>
  <conditionalFormatting sqref="I36">
    <cfRule type="expression" dxfId="249" priority="238">
      <formula>OR($F36&lt;&gt;"",$I36&lt;&gt;"")</formula>
    </cfRule>
  </conditionalFormatting>
  <conditionalFormatting sqref="I37">
    <cfRule type="expression" dxfId="248" priority="237">
      <formula>OR($F37&lt;&gt;"",$I37&lt;&gt;"")</formula>
    </cfRule>
  </conditionalFormatting>
  <conditionalFormatting sqref="I38">
    <cfRule type="expression" dxfId="247" priority="236">
      <formula>OR($F38&lt;&gt;"",$I38&lt;&gt;"")</formula>
    </cfRule>
  </conditionalFormatting>
  <conditionalFormatting sqref="I39">
    <cfRule type="expression" dxfId="246" priority="235">
      <formula>OR($F39&lt;&gt;"",$I39&lt;&gt;"")</formula>
    </cfRule>
  </conditionalFormatting>
  <conditionalFormatting sqref="I40">
    <cfRule type="expression" dxfId="245" priority="234">
      <formula>OR($F40&lt;&gt;"",$I40&lt;&gt;"")</formula>
    </cfRule>
  </conditionalFormatting>
  <conditionalFormatting sqref="I41">
    <cfRule type="expression" dxfId="244" priority="233">
      <formula>OR($F41&lt;&gt;"",$I41&lt;&gt;"")</formula>
    </cfRule>
  </conditionalFormatting>
  <conditionalFormatting sqref="I42">
    <cfRule type="expression" dxfId="243" priority="232">
      <formula>OR($F42&lt;&gt;"",$I42&lt;&gt;"")</formula>
    </cfRule>
  </conditionalFormatting>
  <conditionalFormatting sqref="I43">
    <cfRule type="expression" dxfId="242" priority="231">
      <formula>OR($F43&lt;&gt;"",$I43&lt;&gt;"")</formula>
    </cfRule>
  </conditionalFormatting>
  <conditionalFormatting sqref="I44">
    <cfRule type="expression" dxfId="241" priority="230">
      <formula>OR($F44&lt;&gt;"",$I44&lt;&gt;"")</formula>
    </cfRule>
  </conditionalFormatting>
  <conditionalFormatting sqref="I45">
    <cfRule type="expression" dxfId="240" priority="229">
      <formula>OR($F45&lt;&gt;"",$I45&lt;&gt;"")</formula>
    </cfRule>
  </conditionalFormatting>
  <conditionalFormatting sqref="I46">
    <cfRule type="expression" dxfId="239" priority="228">
      <formula>OR($F46&lt;&gt;"",$I46&lt;&gt;"")</formula>
    </cfRule>
  </conditionalFormatting>
  <conditionalFormatting sqref="I47">
    <cfRule type="expression" dxfId="238" priority="227">
      <formula>OR($F47&lt;&gt;"",$I47&lt;&gt;"")</formula>
    </cfRule>
  </conditionalFormatting>
  <conditionalFormatting sqref="I48">
    <cfRule type="expression" dxfId="237" priority="226">
      <formula>OR($F48&lt;&gt;"",$I48&lt;&gt;"")</formula>
    </cfRule>
  </conditionalFormatting>
  <conditionalFormatting sqref="I49">
    <cfRule type="expression" dxfId="236" priority="225">
      <formula>OR($F49&lt;&gt;"",$I49&lt;&gt;"")</formula>
    </cfRule>
  </conditionalFormatting>
  <conditionalFormatting sqref="I50">
    <cfRule type="expression" dxfId="235" priority="224">
      <formula>OR($F50&lt;&gt;"",$I50&lt;&gt;"")</formula>
    </cfRule>
  </conditionalFormatting>
  <conditionalFormatting sqref="I51">
    <cfRule type="expression" dxfId="234" priority="223">
      <formula>OR($F51&lt;&gt;"",$I51&lt;&gt;"")</formula>
    </cfRule>
  </conditionalFormatting>
  <conditionalFormatting sqref="I52">
    <cfRule type="expression" dxfId="233" priority="222">
      <formula>OR($F52&lt;&gt;"",$I52&lt;&gt;"")</formula>
    </cfRule>
  </conditionalFormatting>
  <conditionalFormatting sqref="I53">
    <cfRule type="expression" dxfId="232" priority="221">
      <formula>OR($F53&lt;&gt;"",$I53&lt;&gt;"")</formula>
    </cfRule>
  </conditionalFormatting>
  <conditionalFormatting sqref="I54">
    <cfRule type="expression" dxfId="231" priority="220">
      <formula>OR($F54&lt;&gt;"",$I54&lt;&gt;"")</formula>
    </cfRule>
  </conditionalFormatting>
  <conditionalFormatting sqref="I55">
    <cfRule type="expression" dxfId="230" priority="219">
      <formula>OR($F55&lt;&gt;"",$I55&lt;&gt;"")</formula>
    </cfRule>
  </conditionalFormatting>
  <conditionalFormatting sqref="I56">
    <cfRule type="expression" dxfId="229" priority="218">
      <formula>OR($F56&lt;&gt;"",$I56&lt;&gt;"")</formula>
    </cfRule>
  </conditionalFormatting>
  <conditionalFormatting sqref="I57">
    <cfRule type="expression" dxfId="228" priority="217">
      <formula>OR($F57&lt;&gt;"",$I57&lt;&gt;"")</formula>
    </cfRule>
  </conditionalFormatting>
  <conditionalFormatting sqref="I58">
    <cfRule type="expression" dxfId="227" priority="216">
      <formula>OR($F58&lt;&gt;"",$I58&lt;&gt;"")</formula>
    </cfRule>
  </conditionalFormatting>
  <conditionalFormatting sqref="I59">
    <cfRule type="expression" dxfId="226" priority="215">
      <formula>OR($F59&lt;&gt;"",$I59&lt;&gt;"")</formula>
    </cfRule>
  </conditionalFormatting>
  <conditionalFormatting sqref="I60">
    <cfRule type="expression" dxfId="225" priority="214">
      <formula>OR($F60&lt;&gt;"",$I60&lt;&gt;"")</formula>
    </cfRule>
  </conditionalFormatting>
  <conditionalFormatting sqref="I61">
    <cfRule type="expression" dxfId="224" priority="213">
      <formula>OR($F61&lt;&gt;"",$I61&lt;&gt;"")</formula>
    </cfRule>
  </conditionalFormatting>
  <conditionalFormatting sqref="E9">
    <cfRule type="expression" dxfId="223" priority="211">
      <formula>AND($F9&lt;&gt;"",$C9&lt;&gt;$E9)</formula>
    </cfRule>
    <cfRule type="expression" dxfId="222" priority="212">
      <formula>AND(UPPER($F9)="Y",$C9=$E9)</formula>
    </cfRule>
  </conditionalFormatting>
  <conditionalFormatting sqref="E10">
    <cfRule type="expression" dxfId="221" priority="209">
      <formula>AND($F10&lt;&gt;"",$C10&lt;&gt;$E10)</formula>
    </cfRule>
    <cfRule type="expression" dxfId="220" priority="210">
      <formula>AND(UPPER($F10)="Y",$C10=$E10)</formula>
    </cfRule>
  </conditionalFormatting>
  <conditionalFormatting sqref="E11">
    <cfRule type="expression" dxfId="219" priority="207">
      <formula>AND($F11&lt;&gt;"",$C11&lt;&gt;$E11)</formula>
    </cfRule>
    <cfRule type="expression" dxfId="218" priority="208">
      <formula>AND(UPPER($F11)="Y",$C11=$E11)</formula>
    </cfRule>
  </conditionalFormatting>
  <conditionalFormatting sqref="E12">
    <cfRule type="expression" dxfId="217" priority="205">
      <formula>AND($F12&lt;&gt;"",$C12&lt;&gt;$E12)</formula>
    </cfRule>
    <cfRule type="expression" dxfId="216" priority="206">
      <formula>AND(UPPER($F12)="Y",$C12=$E12)</formula>
    </cfRule>
  </conditionalFormatting>
  <conditionalFormatting sqref="E13">
    <cfRule type="expression" dxfId="215" priority="203">
      <formula>AND($F13&lt;&gt;"",$C13&lt;&gt;$E13)</formula>
    </cfRule>
    <cfRule type="expression" dxfId="214" priority="204">
      <formula>AND(UPPER($F13)="Y",$C13=$E13)</formula>
    </cfRule>
  </conditionalFormatting>
  <conditionalFormatting sqref="E14">
    <cfRule type="expression" dxfId="213" priority="201">
      <formula>AND($F14&lt;&gt;"",$C14&lt;&gt;$E14)</formula>
    </cfRule>
    <cfRule type="expression" dxfId="212" priority="202">
      <formula>AND(UPPER($F14)="Y",$C14=$E14)</formula>
    </cfRule>
  </conditionalFormatting>
  <conditionalFormatting sqref="E15">
    <cfRule type="expression" dxfId="211" priority="199">
      <formula>AND($F15&lt;&gt;"",$C15&lt;&gt;$E15)</formula>
    </cfRule>
    <cfRule type="expression" dxfId="210" priority="200">
      <formula>AND(UPPER($F15)="Y",$C15=$E15)</formula>
    </cfRule>
  </conditionalFormatting>
  <conditionalFormatting sqref="E16">
    <cfRule type="expression" dxfId="209" priority="197">
      <formula>AND($F16&lt;&gt;"",$C16&lt;&gt;$E16)</formula>
    </cfRule>
    <cfRule type="expression" dxfId="208" priority="198">
      <formula>AND(UPPER($F16)="Y",$C16=$E16)</formula>
    </cfRule>
  </conditionalFormatting>
  <conditionalFormatting sqref="E17">
    <cfRule type="expression" dxfId="207" priority="195">
      <formula>AND($F17&lt;&gt;"",$C17&lt;&gt;$E17)</formula>
    </cfRule>
    <cfRule type="expression" dxfId="206" priority="196">
      <formula>AND(UPPER($F17)="Y",$C17=$E17)</formula>
    </cfRule>
  </conditionalFormatting>
  <conditionalFormatting sqref="E18">
    <cfRule type="expression" dxfId="205" priority="193">
      <formula>AND($F18&lt;&gt;"",$C18&lt;&gt;$E18)</formula>
    </cfRule>
    <cfRule type="expression" dxfId="204" priority="194">
      <formula>AND(UPPER($F18)="Y",$C18=$E18)</formula>
    </cfRule>
  </conditionalFormatting>
  <conditionalFormatting sqref="E19">
    <cfRule type="expression" dxfId="203" priority="191">
      <formula>AND($F19&lt;&gt;"",$C19&lt;&gt;$E19)</formula>
    </cfRule>
    <cfRule type="expression" dxfId="202" priority="192">
      <formula>AND(UPPER($F19)="Y",$C19=$E19)</formula>
    </cfRule>
  </conditionalFormatting>
  <conditionalFormatting sqref="E20">
    <cfRule type="expression" dxfId="201" priority="189">
      <formula>AND($F20&lt;&gt;"",$C20&lt;&gt;$E20)</formula>
    </cfRule>
    <cfRule type="expression" dxfId="200" priority="190">
      <formula>AND(UPPER($F20)="Y",$C20=$E20)</formula>
    </cfRule>
  </conditionalFormatting>
  <conditionalFormatting sqref="E21">
    <cfRule type="expression" dxfId="199" priority="187">
      <formula>AND($F21&lt;&gt;"",$C21&lt;&gt;$E21)</formula>
    </cfRule>
    <cfRule type="expression" dxfId="198" priority="188">
      <formula>AND(UPPER($F21)="Y",$C21=$E21)</formula>
    </cfRule>
  </conditionalFormatting>
  <conditionalFormatting sqref="E22">
    <cfRule type="expression" dxfId="197" priority="185">
      <formula>AND($F22&lt;&gt;"",$C22&lt;&gt;$E22)</formula>
    </cfRule>
    <cfRule type="expression" dxfId="196" priority="186">
      <formula>AND(UPPER($F22)="Y",$C22=$E22)</formula>
    </cfRule>
  </conditionalFormatting>
  <conditionalFormatting sqref="E23">
    <cfRule type="expression" dxfId="195" priority="183">
      <formula>AND($F23&lt;&gt;"",$C23&lt;&gt;$E23)</formula>
    </cfRule>
    <cfRule type="expression" dxfId="194" priority="184">
      <formula>AND(UPPER($F23)="Y",$C23=$E23)</formula>
    </cfRule>
  </conditionalFormatting>
  <conditionalFormatting sqref="E24">
    <cfRule type="expression" dxfId="193" priority="181">
      <formula>AND($F24&lt;&gt;"",$C24&lt;&gt;$E24)</formula>
    </cfRule>
    <cfRule type="expression" dxfId="192" priority="182">
      <formula>AND(UPPER($F24)="Y",$C24=$E24)</formula>
    </cfRule>
  </conditionalFormatting>
  <conditionalFormatting sqref="E25">
    <cfRule type="expression" dxfId="191" priority="179">
      <formula>AND($F25&lt;&gt;"",$C25&lt;&gt;$E25)</formula>
    </cfRule>
    <cfRule type="expression" dxfId="190" priority="180">
      <formula>AND(UPPER($F25)="Y",$C25=$E25)</formula>
    </cfRule>
  </conditionalFormatting>
  <conditionalFormatting sqref="E26">
    <cfRule type="expression" dxfId="189" priority="177">
      <formula>AND($F26&lt;&gt;"",$C26&lt;&gt;$E26)</formula>
    </cfRule>
    <cfRule type="expression" dxfId="188" priority="178">
      <formula>AND(UPPER($F26)="Y",$C26=$E26)</formula>
    </cfRule>
  </conditionalFormatting>
  <conditionalFormatting sqref="E27">
    <cfRule type="expression" dxfId="187" priority="175">
      <formula>AND($F27&lt;&gt;"",$C27&lt;&gt;$E27)</formula>
    </cfRule>
    <cfRule type="expression" dxfId="186" priority="176">
      <formula>AND(UPPER($F27)="Y",$C27=$E27)</formula>
    </cfRule>
  </conditionalFormatting>
  <conditionalFormatting sqref="E28">
    <cfRule type="expression" dxfId="185" priority="173">
      <formula>AND($F28&lt;&gt;"",$C28&lt;&gt;$E28)</formula>
    </cfRule>
    <cfRule type="expression" dxfId="184" priority="174">
      <formula>AND(UPPER($F28)="Y",$C28=$E28)</formula>
    </cfRule>
  </conditionalFormatting>
  <conditionalFormatting sqref="E29">
    <cfRule type="expression" dxfId="183" priority="171">
      <formula>AND($F29&lt;&gt;"",$C29&lt;&gt;$E29)</formula>
    </cfRule>
    <cfRule type="expression" dxfId="182" priority="172">
      <formula>AND(UPPER($F29)="Y",$C29=$E29)</formula>
    </cfRule>
  </conditionalFormatting>
  <conditionalFormatting sqref="E30">
    <cfRule type="expression" dxfId="181" priority="169">
      <formula>AND($F30&lt;&gt;"",$C30&lt;&gt;$E30)</formula>
    </cfRule>
    <cfRule type="expression" dxfId="180" priority="170">
      <formula>AND(UPPER($F30)="Y",$C30=$E30)</formula>
    </cfRule>
  </conditionalFormatting>
  <conditionalFormatting sqref="E31">
    <cfRule type="expression" dxfId="179" priority="167">
      <formula>AND($F31&lt;&gt;"",$C31&lt;&gt;$E31)</formula>
    </cfRule>
    <cfRule type="expression" dxfId="178" priority="168">
      <formula>AND(UPPER($F31)="Y",$C31=$E31)</formula>
    </cfRule>
  </conditionalFormatting>
  <conditionalFormatting sqref="E32">
    <cfRule type="expression" dxfId="177" priority="165">
      <formula>AND($F32&lt;&gt;"",$C32&lt;&gt;$E32)</formula>
    </cfRule>
    <cfRule type="expression" dxfId="176" priority="166">
      <formula>AND(UPPER($F32)="Y",$C32=$E32)</formula>
    </cfRule>
  </conditionalFormatting>
  <conditionalFormatting sqref="E33">
    <cfRule type="expression" dxfId="175" priority="163">
      <formula>AND($F33&lt;&gt;"",$C33&lt;&gt;$E33)</formula>
    </cfRule>
    <cfRule type="expression" dxfId="174" priority="164">
      <formula>AND(UPPER($F33)="Y",$C33=$E33)</formula>
    </cfRule>
  </conditionalFormatting>
  <conditionalFormatting sqref="E34">
    <cfRule type="expression" dxfId="173" priority="161">
      <formula>AND($F34&lt;&gt;"",$C34&lt;&gt;$E34)</formula>
    </cfRule>
    <cfRule type="expression" dxfId="172" priority="162">
      <formula>AND(UPPER($F34)="Y",$C34=$E34)</formula>
    </cfRule>
  </conditionalFormatting>
  <conditionalFormatting sqref="E35">
    <cfRule type="expression" dxfId="171" priority="159">
      <formula>AND($F35&lt;&gt;"",$C35&lt;&gt;$E35)</formula>
    </cfRule>
    <cfRule type="expression" dxfId="170" priority="160">
      <formula>AND(UPPER($F35)="Y",$C35=$E35)</formula>
    </cfRule>
  </conditionalFormatting>
  <conditionalFormatting sqref="E36">
    <cfRule type="expression" dxfId="169" priority="157">
      <formula>AND($F36&lt;&gt;"",$C36&lt;&gt;$E36)</formula>
    </cfRule>
    <cfRule type="expression" dxfId="168" priority="158">
      <formula>AND(UPPER($F36)="Y",$C36=$E36)</formula>
    </cfRule>
  </conditionalFormatting>
  <conditionalFormatting sqref="E37">
    <cfRule type="expression" dxfId="167" priority="155">
      <formula>AND($F37&lt;&gt;"",$C37&lt;&gt;$E37)</formula>
    </cfRule>
    <cfRule type="expression" dxfId="166" priority="156">
      <formula>AND(UPPER($F37)="Y",$C37=$E37)</formula>
    </cfRule>
  </conditionalFormatting>
  <conditionalFormatting sqref="E38">
    <cfRule type="expression" dxfId="165" priority="153">
      <formula>AND($F38&lt;&gt;"",$C38&lt;&gt;$E38)</formula>
    </cfRule>
    <cfRule type="expression" dxfId="164" priority="154">
      <formula>AND(UPPER($F38)="Y",$C38=$E38)</formula>
    </cfRule>
  </conditionalFormatting>
  <conditionalFormatting sqref="E39">
    <cfRule type="expression" dxfId="163" priority="151">
      <formula>AND($F39&lt;&gt;"",$C39&lt;&gt;$E39)</formula>
    </cfRule>
    <cfRule type="expression" dxfId="162" priority="152">
      <formula>AND(UPPER($F39)="Y",$C39=$E39)</formula>
    </cfRule>
  </conditionalFormatting>
  <conditionalFormatting sqref="E40">
    <cfRule type="expression" dxfId="161" priority="149">
      <formula>AND($F40&lt;&gt;"",$C40&lt;&gt;$E40)</formula>
    </cfRule>
    <cfRule type="expression" dxfId="160" priority="150">
      <formula>AND(UPPER($F40)="Y",$C40=$E40)</formula>
    </cfRule>
  </conditionalFormatting>
  <conditionalFormatting sqref="E41">
    <cfRule type="expression" dxfId="159" priority="147">
      <formula>AND($F41&lt;&gt;"",$C41&lt;&gt;$E41)</formula>
    </cfRule>
    <cfRule type="expression" dxfId="158" priority="148">
      <formula>AND(UPPER($F41)="Y",$C41=$E41)</formula>
    </cfRule>
  </conditionalFormatting>
  <conditionalFormatting sqref="E42">
    <cfRule type="expression" dxfId="157" priority="145">
      <formula>AND($F42&lt;&gt;"",$C42&lt;&gt;$E42)</formula>
    </cfRule>
    <cfRule type="expression" dxfId="156" priority="146">
      <formula>AND(UPPER($F42)="Y",$C42=$E42)</formula>
    </cfRule>
  </conditionalFormatting>
  <conditionalFormatting sqref="E43">
    <cfRule type="expression" dxfId="155" priority="143">
      <formula>AND($F43&lt;&gt;"",$C43&lt;&gt;$E43)</formula>
    </cfRule>
    <cfRule type="expression" dxfId="154" priority="144">
      <formula>AND(UPPER($F43)="Y",$C43=$E43)</formula>
    </cfRule>
  </conditionalFormatting>
  <conditionalFormatting sqref="E44">
    <cfRule type="expression" dxfId="153" priority="141">
      <formula>AND($F44&lt;&gt;"",$C44&lt;&gt;$E44)</formula>
    </cfRule>
    <cfRule type="expression" dxfId="152" priority="142">
      <formula>AND(UPPER($F44)="Y",$C44=$E44)</formula>
    </cfRule>
  </conditionalFormatting>
  <conditionalFormatting sqref="E45">
    <cfRule type="expression" dxfId="151" priority="139">
      <formula>AND($F45&lt;&gt;"",$C45&lt;&gt;$E45)</formula>
    </cfRule>
    <cfRule type="expression" dxfId="150" priority="140">
      <formula>AND(UPPER($F45)="Y",$C45=$E45)</formula>
    </cfRule>
  </conditionalFormatting>
  <conditionalFormatting sqref="E46">
    <cfRule type="expression" dxfId="149" priority="137">
      <formula>AND($F46&lt;&gt;"",$C46&lt;&gt;$E46)</formula>
    </cfRule>
    <cfRule type="expression" dxfId="148" priority="138">
      <formula>AND(UPPER($F46)="Y",$C46=$E46)</formula>
    </cfRule>
  </conditionalFormatting>
  <conditionalFormatting sqref="E47">
    <cfRule type="expression" dxfId="147" priority="135">
      <formula>AND($F47&lt;&gt;"",$C47&lt;&gt;$E47)</formula>
    </cfRule>
    <cfRule type="expression" dxfId="146" priority="136">
      <formula>AND(UPPER($F47)="Y",$C47=$E47)</formula>
    </cfRule>
  </conditionalFormatting>
  <conditionalFormatting sqref="E48">
    <cfRule type="expression" dxfId="145" priority="133">
      <formula>AND($F48&lt;&gt;"",$C48&lt;&gt;$E48)</formula>
    </cfRule>
    <cfRule type="expression" dxfId="144" priority="134">
      <formula>AND(UPPER($F48)="Y",$C48=$E48)</formula>
    </cfRule>
  </conditionalFormatting>
  <conditionalFormatting sqref="E49">
    <cfRule type="expression" dxfId="143" priority="131">
      <formula>AND($F49&lt;&gt;"",$C49&lt;&gt;$E49)</formula>
    </cfRule>
    <cfRule type="expression" dxfId="142" priority="132">
      <formula>AND(UPPER($F49)="Y",$C49=$E49)</formula>
    </cfRule>
  </conditionalFormatting>
  <conditionalFormatting sqref="E50">
    <cfRule type="expression" dxfId="141" priority="129">
      <formula>AND($F50&lt;&gt;"",$C50&lt;&gt;$E50)</formula>
    </cfRule>
    <cfRule type="expression" dxfId="140" priority="130">
      <formula>AND(UPPER($F50)="Y",$C50=$E50)</formula>
    </cfRule>
  </conditionalFormatting>
  <conditionalFormatting sqref="E51">
    <cfRule type="expression" dxfId="139" priority="127">
      <formula>AND($F51&lt;&gt;"",$C51&lt;&gt;$E51)</formula>
    </cfRule>
    <cfRule type="expression" dxfId="138" priority="128">
      <formula>AND(UPPER($F51)="Y",$C51=$E51)</formula>
    </cfRule>
  </conditionalFormatting>
  <conditionalFormatting sqref="E52">
    <cfRule type="expression" dxfId="137" priority="125">
      <formula>AND($F52&lt;&gt;"",$C52&lt;&gt;$E52)</formula>
    </cfRule>
    <cfRule type="expression" dxfId="136" priority="126">
      <formula>AND(UPPER($F52)="Y",$C52=$E52)</formula>
    </cfRule>
  </conditionalFormatting>
  <conditionalFormatting sqref="E53">
    <cfRule type="expression" dxfId="135" priority="123">
      <formula>AND($F53&lt;&gt;"",$C53&lt;&gt;$E53)</formula>
    </cfRule>
    <cfRule type="expression" dxfId="134" priority="124">
      <formula>AND(UPPER($F53)="Y",$C53=$E53)</formula>
    </cfRule>
  </conditionalFormatting>
  <conditionalFormatting sqref="E54">
    <cfRule type="expression" dxfId="133" priority="121">
      <formula>AND($F54&lt;&gt;"",$C54&lt;&gt;$E54)</formula>
    </cfRule>
    <cfRule type="expression" dxfId="132" priority="122">
      <formula>AND(UPPER($F54)="Y",$C54=$E54)</formula>
    </cfRule>
  </conditionalFormatting>
  <conditionalFormatting sqref="E55">
    <cfRule type="expression" dxfId="131" priority="119">
      <formula>AND($F55&lt;&gt;"",$C55&lt;&gt;$E55)</formula>
    </cfRule>
    <cfRule type="expression" dxfId="130" priority="120">
      <formula>AND(UPPER($F55)="Y",$C55=$E55)</formula>
    </cfRule>
  </conditionalFormatting>
  <conditionalFormatting sqref="E56">
    <cfRule type="expression" dxfId="129" priority="117">
      <formula>AND($F56&lt;&gt;"",$C56&lt;&gt;$E56)</formula>
    </cfRule>
    <cfRule type="expression" dxfId="128" priority="118">
      <formula>AND(UPPER($F56)="Y",$C56=$E56)</formula>
    </cfRule>
  </conditionalFormatting>
  <conditionalFormatting sqref="E57">
    <cfRule type="expression" dxfId="127" priority="115">
      <formula>AND($F57&lt;&gt;"",$C57&lt;&gt;$E57)</formula>
    </cfRule>
    <cfRule type="expression" dxfId="126" priority="116">
      <formula>AND(UPPER($F57)="Y",$C57=$E57)</formula>
    </cfRule>
  </conditionalFormatting>
  <conditionalFormatting sqref="E58">
    <cfRule type="expression" dxfId="125" priority="113">
      <formula>AND($F58&lt;&gt;"",$C58&lt;&gt;$E58)</formula>
    </cfRule>
    <cfRule type="expression" dxfId="124" priority="114">
      <formula>AND(UPPER($F58)="Y",$C58=$E58)</formula>
    </cfRule>
  </conditionalFormatting>
  <conditionalFormatting sqref="E59">
    <cfRule type="expression" dxfId="123" priority="111">
      <formula>AND($F59&lt;&gt;"",$C59&lt;&gt;$E59)</formula>
    </cfRule>
    <cfRule type="expression" dxfId="122" priority="112">
      <formula>AND(UPPER($F59)="Y",$C59=$E59)</formula>
    </cfRule>
  </conditionalFormatting>
  <conditionalFormatting sqref="E60">
    <cfRule type="expression" dxfId="121" priority="109">
      <formula>AND($F60&lt;&gt;"",$C60&lt;&gt;$E60)</formula>
    </cfRule>
    <cfRule type="expression" dxfId="120" priority="110">
      <formula>AND(UPPER($F60)="Y",$C60=$E60)</formula>
    </cfRule>
  </conditionalFormatting>
  <conditionalFormatting sqref="E61">
    <cfRule type="expression" dxfId="119" priority="107">
      <formula>AND($F61&lt;&gt;"",$C61&lt;&gt;$E61)</formula>
    </cfRule>
    <cfRule type="expression" dxfId="118" priority="108">
      <formula>AND(UPPER($F61)="Y",$C61=$E61)</formula>
    </cfRule>
  </conditionalFormatting>
  <conditionalFormatting sqref="H9">
    <cfRule type="expression" dxfId="117" priority="105">
      <formula>AND($I9&lt;&gt;"",$C9&lt;&gt;$H9)</formula>
    </cfRule>
    <cfRule type="expression" dxfId="116" priority="106">
      <formula>AND(UPPER($I9)="Y",$C9=$H9)</formula>
    </cfRule>
  </conditionalFormatting>
  <conditionalFormatting sqref="H10">
    <cfRule type="expression" dxfId="115" priority="103">
      <formula>AND($I10&lt;&gt;"",$C10&lt;&gt;$H10)</formula>
    </cfRule>
    <cfRule type="expression" dxfId="114" priority="104">
      <formula>AND(UPPER($I10)="Y",$C10=$H10)</formula>
    </cfRule>
  </conditionalFormatting>
  <conditionalFormatting sqref="H11">
    <cfRule type="expression" dxfId="113" priority="101">
      <formula>AND($I11&lt;&gt;"",$C11&lt;&gt;$H11)</formula>
    </cfRule>
    <cfRule type="expression" dxfId="112" priority="102">
      <formula>AND(UPPER($I11)="Y",$C11=$H11)</formula>
    </cfRule>
  </conditionalFormatting>
  <conditionalFormatting sqref="H12">
    <cfRule type="expression" dxfId="111" priority="99">
      <formula>AND($I12&lt;&gt;"",$C12&lt;&gt;$H12)</formula>
    </cfRule>
    <cfRule type="expression" dxfId="110" priority="100">
      <formula>AND(UPPER($I12)="Y",$C12=$H12)</formula>
    </cfRule>
  </conditionalFormatting>
  <conditionalFormatting sqref="H13">
    <cfRule type="expression" dxfId="109" priority="97">
      <formula>AND($I13&lt;&gt;"",$C13&lt;&gt;$H13)</formula>
    </cfRule>
    <cfRule type="expression" dxfId="108" priority="98">
      <formula>AND(UPPER($I13)="Y",$C13=$H13)</formula>
    </cfRule>
  </conditionalFormatting>
  <conditionalFormatting sqref="H14">
    <cfRule type="expression" dxfId="107" priority="95">
      <formula>AND($I14&lt;&gt;"",$C14&lt;&gt;$H14)</formula>
    </cfRule>
    <cfRule type="expression" dxfId="106" priority="96">
      <formula>AND(UPPER($I14)="Y",$C14=$H14)</formula>
    </cfRule>
  </conditionalFormatting>
  <conditionalFormatting sqref="H15">
    <cfRule type="expression" dxfId="105" priority="93">
      <formula>AND($I15&lt;&gt;"",$C15&lt;&gt;$H15)</formula>
    </cfRule>
    <cfRule type="expression" dxfId="104" priority="94">
      <formula>AND(UPPER($I15)="Y",$C15=$H15)</formula>
    </cfRule>
  </conditionalFormatting>
  <conditionalFormatting sqref="H16">
    <cfRule type="expression" dxfId="103" priority="91">
      <formula>AND($I16&lt;&gt;"",$C16&lt;&gt;$H16)</formula>
    </cfRule>
    <cfRule type="expression" dxfId="102" priority="92">
      <formula>AND(UPPER($I16)="Y",$C16=$H16)</formula>
    </cfRule>
  </conditionalFormatting>
  <conditionalFormatting sqref="H17">
    <cfRule type="expression" dxfId="101" priority="89">
      <formula>AND($I17&lt;&gt;"",$C17&lt;&gt;$H17)</formula>
    </cfRule>
    <cfRule type="expression" dxfId="100" priority="90">
      <formula>AND(UPPER($I17)="Y",$C17=$H17)</formula>
    </cfRule>
  </conditionalFormatting>
  <conditionalFormatting sqref="H18">
    <cfRule type="expression" dxfId="99" priority="87">
      <formula>AND($I18&lt;&gt;"",$C18&lt;&gt;$H18)</formula>
    </cfRule>
    <cfRule type="expression" dxfId="98" priority="88">
      <formula>AND(UPPER($I18)="Y",$C18=$H18)</formula>
    </cfRule>
  </conditionalFormatting>
  <conditionalFormatting sqref="H19">
    <cfRule type="expression" dxfId="97" priority="85">
      <formula>AND($I19&lt;&gt;"",$C19&lt;&gt;$H19)</formula>
    </cfRule>
    <cfRule type="expression" dxfId="96" priority="86">
      <formula>AND(UPPER($I19)="Y",$C19=$H19)</formula>
    </cfRule>
  </conditionalFormatting>
  <conditionalFormatting sqref="H20">
    <cfRule type="expression" dxfId="95" priority="83">
      <formula>AND($I20&lt;&gt;"",$C20&lt;&gt;$H20)</formula>
    </cfRule>
    <cfRule type="expression" dxfId="94" priority="84">
      <formula>AND(UPPER($I20)="Y",$C20=$H20)</formula>
    </cfRule>
  </conditionalFormatting>
  <conditionalFormatting sqref="H21">
    <cfRule type="expression" dxfId="93" priority="81">
      <formula>AND($I21&lt;&gt;"",$C21&lt;&gt;$H21)</formula>
    </cfRule>
    <cfRule type="expression" dxfId="92" priority="82">
      <formula>AND(UPPER($I21)="Y",$C21=$H21)</formula>
    </cfRule>
  </conditionalFormatting>
  <conditionalFormatting sqref="H22">
    <cfRule type="expression" dxfId="91" priority="79">
      <formula>AND($I22&lt;&gt;"",$C22&lt;&gt;$H22)</formula>
    </cfRule>
    <cfRule type="expression" dxfId="90" priority="80">
      <formula>AND(UPPER($I22)="Y",$C22=$H22)</formula>
    </cfRule>
  </conditionalFormatting>
  <conditionalFormatting sqref="H23">
    <cfRule type="expression" dxfId="89" priority="77">
      <formula>AND($I23&lt;&gt;"",$C23&lt;&gt;$H23)</formula>
    </cfRule>
    <cfRule type="expression" dxfId="88" priority="78">
      <formula>AND(UPPER($I23)="Y",$C23=$H23)</formula>
    </cfRule>
  </conditionalFormatting>
  <conditionalFormatting sqref="H24">
    <cfRule type="expression" dxfId="87" priority="75">
      <formula>AND($I24&lt;&gt;"",$C24&lt;&gt;$H24)</formula>
    </cfRule>
    <cfRule type="expression" dxfId="86" priority="76">
      <formula>AND(UPPER($I24)="Y",$C24=$H24)</formula>
    </cfRule>
  </conditionalFormatting>
  <conditionalFormatting sqref="H25">
    <cfRule type="expression" dxfId="85" priority="73">
      <formula>AND($I25&lt;&gt;"",$C25&lt;&gt;$H25)</formula>
    </cfRule>
    <cfRule type="expression" dxfId="84" priority="74">
      <formula>AND(UPPER($I25)="Y",$C25=$H25)</formula>
    </cfRule>
  </conditionalFormatting>
  <conditionalFormatting sqref="H26">
    <cfRule type="expression" dxfId="83" priority="71">
      <formula>AND($I26&lt;&gt;"",$C26&lt;&gt;$H26)</formula>
    </cfRule>
    <cfRule type="expression" dxfId="82" priority="72">
      <formula>AND(UPPER($I26)="Y",$C26=$H26)</formula>
    </cfRule>
  </conditionalFormatting>
  <conditionalFormatting sqref="H27">
    <cfRule type="expression" dxfId="81" priority="69">
      <formula>AND($I27&lt;&gt;"",$C27&lt;&gt;$H27)</formula>
    </cfRule>
    <cfRule type="expression" dxfId="80" priority="70">
      <formula>AND(UPPER($I27)="Y",$C27=$H27)</formula>
    </cfRule>
  </conditionalFormatting>
  <conditionalFormatting sqref="H28">
    <cfRule type="expression" dxfId="79" priority="67">
      <formula>AND($I28&lt;&gt;"",$C28&lt;&gt;$H28)</formula>
    </cfRule>
    <cfRule type="expression" dxfId="78" priority="68">
      <formula>AND(UPPER($I28)="Y",$C28=$H28)</formula>
    </cfRule>
  </conditionalFormatting>
  <conditionalFormatting sqref="H29">
    <cfRule type="expression" dxfId="77" priority="65">
      <formula>AND($I29&lt;&gt;"",$C29&lt;&gt;$H29)</formula>
    </cfRule>
    <cfRule type="expression" dxfId="76" priority="66">
      <formula>AND(UPPER($I29)="Y",$C29=$H29)</formula>
    </cfRule>
  </conditionalFormatting>
  <conditionalFormatting sqref="H30">
    <cfRule type="expression" dxfId="75" priority="63">
      <formula>AND($I30&lt;&gt;"",$C30&lt;&gt;$H30)</formula>
    </cfRule>
    <cfRule type="expression" dxfId="74" priority="64">
      <formula>AND(UPPER($I30)="Y",$C30=$H30)</formula>
    </cfRule>
  </conditionalFormatting>
  <conditionalFormatting sqref="H31">
    <cfRule type="expression" dxfId="73" priority="61">
      <formula>AND($I31&lt;&gt;"",$C31&lt;&gt;$H31)</formula>
    </cfRule>
    <cfRule type="expression" dxfId="72" priority="62">
      <formula>AND(UPPER($I31)="Y",$C31=$H31)</formula>
    </cfRule>
  </conditionalFormatting>
  <conditionalFormatting sqref="H32">
    <cfRule type="expression" dxfId="71" priority="59">
      <formula>AND($I32&lt;&gt;"",$C32&lt;&gt;$H32)</formula>
    </cfRule>
    <cfRule type="expression" dxfId="70" priority="60">
      <formula>AND(UPPER($I32)="Y",$C32=$H32)</formula>
    </cfRule>
  </conditionalFormatting>
  <conditionalFormatting sqref="H33">
    <cfRule type="expression" dxfId="69" priority="57">
      <formula>AND($I33&lt;&gt;"",$C33&lt;&gt;$H33)</formula>
    </cfRule>
    <cfRule type="expression" dxfId="68" priority="58">
      <formula>AND(UPPER($I33)="Y",$C33=$H33)</formula>
    </cfRule>
  </conditionalFormatting>
  <conditionalFormatting sqref="H34">
    <cfRule type="expression" dxfId="67" priority="55">
      <formula>AND($I34&lt;&gt;"",$C34&lt;&gt;$H34)</formula>
    </cfRule>
    <cfRule type="expression" dxfId="66" priority="56">
      <formula>AND(UPPER($I34)="Y",$C34=$H34)</formula>
    </cfRule>
  </conditionalFormatting>
  <conditionalFormatting sqref="H35">
    <cfRule type="expression" dxfId="65" priority="53">
      <formula>AND($I35&lt;&gt;"",$C35&lt;&gt;$H35)</formula>
    </cfRule>
    <cfRule type="expression" dxfId="64" priority="54">
      <formula>AND(UPPER($I35)="Y",$C35=$H35)</formula>
    </cfRule>
  </conditionalFormatting>
  <conditionalFormatting sqref="H36">
    <cfRule type="expression" dxfId="63" priority="51">
      <formula>AND($I36&lt;&gt;"",$C36&lt;&gt;$H36)</formula>
    </cfRule>
    <cfRule type="expression" dxfId="62" priority="52">
      <formula>AND(UPPER($I36)="Y",$C36=$H36)</formula>
    </cfRule>
  </conditionalFormatting>
  <conditionalFormatting sqref="H37">
    <cfRule type="expression" dxfId="61" priority="49">
      <formula>AND($I37&lt;&gt;"",$C37&lt;&gt;$H37)</formula>
    </cfRule>
    <cfRule type="expression" dxfId="60" priority="50">
      <formula>AND(UPPER($I37)="Y",$C37=$H37)</formula>
    </cfRule>
  </conditionalFormatting>
  <conditionalFormatting sqref="H38">
    <cfRule type="expression" dxfId="59" priority="47">
      <formula>AND($I38&lt;&gt;"",$C38&lt;&gt;$H38)</formula>
    </cfRule>
    <cfRule type="expression" dxfId="58" priority="48">
      <formula>AND(UPPER($I38)="Y",$C38=$H38)</formula>
    </cfRule>
  </conditionalFormatting>
  <conditionalFormatting sqref="H39">
    <cfRule type="expression" dxfId="57" priority="45">
      <formula>AND($I39&lt;&gt;"",$C39&lt;&gt;$H39)</formula>
    </cfRule>
    <cfRule type="expression" dxfId="56" priority="46">
      <formula>AND(UPPER($I39)="Y",$C39=$H39)</formula>
    </cfRule>
  </conditionalFormatting>
  <conditionalFormatting sqref="H40">
    <cfRule type="expression" dxfId="55" priority="43">
      <formula>AND($I40&lt;&gt;"",$C40&lt;&gt;$H40)</formula>
    </cfRule>
    <cfRule type="expression" dxfId="54" priority="44">
      <formula>AND(UPPER($I40)="Y",$C40=$H40)</formula>
    </cfRule>
  </conditionalFormatting>
  <conditionalFormatting sqref="H41">
    <cfRule type="expression" dxfId="53" priority="41">
      <formula>AND($I41&lt;&gt;"",$C41&lt;&gt;$H41)</formula>
    </cfRule>
    <cfRule type="expression" dxfId="52" priority="42">
      <formula>AND(UPPER($I41)="Y",$C41=$H41)</formula>
    </cfRule>
  </conditionalFormatting>
  <conditionalFormatting sqref="H42">
    <cfRule type="expression" dxfId="51" priority="39">
      <formula>AND($I42&lt;&gt;"",$C42&lt;&gt;$H42)</formula>
    </cfRule>
    <cfRule type="expression" dxfId="50" priority="40">
      <formula>AND(UPPER($I42)="Y",$C42=$H42)</formula>
    </cfRule>
  </conditionalFormatting>
  <conditionalFormatting sqref="H43">
    <cfRule type="expression" dxfId="49" priority="37">
      <formula>AND($I43&lt;&gt;"",$C43&lt;&gt;$H43)</formula>
    </cfRule>
    <cfRule type="expression" dxfId="48" priority="38">
      <formula>AND(UPPER($I43)="Y",$C43=$H43)</formula>
    </cfRule>
  </conditionalFormatting>
  <conditionalFormatting sqref="H44">
    <cfRule type="expression" dxfId="47" priority="35">
      <formula>AND($I44&lt;&gt;"",$C44&lt;&gt;$H44)</formula>
    </cfRule>
    <cfRule type="expression" dxfId="46" priority="36">
      <formula>AND(UPPER($I44)="Y",$C44=$H44)</formula>
    </cfRule>
  </conditionalFormatting>
  <conditionalFormatting sqref="H45">
    <cfRule type="expression" dxfId="45" priority="33">
      <formula>AND($I45&lt;&gt;"",$C45&lt;&gt;$H45)</formula>
    </cfRule>
    <cfRule type="expression" dxfId="44" priority="34">
      <formula>AND(UPPER($I45)="Y",$C45=$H45)</formula>
    </cfRule>
  </conditionalFormatting>
  <conditionalFormatting sqref="H46">
    <cfRule type="expression" dxfId="43" priority="31">
      <formula>AND($I46&lt;&gt;"",$C46&lt;&gt;$H46)</formula>
    </cfRule>
    <cfRule type="expression" dxfId="42" priority="32">
      <formula>AND(UPPER($I46)="Y",$C46=$H46)</formula>
    </cfRule>
  </conditionalFormatting>
  <conditionalFormatting sqref="H47">
    <cfRule type="expression" dxfId="41" priority="29">
      <formula>AND($I47&lt;&gt;"",$C47&lt;&gt;$H47)</formula>
    </cfRule>
    <cfRule type="expression" dxfId="40" priority="30">
      <formula>AND(UPPER($I47)="Y",$C47=$H47)</formula>
    </cfRule>
  </conditionalFormatting>
  <conditionalFormatting sqref="H48">
    <cfRule type="expression" dxfId="39" priority="27">
      <formula>AND($I48&lt;&gt;"",$C48&lt;&gt;$H48)</formula>
    </cfRule>
    <cfRule type="expression" dxfId="38" priority="28">
      <formula>AND(UPPER($I48)="Y",$C48=$H48)</formula>
    </cfRule>
  </conditionalFormatting>
  <conditionalFormatting sqref="H49">
    <cfRule type="expression" dxfId="37" priority="25">
      <formula>AND($I49&lt;&gt;"",$C49&lt;&gt;$H49)</formula>
    </cfRule>
    <cfRule type="expression" dxfId="36" priority="26">
      <formula>AND(UPPER($I49)="Y",$C49=$H49)</formula>
    </cfRule>
  </conditionalFormatting>
  <conditionalFormatting sqref="H50">
    <cfRule type="expression" dxfId="35" priority="23">
      <formula>AND($I50&lt;&gt;"",$C50&lt;&gt;$H50)</formula>
    </cfRule>
    <cfRule type="expression" dxfId="34" priority="24">
      <formula>AND(UPPER($I50)="Y",$C50=$H50)</formula>
    </cfRule>
  </conditionalFormatting>
  <conditionalFormatting sqref="H51">
    <cfRule type="expression" dxfId="33" priority="21">
      <formula>AND($I51&lt;&gt;"",$C51&lt;&gt;$H51)</formula>
    </cfRule>
    <cfRule type="expression" dxfId="32" priority="22">
      <formula>AND(UPPER($I51)="Y",$C51=$H51)</formula>
    </cfRule>
  </conditionalFormatting>
  <conditionalFormatting sqref="H52">
    <cfRule type="expression" dxfId="31" priority="19">
      <formula>AND($I52&lt;&gt;"",$C52&lt;&gt;$H52)</formula>
    </cfRule>
    <cfRule type="expression" dxfId="30" priority="20">
      <formula>AND(UPPER($I52)="Y",$C52=$H52)</formula>
    </cfRule>
  </conditionalFormatting>
  <conditionalFormatting sqref="H53">
    <cfRule type="expression" dxfId="29" priority="17">
      <formula>AND($I53&lt;&gt;"",$C53&lt;&gt;$H53)</formula>
    </cfRule>
    <cfRule type="expression" dxfId="28" priority="18">
      <formula>AND(UPPER($I53)="Y",$C53=$H53)</formula>
    </cfRule>
  </conditionalFormatting>
  <conditionalFormatting sqref="H54">
    <cfRule type="expression" dxfId="27" priority="15">
      <formula>AND($I54&lt;&gt;"",$C54&lt;&gt;$H54)</formula>
    </cfRule>
    <cfRule type="expression" dxfId="26" priority="16">
      <formula>AND(UPPER($I54)="Y",$C54=$H54)</formula>
    </cfRule>
  </conditionalFormatting>
  <conditionalFormatting sqref="H55">
    <cfRule type="expression" dxfId="25" priority="13">
      <formula>AND($I55&lt;&gt;"",$C55&lt;&gt;$H55)</formula>
    </cfRule>
    <cfRule type="expression" dxfId="24" priority="14">
      <formula>AND(UPPER($I55)="Y",$C55=$H55)</formula>
    </cfRule>
  </conditionalFormatting>
  <conditionalFormatting sqref="H56">
    <cfRule type="expression" dxfId="23" priority="11">
      <formula>AND($I56&lt;&gt;"",$C56&lt;&gt;$H56)</formula>
    </cfRule>
    <cfRule type="expression" dxfId="22" priority="12">
      <formula>AND(UPPER($I56)="Y",$C56=$H56)</formula>
    </cfRule>
  </conditionalFormatting>
  <conditionalFormatting sqref="H57">
    <cfRule type="expression" dxfId="21" priority="9">
      <formula>AND($I57&lt;&gt;"",$C57&lt;&gt;$H57)</formula>
    </cfRule>
    <cfRule type="expression" dxfId="20" priority="10">
      <formula>AND(UPPER($I57)="Y",$C57=$H57)</formula>
    </cfRule>
  </conditionalFormatting>
  <conditionalFormatting sqref="H58">
    <cfRule type="expression" dxfId="19" priority="7">
      <formula>AND($I58&lt;&gt;"",$C58&lt;&gt;$H58)</formula>
    </cfRule>
    <cfRule type="expression" dxfId="18" priority="8">
      <formula>AND(UPPER($I58)="Y",$C58=$H58)</formula>
    </cfRule>
  </conditionalFormatting>
  <conditionalFormatting sqref="H59">
    <cfRule type="expression" dxfId="17" priority="5">
      <formula>AND($I59&lt;&gt;"",$C59&lt;&gt;$H59)</formula>
    </cfRule>
    <cfRule type="expression" dxfId="16" priority="6">
      <formula>AND(UPPER($I59)="Y",$C59=$H59)</formula>
    </cfRule>
  </conditionalFormatting>
  <conditionalFormatting sqref="H60">
    <cfRule type="expression" dxfId="15" priority="3">
      <formula>AND($I60&lt;&gt;"",$C60&lt;&gt;$H60)</formula>
    </cfRule>
    <cfRule type="expression" dxfId="14" priority="4">
      <formula>AND(UPPER($I60)="Y",$C60=$H60)</formula>
    </cfRule>
  </conditionalFormatting>
  <conditionalFormatting sqref="H61">
    <cfRule type="expression" dxfId="13" priority="1">
      <formula>AND($I61&lt;&gt;"",$C61&lt;&gt;$H61)</formula>
    </cfRule>
    <cfRule type="expression" dxfId="12" priority="2">
      <formula>AND(UPPER($I61)="Y",$C61=$H61)</formula>
    </cfRule>
  </conditionalFormatting>
  <hyperlinks>
    <hyperlink ref="M1" r:id="rId1" xr:uid="{7600B1DD-905D-485F-958F-F2761D989C96}"/>
  </hyperlinks>
  <pageMargins left="0.7" right="0.7" top="0.75" bottom="0.75" header="0.3" footer="0.3"/>
  <pageSetup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33953-C967-4770-A009-922D7EDF43B7}">
  <dimension ref="D1:K25"/>
  <sheetViews>
    <sheetView workbookViewId="0">
      <selection activeCell="E4" sqref="E4:G4"/>
    </sheetView>
  </sheetViews>
  <sheetFormatPr defaultRowHeight="14.4" x14ac:dyDescent="0.3"/>
  <sheetData>
    <row r="1" spans="4:11" x14ac:dyDescent="0.3">
      <c r="D1" s="78" t="s">
        <v>154</v>
      </c>
    </row>
    <row r="2" spans="4:11" ht="23.4" x14ac:dyDescent="0.45">
      <c r="D2" s="189" t="s">
        <v>44</v>
      </c>
      <c r="E2" s="189"/>
      <c r="F2" s="189"/>
      <c r="G2" s="189"/>
      <c r="H2" s="189"/>
      <c r="I2" s="189"/>
      <c r="J2" s="189"/>
    </row>
    <row r="3" spans="4:11" ht="18" x14ac:dyDescent="0.35">
      <c r="D3" s="190" t="s">
        <v>101</v>
      </c>
      <c r="E3" s="190"/>
      <c r="F3" s="190"/>
      <c r="G3" s="190"/>
      <c r="H3" s="190"/>
      <c r="I3" s="190"/>
      <c r="J3" s="190"/>
    </row>
    <row r="4" spans="4:11" x14ac:dyDescent="0.3">
      <c r="E4" s="191" t="s">
        <v>149</v>
      </c>
      <c r="F4" s="191"/>
      <c r="G4" s="191"/>
    </row>
    <row r="5" spans="4:11" x14ac:dyDescent="0.3">
      <c r="D5" s="97"/>
    </row>
    <row r="6" spans="4:11" ht="18" x14ac:dyDescent="0.3">
      <c r="D6" s="172" t="str">
        <f>CONCATENATE(1,".")</f>
        <v>1.</v>
      </c>
      <c r="E6" s="163" t="s">
        <v>21</v>
      </c>
      <c r="F6" s="172" t="str">
        <f>CONCATENATE(D23+1,".")</f>
        <v>19.</v>
      </c>
      <c r="G6" s="163" t="s">
        <v>96</v>
      </c>
      <c r="H6" s="172" t="str">
        <f>CONCATENATE(F23+1,".")</f>
        <v>37.</v>
      </c>
      <c r="I6" s="163" t="s">
        <v>115</v>
      </c>
      <c r="J6" s="172"/>
    </row>
    <row r="7" spans="4:11" ht="18" x14ac:dyDescent="0.3">
      <c r="D7" s="172" t="str">
        <f t="shared" ref="D7:D23" si="0">CONCATENATE(D6+1,".")</f>
        <v>2.</v>
      </c>
      <c r="E7" s="163" t="s">
        <v>124</v>
      </c>
      <c r="F7" s="172" t="str">
        <f t="shared" ref="F7:F23" si="1">CONCATENATE(F6+1,".")</f>
        <v>20.</v>
      </c>
      <c r="G7" s="163" t="s">
        <v>39</v>
      </c>
      <c r="H7" s="172" t="str">
        <f t="shared" ref="H7:H24" si="2">CONCATENATE(H6+1,".")</f>
        <v>38.</v>
      </c>
      <c r="I7" s="163" t="s">
        <v>98</v>
      </c>
      <c r="K7" s="39"/>
    </row>
    <row r="8" spans="4:11" ht="18" x14ac:dyDescent="0.3">
      <c r="D8" s="172" t="str">
        <f t="shared" si="0"/>
        <v>3.</v>
      </c>
      <c r="E8" s="163" t="s">
        <v>100</v>
      </c>
      <c r="F8" s="172" t="str">
        <f t="shared" si="1"/>
        <v>21.</v>
      </c>
      <c r="G8" s="163" t="s">
        <v>81</v>
      </c>
      <c r="H8" s="172" t="str">
        <f t="shared" si="2"/>
        <v>39.</v>
      </c>
      <c r="I8" s="163" t="s">
        <v>105</v>
      </c>
    </row>
    <row r="9" spans="4:11" ht="18" x14ac:dyDescent="0.3">
      <c r="D9" s="172" t="str">
        <f t="shared" si="0"/>
        <v>4.</v>
      </c>
      <c r="E9" s="163" t="s">
        <v>98</v>
      </c>
      <c r="F9" s="172" t="str">
        <f t="shared" si="1"/>
        <v>22.</v>
      </c>
      <c r="G9" s="163" t="s">
        <v>67</v>
      </c>
      <c r="H9" s="172" t="str">
        <f t="shared" si="2"/>
        <v>40.</v>
      </c>
      <c r="I9" s="163" t="s">
        <v>111</v>
      </c>
    </row>
    <row r="10" spans="4:11" ht="18" x14ac:dyDescent="0.3">
      <c r="D10" s="172" t="str">
        <f t="shared" si="0"/>
        <v>5.</v>
      </c>
      <c r="E10" s="163" t="s">
        <v>9</v>
      </c>
      <c r="F10" s="172" t="str">
        <f t="shared" si="1"/>
        <v>23.</v>
      </c>
      <c r="G10" s="163" t="s">
        <v>21</v>
      </c>
      <c r="H10" s="172" t="str">
        <f t="shared" si="2"/>
        <v>41.</v>
      </c>
      <c r="I10" s="163" t="s">
        <v>144</v>
      </c>
    </row>
    <row r="11" spans="4:11" ht="18" x14ac:dyDescent="0.3">
      <c r="D11" s="172" t="str">
        <f t="shared" si="0"/>
        <v>6.</v>
      </c>
      <c r="E11" s="163" t="s">
        <v>137</v>
      </c>
      <c r="F11" s="172" t="str">
        <f t="shared" si="1"/>
        <v>24.</v>
      </c>
      <c r="G11" s="163" t="s">
        <v>67</v>
      </c>
      <c r="H11" s="172" t="str">
        <f t="shared" si="2"/>
        <v>42.</v>
      </c>
      <c r="I11" s="163" t="s">
        <v>68</v>
      </c>
    </row>
    <row r="12" spans="4:11" ht="18" x14ac:dyDescent="0.3">
      <c r="D12" s="172" t="str">
        <f t="shared" si="0"/>
        <v>7.</v>
      </c>
      <c r="E12" s="163" t="s">
        <v>138</v>
      </c>
      <c r="F12" s="172" t="str">
        <f t="shared" si="1"/>
        <v>25.</v>
      </c>
      <c r="G12" s="163" t="s">
        <v>104</v>
      </c>
      <c r="H12" s="172" t="str">
        <f t="shared" si="2"/>
        <v>43.</v>
      </c>
      <c r="I12" s="163" t="s">
        <v>23</v>
      </c>
    </row>
    <row r="13" spans="4:11" ht="18" x14ac:dyDescent="0.3">
      <c r="D13" s="172" t="str">
        <f t="shared" si="0"/>
        <v>8.</v>
      </c>
      <c r="E13" s="163" t="s">
        <v>139</v>
      </c>
      <c r="F13" s="172" t="str">
        <f t="shared" si="1"/>
        <v>26.</v>
      </c>
      <c r="G13" s="163" t="s">
        <v>60</v>
      </c>
      <c r="H13" s="172" t="str">
        <f t="shared" si="2"/>
        <v>44.</v>
      </c>
      <c r="I13" s="163" t="s">
        <v>146</v>
      </c>
    </row>
    <row r="14" spans="4:11" ht="18" x14ac:dyDescent="0.3">
      <c r="D14" s="172" t="str">
        <f t="shared" si="0"/>
        <v>9.</v>
      </c>
      <c r="E14" s="163" t="s">
        <v>55</v>
      </c>
      <c r="F14" s="172" t="str">
        <f t="shared" si="1"/>
        <v>27.</v>
      </c>
      <c r="G14" s="163" t="s">
        <v>79</v>
      </c>
      <c r="H14" s="172" t="str">
        <f t="shared" si="2"/>
        <v>45.</v>
      </c>
      <c r="I14" s="163" t="s">
        <v>55</v>
      </c>
    </row>
    <row r="15" spans="4:11" ht="18" x14ac:dyDescent="0.3">
      <c r="D15" s="172" t="str">
        <f t="shared" si="0"/>
        <v>10.</v>
      </c>
      <c r="E15" s="163" t="s">
        <v>96</v>
      </c>
      <c r="F15" s="172" t="str">
        <f t="shared" si="1"/>
        <v>28.</v>
      </c>
      <c r="G15" s="163" t="s">
        <v>58</v>
      </c>
      <c r="H15" s="172" t="str">
        <f t="shared" si="2"/>
        <v>46.</v>
      </c>
      <c r="I15" s="163" t="s">
        <v>61</v>
      </c>
    </row>
    <row r="16" spans="4:11" ht="18" x14ac:dyDescent="0.3">
      <c r="D16" s="172" t="str">
        <f t="shared" si="0"/>
        <v>11.</v>
      </c>
      <c r="E16" s="163" t="s">
        <v>141</v>
      </c>
      <c r="F16" s="172" t="str">
        <f t="shared" si="1"/>
        <v>29.</v>
      </c>
      <c r="G16" s="163" t="s">
        <v>123</v>
      </c>
      <c r="H16" s="172" t="str">
        <f t="shared" si="2"/>
        <v>47.</v>
      </c>
      <c r="I16" s="163" t="s">
        <v>56</v>
      </c>
    </row>
    <row r="17" spans="4:10" ht="18" x14ac:dyDescent="0.3">
      <c r="D17" s="172" t="str">
        <f t="shared" si="0"/>
        <v>12.</v>
      </c>
      <c r="E17" s="163" t="s">
        <v>126</v>
      </c>
      <c r="F17" s="172" t="str">
        <f t="shared" si="1"/>
        <v>30.</v>
      </c>
      <c r="G17" s="163" t="s">
        <v>52</v>
      </c>
      <c r="H17" s="172" t="str">
        <f t="shared" si="2"/>
        <v>48.</v>
      </c>
      <c r="I17" s="163" t="s">
        <v>68</v>
      </c>
    </row>
    <row r="18" spans="4:10" ht="18" x14ac:dyDescent="0.3">
      <c r="D18" s="172" t="str">
        <f t="shared" si="0"/>
        <v>13.</v>
      </c>
      <c r="E18" s="163" t="s">
        <v>50</v>
      </c>
      <c r="F18" s="172" t="str">
        <f t="shared" si="1"/>
        <v>31.</v>
      </c>
      <c r="G18" s="163" t="s">
        <v>142</v>
      </c>
      <c r="H18" s="172" t="str">
        <f t="shared" si="2"/>
        <v>49.</v>
      </c>
      <c r="I18" s="163" t="s">
        <v>135</v>
      </c>
    </row>
    <row r="19" spans="4:10" ht="18" x14ac:dyDescent="0.3">
      <c r="D19" s="172" t="str">
        <f t="shared" si="0"/>
        <v>14.</v>
      </c>
      <c r="E19" s="163" t="s">
        <v>119</v>
      </c>
      <c r="F19" s="172" t="str">
        <f t="shared" si="1"/>
        <v>32.</v>
      </c>
      <c r="G19" s="163" t="s">
        <v>50</v>
      </c>
      <c r="H19" s="172" t="str">
        <f t="shared" si="2"/>
        <v>50.</v>
      </c>
      <c r="I19" s="163" t="s">
        <v>90</v>
      </c>
    </row>
    <row r="20" spans="4:10" ht="18" x14ac:dyDescent="0.3">
      <c r="D20" s="172" t="str">
        <f t="shared" si="0"/>
        <v>15.</v>
      </c>
      <c r="E20" s="163" t="s">
        <v>110</v>
      </c>
      <c r="F20" s="172" t="str">
        <f t="shared" si="1"/>
        <v>33.</v>
      </c>
      <c r="G20" s="163" t="s">
        <v>39</v>
      </c>
      <c r="H20" s="172" t="str">
        <f t="shared" si="2"/>
        <v>51.</v>
      </c>
      <c r="I20" s="163" t="s">
        <v>87</v>
      </c>
    </row>
    <row r="21" spans="4:10" ht="18" x14ac:dyDescent="0.3">
      <c r="D21" s="172" t="str">
        <f t="shared" si="0"/>
        <v>16.</v>
      </c>
      <c r="E21" s="163" t="s">
        <v>140</v>
      </c>
      <c r="F21" s="172" t="str">
        <f t="shared" si="1"/>
        <v>34.</v>
      </c>
      <c r="G21" s="163" t="s">
        <v>89</v>
      </c>
      <c r="H21" s="172" t="str">
        <f t="shared" si="2"/>
        <v>52.</v>
      </c>
      <c r="I21" s="163" t="s">
        <v>93</v>
      </c>
    </row>
    <row r="22" spans="4:10" ht="18" x14ac:dyDescent="0.3">
      <c r="D22" s="172" t="str">
        <f t="shared" si="0"/>
        <v>17.</v>
      </c>
      <c r="E22" s="163" t="s">
        <v>23</v>
      </c>
      <c r="F22" s="172" t="str">
        <f t="shared" si="1"/>
        <v>35.</v>
      </c>
      <c r="G22" s="163" t="s">
        <v>144</v>
      </c>
      <c r="H22" s="172" t="str">
        <f t="shared" si="2"/>
        <v>53.</v>
      </c>
      <c r="I22" s="163" t="s">
        <v>120</v>
      </c>
    </row>
    <row r="23" spans="4:10" ht="18" x14ac:dyDescent="0.3">
      <c r="D23" s="172" t="str">
        <f t="shared" si="0"/>
        <v>18.</v>
      </c>
      <c r="E23" s="163" t="s">
        <v>142</v>
      </c>
      <c r="F23" s="172" t="str">
        <f t="shared" si="1"/>
        <v>36.</v>
      </c>
      <c r="G23" s="163" t="s">
        <v>114</v>
      </c>
      <c r="H23" s="172" t="str">
        <f t="shared" si="2"/>
        <v>54.</v>
      </c>
      <c r="I23" s="163" t="s">
        <v>30</v>
      </c>
    </row>
    <row r="24" spans="4:10" ht="18" x14ac:dyDescent="0.3">
      <c r="H24" s="172" t="str">
        <f t="shared" si="2"/>
        <v>55.</v>
      </c>
      <c r="I24" s="163" t="s">
        <v>125</v>
      </c>
    </row>
    <row r="25" spans="4:10" x14ac:dyDescent="0.3">
      <c r="J25" t="s">
        <v>43</v>
      </c>
    </row>
  </sheetData>
  <mergeCells count="3">
    <mergeCell ref="D2:J2"/>
    <mergeCell ref="D3:J3"/>
    <mergeCell ref="E4:G4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K37" sqref="K37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10"/>
  </cols>
  <sheetData>
    <row r="13" spans="2:8" x14ac:dyDescent="0.3">
      <c r="G13" s="109" t="s">
        <v>1</v>
      </c>
    </row>
    <row r="15" spans="2:8" ht="18" x14ac:dyDescent="0.35">
      <c r="B15" s="1"/>
      <c r="C15" s="15"/>
      <c r="D15" s="3"/>
      <c r="E15" s="3"/>
      <c r="F15" s="3"/>
      <c r="G15" s="58"/>
      <c r="H15" s="48"/>
    </row>
    <row r="16" spans="2:8" ht="18" x14ac:dyDescent="0.35">
      <c r="B16" s="178" t="s">
        <v>0</v>
      </c>
      <c r="C16" s="178"/>
      <c r="D16" s="178"/>
      <c r="E16" s="178"/>
      <c r="F16" s="178"/>
      <c r="G16" s="58"/>
      <c r="H16" s="111"/>
    </row>
    <row r="17" spans="2:8" ht="18" x14ac:dyDescent="0.35">
      <c r="B17" s="77"/>
      <c r="C17" s="112"/>
      <c r="D17" s="113"/>
      <c r="E17" s="113"/>
      <c r="F17" s="113"/>
      <c r="G17" s="114"/>
      <c r="H17" s="48"/>
    </row>
    <row r="18" spans="2:8" ht="21" x14ac:dyDescent="0.4">
      <c r="B18" s="50"/>
      <c r="C18" s="112" t="str">
        <f>CONCATENATE(C17+1,".")</f>
        <v>1.</v>
      </c>
      <c r="D18" s="115" t="s">
        <v>4</v>
      </c>
      <c r="E18" s="83" t="s">
        <v>3</v>
      </c>
      <c r="F18" s="115" t="s">
        <v>2</v>
      </c>
      <c r="G18" s="116" t="str">
        <f>IF(CONCATENATE(D18,E18,F18)=H18,$G$13,"")</f>
        <v>√</v>
      </c>
      <c r="H18" s="47" t="s">
        <v>49</v>
      </c>
    </row>
    <row r="19" spans="2:8" ht="21" x14ac:dyDescent="0.4">
      <c r="B19" s="50"/>
      <c r="C19" s="112" t="str">
        <f t="shared" ref="C19:C25" si="0">CONCATENATE(C18+1,".")</f>
        <v>2.</v>
      </c>
      <c r="D19" s="117" t="s">
        <v>77</v>
      </c>
      <c r="E19" s="117" t="s">
        <v>3</v>
      </c>
      <c r="F19" s="117" t="s">
        <v>78</v>
      </c>
      <c r="G19" s="116"/>
      <c r="H19" s="47" t="s">
        <v>30</v>
      </c>
    </row>
    <row r="20" spans="2:8" ht="21" x14ac:dyDescent="0.4">
      <c r="B20" s="50"/>
      <c r="C20" s="112" t="str">
        <f t="shared" si="0"/>
        <v>3.</v>
      </c>
      <c r="D20" s="117" t="s">
        <v>2</v>
      </c>
      <c r="E20" s="117" t="s">
        <v>3</v>
      </c>
      <c r="F20" s="117" t="s">
        <v>2</v>
      </c>
      <c r="G20" s="116" t="str">
        <f t="shared" ref="G20:G25" si="1">IF(CONCATENATE(D20,E20,F20)=H20,$G$13,"")</f>
        <v/>
      </c>
      <c r="H20" s="47" t="s">
        <v>50</v>
      </c>
    </row>
    <row r="21" spans="2:8" ht="21" x14ac:dyDescent="0.4">
      <c r="B21" s="50"/>
      <c r="C21" s="112" t="str">
        <f t="shared" si="0"/>
        <v>4.</v>
      </c>
      <c r="D21" s="115" t="s">
        <v>2</v>
      </c>
      <c r="E21" s="83" t="s">
        <v>3</v>
      </c>
      <c r="F21" s="115" t="s">
        <v>4</v>
      </c>
      <c r="G21" s="116" t="str">
        <f t="shared" si="1"/>
        <v>√</v>
      </c>
      <c r="H21" s="47" t="s">
        <v>5</v>
      </c>
    </row>
    <row r="22" spans="2:8" ht="21" x14ac:dyDescent="0.4">
      <c r="B22" s="50"/>
      <c r="C22" s="112" t="str">
        <f t="shared" si="0"/>
        <v>5.</v>
      </c>
      <c r="D22" s="115" t="s">
        <v>78</v>
      </c>
      <c r="E22" s="83" t="s">
        <v>3</v>
      </c>
      <c r="F22" s="115" t="s">
        <v>78</v>
      </c>
      <c r="G22" s="116" t="str">
        <f t="shared" si="1"/>
        <v>√</v>
      </c>
      <c r="H22" s="47" t="s">
        <v>51</v>
      </c>
    </row>
    <row r="23" spans="2:8" ht="21" x14ac:dyDescent="0.4">
      <c r="B23" s="1"/>
      <c r="C23" s="118" t="str">
        <f t="shared" si="0"/>
        <v>6.</v>
      </c>
      <c r="D23" s="115" t="s">
        <v>78</v>
      </c>
      <c r="E23" s="83" t="s">
        <v>3</v>
      </c>
      <c r="F23" s="115" t="s">
        <v>77</v>
      </c>
      <c r="G23" s="116" t="str">
        <f t="shared" si="1"/>
        <v/>
      </c>
      <c r="H23" s="47" t="s">
        <v>52</v>
      </c>
    </row>
    <row r="24" spans="2:8" ht="21" x14ac:dyDescent="0.4">
      <c r="B24" s="1"/>
      <c r="C24" s="118" t="str">
        <f t="shared" si="0"/>
        <v>7.</v>
      </c>
      <c r="D24" s="119" t="s">
        <v>4</v>
      </c>
      <c r="E24" s="119"/>
      <c r="F24" s="119" t="s">
        <v>4</v>
      </c>
      <c r="G24" s="116" t="str">
        <f t="shared" si="1"/>
        <v/>
      </c>
      <c r="H24" s="47" t="s">
        <v>53</v>
      </c>
    </row>
    <row r="25" spans="2:8" ht="21" x14ac:dyDescent="0.4">
      <c r="B25" s="1"/>
      <c r="C25" s="118" t="str">
        <f t="shared" si="0"/>
        <v>8.</v>
      </c>
      <c r="D25" s="115" t="s">
        <v>78</v>
      </c>
      <c r="E25" s="83" t="s">
        <v>3</v>
      </c>
      <c r="F25" s="115" t="s">
        <v>77</v>
      </c>
      <c r="G25" s="116" t="str">
        <f t="shared" si="1"/>
        <v>√</v>
      </c>
      <c r="H25" s="47" t="s">
        <v>54</v>
      </c>
    </row>
    <row r="26" spans="2:8" x14ac:dyDescent="0.3">
      <c r="C26" s="120"/>
      <c r="D26" s="120"/>
      <c r="E26" s="120"/>
      <c r="F26" s="120"/>
      <c r="G26" s="120"/>
      <c r="H26" s="121"/>
    </row>
  </sheetData>
  <mergeCells count="1">
    <mergeCell ref="B16:F16"/>
  </mergeCells>
  <conditionalFormatting sqref="G18">
    <cfRule type="cellIs" dxfId="11" priority="17" operator="equal">
      <formula>"CORRECT !"</formula>
    </cfRule>
  </conditionalFormatting>
  <conditionalFormatting sqref="H19">
    <cfRule type="expression" dxfId="10" priority="9">
      <formula>$A$4&lt;&gt;""</formula>
    </cfRule>
  </conditionalFormatting>
  <conditionalFormatting sqref="H20">
    <cfRule type="expression" dxfId="9" priority="8">
      <formula>$A$4&lt;&gt;""</formula>
    </cfRule>
  </conditionalFormatting>
  <conditionalFormatting sqref="H21">
    <cfRule type="expression" dxfId="8" priority="7">
      <formula>$A$4&lt;&gt;""</formula>
    </cfRule>
  </conditionalFormatting>
  <conditionalFormatting sqref="H22">
    <cfRule type="expression" dxfId="7" priority="6">
      <formula>$A$4&lt;&gt;""</formula>
    </cfRule>
  </conditionalFormatting>
  <conditionalFormatting sqref="H23">
    <cfRule type="expression" dxfId="6" priority="5">
      <formula>$A$4&lt;&gt;""</formula>
    </cfRule>
  </conditionalFormatting>
  <conditionalFormatting sqref="H24">
    <cfRule type="expression" dxfId="5" priority="4">
      <formula>$A$4&lt;&gt;""</formula>
    </cfRule>
  </conditionalFormatting>
  <conditionalFormatting sqref="H25">
    <cfRule type="expression" dxfId="4" priority="3">
      <formula>$A$4&lt;&gt;""</formula>
    </cfRule>
  </conditionalFormatting>
  <conditionalFormatting sqref="G19:G25">
    <cfRule type="cellIs" dxfId="3" priority="1" operator="equal">
      <formula>"CORRECT !"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A1:O28"/>
  <sheetViews>
    <sheetView showGridLines="0" tabSelected="1" topLeftCell="A16" workbookViewId="0"/>
  </sheetViews>
  <sheetFormatPr defaultRowHeight="14.4" x14ac:dyDescent="0.3"/>
  <cols>
    <col min="2" max="2" width="3.77734375" style="101" customWidth="1"/>
    <col min="4" max="4" width="9.5546875" customWidth="1"/>
    <col min="5" max="5" width="8.88671875" customWidth="1"/>
    <col min="6" max="6" width="12.88671875" customWidth="1"/>
    <col min="7" max="7" width="3.77734375" style="97" customWidth="1"/>
  </cols>
  <sheetData>
    <row r="1" spans="1:15" ht="23.4" x14ac:dyDescent="0.45">
      <c r="A1" s="78" t="s">
        <v>155</v>
      </c>
      <c r="C1" s="189" t="s">
        <v>44</v>
      </c>
      <c r="D1" s="189"/>
      <c r="E1" s="189"/>
      <c r="F1" s="189"/>
      <c r="G1" s="189"/>
      <c r="H1" s="189"/>
      <c r="I1" s="189"/>
      <c r="J1" s="99"/>
      <c r="K1" s="99"/>
      <c r="L1" s="99"/>
      <c r="M1" s="99"/>
      <c r="N1" s="99"/>
      <c r="O1" s="99"/>
    </row>
    <row r="2" spans="1:15" ht="18" x14ac:dyDescent="0.35">
      <c r="C2" s="190" t="s">
        <v>101</v>
      </c>
      <c r="D2" s="190"/>
      <c r="E2" s="190"/>
      <c r="F2" s="190"/>
      <c r="G2" s="190"/>
      <c r="H2" s="190"/>
      <c r="I2" s="190"/>
      <c r="J2" s="75"/>
      <c r="K2" s="75"/>
      <c r="L2" s="75"/>
      <c r="M2" s="75"/>
      <c r="N2" s="75"/>
      <c r="O2" s="75"/>
    </row>
    <row r="3" spans="1:15" x14ac:dyDescent="0.3">
      <c r="J3" s="97" t="s">
        <v>129</v>
      </c>
    </row>
    <row r="4" spans="1:15" x14ac:dyDescent="0.3">
      <c r="C4" s="192" t="s">
        <v>131</v>
      </c>
      <c r="D4" s="192"/>
      <c r="E4" s="192"/>
      <c r="G4" s="192" t="s">
        <v>132</v>
      </c>
      <c r="H4" s="192"/>
      <c r="I4" s="192"/>
      <c r="J4" s="100" t="s">
        <v>130</v>
      </c>
    </row>
    <row r="5" spans="1:15" x14ac:dyDescent="0.3">
      <c r="H5" s="14"/>
      <c r="J5" s="120"/>
      <c r="K5" s="120"/>
      <c r="L5" s="120"/>
    </row>
    <row r="6" spans="1:15" ht="21" x14ac:dyDescent="0.3">
      <c r="B6" s="101">
        <v>1</v>
      </c>
      <c r="C6" s="131" t="s">
        <v>39</v>
      </c>
      <c r="D6" s="101">
        <v>14</v>
      </c>
      <c r="E6" s="131" t="s">
        <v>91</v>
      </c>
      <c r="G6" s="97">
        <v>1</v>
      </c>
      <c r="H6" s="131" t="s">
        <v>82</v>
      </c>
      <c r="I6" s="97">
        <v>1</v>
      </c>
      <c r="J6" s="131" t="s">
        <v>79</v>
      </c>
      <c r="K6" s="133"/>
      <c r="L6" s="120"/>
    </row>
    <row r="7" spans="1:15" ht="21" x14ac:dyDescent="0.3">
      <c r="B7" s="101">
        <f t="shared" ref="B7:B18" si="0">1+B6</f>
        <v>2</v>
      </c>
      <c r="C7" s="131" t="s">
        <v>79</v>
      </c>
      <c r="D7" s="101">
        <f t="shared" ref="D7:D17" si="1">1+D6</f>
        <v>15</v>
      </c>
      <c r="E7" s="131" t="s">
        <v>38</v>
      </c>
      <c r="G7" s="97">
        <f>1+G6</f>
        <v>2</v>
      </c>
      <c r="H7" s="132" t="s">
        <v>39</v>
      </c>
      <c r="I7" s="97">
        <f>1+I6</f>
        <v>2</v>
      </c>
      <c r="J7" s="131" t="s">
        <v>81</v>
      </c>
      <c r="K7" s="133"/>
      <c r="L7" s="120"/>
    </row>
    <row r="8" spans="1:15" ht="21" x14ac:dyDescent="0.3">
      <c r="B8" s="101">
        <f t="shared" si="0"/>
        <v>3</v>
      </c>
      <c r="C8" s="131" t="s">
        <v>80</v>
      </c>
      <c r="D8" s="101">
        <f t="shared" si="1"/>
        <v>16</v>
      </c>
      <c r="E8" s="131" t="s">
        <v>92</v>
      </c>
      <c r="G8" s="97">
        <f t="shared" ref="G8:I17" si="2">1+G7</f>
        <v>3</v>
      </c>
      <c r="H8" s="132" t="s">
        <v>81</v>
      </c>
      <c r="I8" s="97">
        <f t="shared" si="2"/>
        <v>3</v>
      </c>
      <c r="J8" s="131" t="s">
        <v>5</v>
      </c>
      <c r="K8" s="133"/>
      <c r="L8" s="120"/>
    </row>
    <row r="9" spans="1:15" ht="21" x14ac:dyDescent="0.3">
      <c r="B9" s="101">
        <f t="shared" si="0"/>
        <v>4</v>
      </c>
      <c r="C9" s="131" t="s">
        <v>81</v>
      </c>
      <c r="D9" s="101">
        <f t="shared" si="1"/>
        <v>17</v>
      </c>
      <c r="E9" s="131" t="s">
        <v>93</v>
      </c>
      <c r="G9" s="97">
        <f t="shared" si="2"/>
        <v>4</v>
      </c>
      <c r="H9" s="132" t="s">
        <v>87</v>
      </c>
      <c r="I9" s="97">
        <f t="shared" si="2"/>
        <v>4</v>
      </c>
      <c r="J9" s="131" t="s">
        <v>114</v>
      </c>
      <c r="K9" s="133"/>
      <c r="L9" s="120"/>
    </row>
    <row r="10" spans="1:15" ht="21" x14ac:dyDescent="0.3">
      <c r="B10" s="101">
        <f t="shared" si="0"/>
        <v>5</v>
      </c>
      <c r="C10" s="131" t="s">
        <v>82</v>
      </c>
      <c r="D10" s="101">
        <f t="shared" si="1"/>
        <v>18</v>
      </c>
      <c r="E10" s="131" t="s">
        <v>94</v>
      </c>
      <c r="G10" s="97">
        <f t="shared" si="2"/>
        <v>5</v>
      </c>
      <c r="H10" s="132" t="s">
        <v>83</v>
      </c>
      <c r="I10" s="97">
        <f t="shared" si="2"/>
        <v>5</v>
      </c>
      <c r="J10" s="131" t="s">
        <v>49</v>
      </c>
      <c r="K10" s="133"/>
      <c r="L10" s="120"/>
    </row>
    <row r="11" spans="1:15" ht="21" x14ac:dyDescent="0.3">
      <c r="B11" s="101">
        <f t="shared" si="0"/>
        <v>6</v>
      </c>
      <c r="C11" s="131" t="s">
        <v>83</v>
      </c>
      <c r="D11" s="101">
        <f t="shared" si="1"/>
        <v>19</v>
      </c>
      <c r="E11" s="131" t="s">
        <v>95</v>
      </c>
      <c r="G11" s="97">
        <f t="shared" si="2"/>
        <v>6</v>
      </c>
      <c r="H11" s="132" t="s">
        <v>91</v>
      </c>
      <c r="I11" s="97">
        <f t="shared" si="2"/>
        <v>6</v>
      </c>
      <c r="J11" s="131" t="s">
        <v>55</v>
      </c>
      <c r="K11" s="133"/>
      <c r="L11" s="120"/>
    </row>
    <row r="12" spans="1:15" ht="21" x14ac:dyDescent="0.3">
      <c r="B12" s="101">
        <f t="shared" si="0"/>
        <v>7</v>
      </c>
      <c r="C12" s="131" t="s">
        <v>84</v>
      </c>
      <c r="D12" s="101">
        <f t="shared" si="1"/>
        <v>20</v>
      </c>
      <c r="E12" s="131" t="s">
        <v>75</v>
      </c>
      <c r="G12" s="97">
        <f t="shared" si="2"/>
        <v>7</v>
      </c>
      <c r="H12" s="132" t="s">
        <v>90</v>
      </c>
      <c r="I12" s="97">
        <f t="shared" si="2"/>
        <v>7</v>
      </c>
      <c r="J12" s="131" t="s">
        <v>54</v>
      </c>
      <c r="K12" s="133"/>
      <c r="L12" s="120"/>
    </row>
    <row r="13" spans="1:15" ht="21" x14ac:dyDescent="0.3">
      <c r="B13" s="101">
        <f t="shared" si="0"/>
        <v>8</v>
      </c>
      <c r="C13" s="131" t="s">
        <v>85</v>
      </c>
      <c r="D13" s="101">
        <f t="shared" si="1"/>
        <v>21</v>
      </c>
      <c r="E13" s="131" t="s">
        <v>96</v>
      </c>
      <c r="G13" s="97">
        <f t="shared" si="2"/>
        <v>8</v>
      </c>
      <c r="H13" s="132" t="s">
        <v>88</v>
      </c>
      <c r="I13" s="97">
        <f t="shared" si="2"/>
        <v>8</v>
      </c>
      <c r="J13" s="131" t="s">
        <v>87</v>
      </c>
      <c r="K13" s="133"/>
      <c r="L13" s="120"/>
    </row>
    <row r="14" spans="1:15" ht="21" x14ac:dyDescent="0.3">
      <c r="B14" s="101">
        <f t="shared" si="0"/>
        <v>9</v>
      </c>
      <c r="C14" s="131" t="s">
        <v>86</v>
      </c>
      <c r="D14" s="101">
        <f t="shared" si="1"/>
        <v>22</v>
      </c>
      <c r="E14" s="131" t="s">
        <v>97</v>
      </c>
      <c r="G14" s="97">
        <f t="shared" si="2"/>
        <v>9</v>
      </c>
      <c r="H14" s="132" t="s">
        <v>94</v>
      </c>
      <c r="I14" s="97">
        <f t="shared" si="2"/>
        <v>9</v>
      </c>
      <c r="J14" s="131" t="s">
        <v>57</v>
      </c>
      <c r="K14" s="133"/>
      <c r="L14" s="120"/>
    </row>
    <row r="15" spans="1:15" ht="21" x14ac:dyDescent="0.3">
      <c r="B15" s="101">
        <f t="shared" si="0"/>
        <v>10</v>
      </c>
      <c r="C15" s="131" t="s">
        <v>87</v>
      </c>
      <c r="D15" s="101">
        <f t="shared" si="1"/>
        <v>23</v>
      </c>
      <c r="E15" s="131" t="s">
        <v>98</v>
      </c>
      <c r="G15" s="97">
        <f t="shared" si="2"/>
        <v>10</v>
      </c>
      <c r="H15" s="132" t="s">
        <v>96</v>
      </c>
      <c r="I15" s="97">
        <f t="shared" si="2"/>
        <v>10</v>
      </c>
      <c r="J15" s="131" t="s">
        <v>83</v>
      </c>
      <c r="K15" s="133"/>
      <c r="L15" s="120"/>
    </row>
    <row r="16" spans="1:15" ht="21" x14ac:dyDescent="0.3">
      <c r="B16" s="101">
        <f t="shared" si="0"/>
        <v>11</v>
      </c>
      <c r="C16" s="131" t="s">
        <v>88</v>
      </c>
      <c r="D16" s="101">
        <f t="shared" si="1"/>
        <v>24</v>
      </c>
      <c r="E16" s="131" t="s">
        <v>99</v>
      </c>
      <c r="G16" s="97">
        <f t="shared" si="2"/>
        <v>11</v>
      </c>
      <c r="H16" s="132" t="s">
        <v>97</v>
      </c>
      <c r="I16" s="97">
        <f t="shared" si="2"/>
        <v>11</v>
      </c>
      <c r="J16" s="131" t="s">
        <v>118</v>
      </c>
      <c r="K16" s="133"/>
      <c r="L16" s="120"/>
    </row>
    <row r="17" spans="2:12" ht="21" x14ac:dyDescent="0.3">
      <c r="B17" s="101">
        <f t="shared" si="0"/>
        <v>12</v>
      </c>
      <c r="C17" s="131" t="s">
        <v>89</v>
      </c>
      <c r="D17" s="101">
        <f t="shared" si="1"/>
        <v>25</v>
      </c>
      <c r="E17" s="131" t="s">
        <v>100</v>
      </c>
      <c r="G17" s="97">
        <f t="shared" si="2"/>
        <v>12</v>
      </c>
      <c r="H17" s="132" t="s">
        <v>99</v>
      </c>
      <c r="I17" s="97">
        <f t="shared" si="2"/>
        <v>12</v>
      </c>
      <c r="J17" s="131" t="s">
        <v>60</v>
      </c>
      <c r="K17" s="133"/>
      <c r="L17" s="120"/>
    </row>
    <row r="18" spans="2:12" ht="21" x14ac:dyDescent="0.4">
      <c r="B18" s="101">
        <f t="shared" si="0"/>
        <v>13</v>
      </c>
      <c r="C18" s="131" t="s">
        <v>90</v>
      </c>
      <c r="D18" s="101">
        <f t="shared" ref="D18:D23" si="3">1+D17</f>
        <v>26</v>
      </c>
      <c r="E18" s="134" t="s">
        <v>104</v>
      </c>
      <c r="H18" s="98"/>
      <c r="I18" s="97">
        <f t="shared" ref="I18" si="4">1+I17</f>
        <v>13</v>
      </c>
      <c r="J18" s="131" t="s">
        <v>89</v>
      </c>
      <c r="K18" s="120"/>
      <c r="L18" s="120"/>
    </row>
    <row r="19" spans="2:12" ht="21" x14ac:dyDescent="0.4">
      <c r="D19" s="101">
        <f t="shared" si="3"/>
        <v>27</v>
      </c>
      <c r="E19" s="135" t="s">
        <v>105</v>
      </c>
      <c r="H19" s="98"/>
      <c r="I19" s="97">
        <f t="shared" ref="I19" si="5">1+I18</f>
        <v>14</v>
      </c>
      <c r="J19" s="131" t="s">
        <v>120</v>
      </c>
      <c r="K19" s="120"/>
      <c r="L19" s="120"/>
    </row>
    <row r="20" spans="2:12" ht="21" x14ac:dyDescent="0.4">
      <c r="D20" s="101">
        <f t="shared" si="3"/>
        <v>28</v>
      </c>
      <c r="E20" s="135" t="s">
        <v>106</v>
      </c>
      <c r="F20" t="s">
        <v>108</v>
      </c>
      <c r="H20" s="98"/>
      <c r="I20" s="97">
        <f t="shared" ref="I20" si="6">1+I19</f>
        <v>15</v>
      </c>
      <c r="J20" s="131" t="s">
        <v>75</v>
      </c>
    </row>
    <row r="21" spans="2:12" ht="21" x14ac:dyDescent="0.4">
      <c r="D21" s="101">
        <f t="shared" si="3"/>
        <v>29</v>
      </c>
      <c r="E21" s="135" t="s">
        <v>56</v>
      </c>
      <c r="F21" t="s">
        <v>109</v>
      </c>
      <c r="H21" s="14"/>
      <c r="I21" s="97">
        <f t="shared" ref="I21" si="7">1+I20</f>
        <v>16</v>
      </c>
      <c r="J21" s="131" t="s">
        <v>93</v>
      </c>
    </row>
    <row r="22" spans="2:12" ht="21" x14ac:dyDescent="0.4">
      <c r="D22" s="101">
        <f t="shared" si="3"/>
        <v>30</v>
      </c>
      <c r="E22" s="135" t="s">
        <v>30</v>
      </c>
      <c r="I22" s="97">
        <f t="shared" ref="I22" si="8">1+I21</f>
        <v>17</v>
      </c>
      <c r="J22" s="131" t="s">
        <v>62</v>
      </c>
    </row>
    <row r="23" spans="2:12" ht="21" x14ac:dyDescent="0.4">
      <c r="D23" s="101">
        <f t="shared" si="3"/>
        <v>31</v>
      </c>
      <c r="E23" s="136" t="s">
        <v>107</v>
      </c>
      <c r="I23" s="97">
        <f t="shared" ref="I23" si="9">1+I22</f>
        <v>18</v>
      </c>
      <c r="J23" s="131" t="s">
        <v>95</v>
      </c>
    </row>
    <row r="24" spans="2:12" ht="21" x14ac:dyDescent="0.3">
      <c r="I24" s="97">
        <f t="shared" ref="I24" si="10">1+I23</f>
        <v>19</v>
      </c>
      <c r="J24" s="131" t="s">
        <v>126</v>
      </c>
    </row>
    <row r="25" spans="2:12" ht="21" x14ac:dyDescent="0.3">
      <c r="I25" s="97">
        <f t="shared" ref="I25" si="11">1+I24</f>
        <v>20</v>
      </c>
      <c r="J25" s="131" t="s">
        <v>11</v>
      </c>
    </row>
    <row r="26" spans="2:12" ht="21" x14ac:dyDescent="0.3">
      <c r="I26" s="97">
        <f t="shared" ref="I26" si="12">1+I25</f>
        <v>21</v>
      </c>
      <c r="J26" s="131" t="s">
        <v>127</v>
      </c>
    </row>
    <row r="27" spans="2:12" ht="21" x14ac:dyDescent="0.3">
      <c r="I27" s="97">
        <f t="shared" ref="I27" si="13">1+I26</f>
        <v>22</v>
      </c>
      <c r="J27" s="131" t="s">
        <v>7</v>
      </c>
    </row>
    <row r="28" spans="2:12" x14ac:dyDescent="0.3">
      <c r="K28" t="s">
        <v>43</v>
      </c>
    </row>
  </sheetData>
  <mergeCells count="4">
    <mergeCell ref="C1:I1"/>
    <mergeCell ref="C2:I2"/>
    <mergeCell ref="C4:E4"/>
    <mergeCell ref="G4:I4"/>
  </mergeCells>
  <conditionalFormatting sqref="H18">
    <cfRule type="expression" dxfId="2" priority="3">
      <formula>$A$5&lt;&gt;""</formula>
    </cfRule>
  </conditionalFormatting>
  <conditionalFormatting sqref="H19">
    <cfRule type="expression" dxfId="1" priority="2">
      <formula>$A$5&lt;&gt;""</formula>
    </cfRule>
  </conditionalFormatting>
  <conditionalFormatting sqref="H20">
    <cfRule type="expression" dxfId="0" priority="1">
      <formula>$A$5&lt;&gt;""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NPT fillin</vt:lpstr>
      <vt:lpstr>Sheet3</vt:lpstr>
      <vt:lpstr>NPT 3-choice</vt:lpstr>
      <vt:lpstr>BGMDNPT cum assmt</vt:lpstr>
      <vt:lpstr>BPDTMN 2-choice</vt:lpstr>
      <vt:lpstr>BPDTMNmaster</vt:lpstr>
      <vt:lpstr>NPT fillin assess</vt:lpstr>
      <vt:lpstr>NPTmaster</vt:lpstr>
      <vt:lpstr>'NPT 3-choice'!Print_Area</vt:lpstr>
      <vt:lpstr>NPTmaster!Print_Area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2020-08-17T20:13:38Z</dcterms:modified>
  <cp:category/>
  <cp:contentStatus/>
</cp:coreProperties>
</file>