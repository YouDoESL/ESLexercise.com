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06A7DBAE-6B43-46EB-AFF8-78744D4DB01F}" xr6:coauthVersionLast="45" xr6:coauthVersionMax="45" xr10:uidLastSave="{00000000-0000-0000-0000-000000000000}"/>
  <bookViews>
    <workbookView xWindow="0" yWindow="0" windowWidth="23040" windowHeight="12360" activeTab="3" xr2:uid="{00000000-000D-0000-FFFF-FFFF00000000}"/>
  </bookViews>
  <sheets>
    <sheet name="Phonics B Set 1" sheetId="1" r:id="rId1"/>
    <sheet name="Phonics B Set 2" sheetId="2" r:id="rId2"/>
    <sheet name="Phonics B Possible 4" sheetId="5" r:id="rId3"/>
    <sheet name="Phonics B Set 3" sheetId="3" r:id="rId4"/>
    <sheet name="Phonics Lists B" sheetId="4" r:id="rId5"/>
    <sheet name="Sheet2" sheetId="6" r:id="rId6"/>
  </sheets>
  <externalReferences>
    <externalReference r:id="rId7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4" i="4" l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G7" i="2"/>
  <c r="G4" i="2"/>
  <c r="N46" i="2"/>
  <c r="O46" i="2"/>
  <c r="N4" i="2"/>
  <c r="H7" i="2"/>
  <c r="N4" i="1"/>
  <c r="H24" i="2"/>
  <c r="N25" i="2"/>
  <c r="N35" i="2"/>
  <c r="H34" i="2"/>
  <c r="G11" i="2"/>
  <c r="H37" i="2"/>
  <c r="H31" i="2"/>
  <c r="O20" i="2"/>
  <c r="H23" i="2"/>
  <c r="O17" i="2"/>
  <c r="A1" i="1"/>
  <c r="G10" i="2"/>
  <c r="H38" i="2"/>
  <c r="O8" i="2"/>
  <c r="N10" i="2"/>
  <c r="N9" i="2"/>
  <c r="H39" i="2"/>
  <c r="H44" i="2"/>
  <c r="H22" i="2"/>
  <c r="N30" i="2"/>
  <c r="O13" i="2"/>
  <c r="O21" i="2"/>
  <c r="G46" i="2"/>
  <c r="N16" i="2"/>
  <c r="O22" i="2"/>
  <c r="H27" i="2"/>
  <c r="N34" i="2"/>
  <c r="G4" i="1"/>
  <c r="G14" i="2"/>
  <c r="G34" i="2"/>
  <c r="G43" i="2"/>
  <c r="O33" i="2"/>
  <c r="G4" i="3"/>
  <c r="G37" i="2"/>
  <c r="H16" i="2"/>
  <c r="G45" i="2"/>
  <c r="H17" i="2"/>
  <c r="O11" i="2"/>
  <c r="N18" i="2"/>
  <c r="N40" i="2"/>
  <c r="H46" i="2"/>
  <c r="G18" i="2"/>
  <c r="F1" i="4"/>
  <c r="N31" i="2"/>
  <c r="G22" i="2"/>
  <c r="O16" i="2"/>
  <c r="G39" i="2"/>
  <c r="N36" i="2"/>
  <c r="R1" i="1"/>
  <c r="O41" i="2"/>
  <c r="G16" i="2"/>
  <c r="H36" i="2"/>
  <c r="G17" i="2"/>
  <c r="N38" i="2"/>
  <c r="N37" i="2"/>
  <c r="O23" i="2"/>
  <c r="N32" i="2"/>
  <c r="H41" i="2"/>
  <c r="N19" i="2"/>
  <c r="H18" i="2"/>
  <c r="H13" i="2"/>
  <c r="H45" i="2"/>
  <c r="O27" i="2"/>
  <c r="G44" i="2"/>
  <c r="G19" i="2"/>
  <c r="G42" i="2"/>
  <c r="O35" i="2"/>
  <c r="N15" i="2"/>
  <c r="O4" i="3"/>
  <c r="O9" i="2"/>
  <c r="H14" i="2"/>
  <c r="G12" i="2"/>
  <c r="G13" i="2"/>
  <c r="O43" i="2"/>
  <c r="G30" i="2"/>
  <c r="O45" i="2"/>
  <c r="O24" i="2"/>
  <c r="O26" i="2"/>
  <c r="O14" i="2"/>
  <c r="G21" i="2"/>
  <c r="H33" i="2"/>
  <c r="N28" i="2"/>
  <c r="G8" i="2"/>
  <c r="O38" i="2"/>
  <c r="O15" i="2"/>
  <c r="N7" i="2"/>
  <c r="H40" i="2"/>
  <c r="O18" i="2"/>
  <c r="O7" i="2"/>
  <c r="O32" i="2"/>
  <c r="N41" i="2"/>
  <c r="N20" i="2"/>
  <c r="N14" i="2"/>
  <c r="O40" i="2"/>
  <c r="N22" i="2"/>
  <c r="N12" i="2"/>
  <c r="G32" i="2"/>
  <c r="N13" i="2"/>
  <c r="G25" i="2"/>
  <c r="H8" i="2"/>
  <c r="G9" i="2"/>
  <c r="H30" i="2"/>
  <c r="G40" i="2"/>
  <c r="H20" i="2"/>
  <c r="H35" i="2"/>
  <c r="H32" i="2"/>
  <c r="G36" i="2"/>
  <c r="H42" i="2"/>
  <c r="G28" i="2"/>
  <c r="N33" i="2"/>
  <c r="H21" i="2"/>
  <c r="N17" i="2"/>
  <c r="N11" i="2"/>
  <c r="O30" i="2"/>
  <c r="H9" i="2"/>
  <c r="L1" i="1"/>
  <c r="G31" i="2"/>
  <c r="G24" i="2"/>
  <c r="H43" i="2"/>
  <c r="H19" i="2"/>
  <c r="G20" i="2"/>
  <c r="O37" i="2"/>
  <c r="O10" i="2"/>
  <c r="G41" i="2"/>
  <c r="H26" i="2"/>
  <c r="O28" i="2"/>
  <c r="N44" i="2"/>
  <c r="N29" i="2"/>
  <c r="N24" i="2"/>
  <c r="N45" i="2"/>
  <c r="N26" i="2"/>
  <c r="O36" i="2"/>
  <c r="G33" i="2"/>
  <c r="H11" i="2"/>
  <c r="G23" i="2"/>
  <c r="O29" i="2"/>
  <c r="O44" i="2"/>
  <c r="N39" i="2"/>
  <c r="G26" i="2"/>
  <c r="O12" i="2"/>
  <c r="O39" i="2"/>
  <c r="H25" i="2"/>
  <c r="H12" i="2"/>
  <c r="G27" i="2"/>
  <c r="N43" i="2"/>
  <c r="N21" i="2"/>
  <c r="O19" i="2"/>
  <c r="G29" i="2"/>
  <c r="G35" i="2"/>
  <c r="G15" i="2"/>
  <c r="H29" i="2"/>
  <c r="O42" i="2"/>
  <c r="H10" i="2"/>
  <c r="H15" i="2"/>
  <c r="N27" i="2"/>
  <c r="O19" i="3"/>
  <c r="O31" i="2"/>
  <c r="N42" i="2"/>
  <c r="O25" i="2"/>
  <c r="H28" i="2"/>
  <c r="G38" i="2"/>
  <c r="O34" i="2"/>
  <c r="A1" i="4"/>
  <c r="N23" i="2"/>
  <c r="M5" i="1"/>
  <c r="N8" i="2"/>
  <c r="I38" i="2" l="1"/>
  <c r="I15" i="2"/>
  <c r="I35" i="2"/>
  <c r="I29" i="2"/>
  <c r="I27" i="2"/>
  <c r="I26" i="2"/>
  <c r="I23" i="2"/>
  <c r="I33" i="2"/>
  <c r="N47" i="2"/>
  <c r="I41" i="2"/>
  <c r="I20" i="2"/>
  <c r="I24" i="2"/>
  <c r="I31" i="2"/>
  <c r="I28" i="2"/>
  <c r="I36" i="2"/>
  <c r="I40" i="2"/>
  <c r="I9" i="2"/>
  <c r="I25" i="2"/>
  <c r="I32" i="2"/>
  <c r="I8" i="2"/>
  <c r="I21" i="2"/>
  <c r="O47" i="2"/>
  <c r="I30" i="2"/>
  <c r="I13" i="2"/>
  <c r="I12" i="2"/>
  <c r="I42" i="2"/>
  <c r="I19" i="2"/>
  <c r="I44" i="2"/>
  <c r="I17" i="2"/>
  <c r="I16" i="2"/>
  <c r="I39" i="2"/>
  <c r="I22" i="2"/>
  <c r="I18" i="2"/>
  <c r="I45" i="2"/>
  <c r="I37" i="2"/>
  <c r="I43" i="2"/>
  <c r="I34" i="2"/>
  <c r="I14" i="2"/>
  <c r="I46" i="2"/>
  <c r="I10" i="2"/>
  <c r="I11" i="2"/>
  <c r="I7" i="2"/>
  <c r="A42" i="2"/>
  <c r="A20" i="2"/>
  <c r="A27" i="2"/>
  <c r="A10" i="2"/>
  <c r="A12" i="2"/>
  <c r="A43" i="2"/>
  <c r="A44" i="2"/>
  <c r="A15" i="2"/>
  <c r="A33" i="2"/>
  <c r="A19" i="2"/>
  <c r="A17" i="2"/>
  <c r="A24" i="2"/>
  <c r="A28" i="2"/>
  <c r="A38" i="2"/>
  <c r="A46" i="2"/>
  <c r="A45" i="2"/>
  <c r="A37" i="2"/>
  <c r="A41" i="2"/>
  <c r="A8" i="2"/>
  <c r="A11" i="2"/>
  <c r="A29" i="2"/>
  <c r="A31" i="2"/>
  <c r="A16" i="2"/>
  <c r="A18" i="2"/>
  <c r="A36" i="2"/>
  <c r="A35" i="2"/>
  <c r="A34" i="2"/>
  <c r="P7" i="2"/>
  <c r="A9" i="2"/>
  <c r="A23" i="2"/>
  <c r="A30" i="2"/>
  <c r="A26" i="2"/>
  <c r="A22" i="2"/>
  <c r="A13" i="2"/>
  <c r="A14" i="2"/>
  <c r="A32" i="2"/>
  <c r="A40" i="2"/>
  <c r="A25" i="2"/>
  <c r="A21" i="2"/>
  <c r="A39" i="2"/>
  <c r="H44" i="1"/>
  <c r="O38" i="1"/>
  <c r="G42" i="1"/>
  <c r="H41" i="1"/>
  <c r="G45" i="1"/>
  <c r="G34" i="1"/>
  <c r="O42" i="1"/>
  <c r="O44" i="1"/>
  <c r="G46" i="1"/>
  <c r="G32" i="1"/>
  <c r="O35" i="1"/>
  <c r="N35" i="1"/>
  <c r="N36" i="1"/>
  <c r="N42" i="1"/>
  <c r="O37" i="1"/>
  <c r="N37" i="1"/>
  <c r="G39" i="1"/>
  <c r="O45" i="1"/>
  <c r="G37" i="1"/>
  <c r="H36" i="1"/>
  <c r="H40" i="1"/>
  <c r="H39" i="1"/>
  <c r="G35" i="1"/>
  <c r="G41" i="1"/>
  <c r="H46" i="1"/>
  <c r="G44" i="1"/>
  <c r="N44" i="1"/>
  <c r="H43" i="1"/>
  <c r="H42" i="1"/>
  <c r="O36" i="1"/>
  <c r="G38" i="1"/>
  <c r="O46" i="1"/>
  <c r="N38" i="1"/>
  <c r="G43" i="1"/>
  <c r="G33" i="1"/>
  <c r="H45" i="1"/>
  <c r="N41" i="1"/>
  <c r="H34" i="1"/>
  <c r="H38" i="1"/>
  <c r="N40" i="1"/>
  <c r="O40" i="1"/>
  <c r="G40" i="1"/>
  <c r="G36" i="1"/>
  <c r="H37" i="1"/>
  <c r="N46" i="1"/>
  <c r="O41" i="1"/>
  <c r="N34" i="1"/>
  <c r="N33" i="1"/>
  <c r="N39" i="1"/>
  <c r="O43" i="1"/>
  <c r="H32" i="1"/>
  <c r="N45" i="1"/>
  <c r="N43" i="1"/>
  <c r="H33" i="1"/>
  <c r="O32" i="1"/>
  <c r="O33" i="1"/>
  <c r="O34" i="1"/>
  <c r="H35" i="1"/>
  <c r="O39" i="1"/>
  <c r="N32" i="1"/>
  <c r="N47" i="1" l="1"/>
  <c r="I36" i="1"/>
  <c r="I40" i="1"/>
  <c r="I33" i="1"/>
  <c r="I43" i="1"/>
  <c r="I38" i="1"/>
  <c r="I44" i="1"/>
  <c r="I41" i="1"/>
  <c r="I35" i="1"/>
  <c r="I37" i="1"/>
  <c r="O47" i="1"/>
  <c r="I39" i="1"/>
  <c r="I32" i="1"/>
  <c r="I46" i="1"/>
  <c r="I34" i="1"/>
  <c r="I45" i="1"/>
  <c r="I42" i="1"/>
  <c r="M47" i="2"/>
  <c r="A34" i="1"/>
  <c r="A44" i="1"/>
  <c r="A45" i="1"/>
  <c r="A42" i="1"/>
  <c r="A38" i="1"/>
  <c r="A41" i="1"/>
  <c r="A32" i="1"/>
  <c r="A35" i="1"/>
  <c r="A37" i="1"/>
  <c r="A40" i="1"/>
  <c r="A39" i="1"/>
  <c r="A46" i="1"/>
  <c r="A33" i="1"/>
  <c r="A43" i="1"/>
  <c r="A36" i="1"/>
  <c r="P34" i="1"/>
  <c r="P37" i="1"/>
  <c r="P40" i="1"/>
  <c r="P43" i="1"/>
  <c r="P46" i="1"/>
  <c r="P32" i="1"/>
  <c r="P35" i="1"/>
  <c r="P38" i="1"/>
  <c r="P41" i="1"/>
  <c r="P44" i="1"/>
  <c r="P33" i="1"/>
  <c r="P36" i="1"/>
  <c r="P39" i="1"/>
  <c r="P42" i="1"/>
  <c r="P45" i="1"/>
  <c r="M47" i="1" l="1"/>
  <c r="B34" i="4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A26" i="5" l="1"/>
  <c r="A25" i="5"/>
  <c r="A24" i="5"/>
  <c r="A23" i="5"/>
  <c r="A22" i="5"/>
  <c r="F9" i="5"/>
  <c r="F10" i="5" s="1"/>
  <c r="F11" i="5" s="1"/>
  <c r="F12" i="5" s="1"/>
  <c r="F13" i="5" s="1"/>
  <c r="F14" i="5" s="1"/>
  <c r="F15" i="5" s="1"/>
  <c r="F16" i="5" s="1"/>
  <c r="N8" i="5"/>
  <c r="N9" i="5" s="1"/>
  <c r="N10" i="5" s="1"/>
  <c r="N11" i="5" s="1"/>
  <c r="N12" i="5" s="1"/>
  <c r="N13" i="5" s="1"/>
  <c r="N14" i="5" s="1"/>
  <c r="N15" i="5" s="1"/>
  <c r="N16" i="5" s="1"/>
  <c r="F8" i="5"/>
  <c r="O16" i="5"/>
  <c r="O13" i="5"/>
  <c r="H10" i="5"/>
  <c r="H16" i="5"/>
  <c r="I8" i="5"/>
  <c r="H11" i="5"/>
  <c r="H8" i="5"/>
  <c r="H15" i="5"/>
  <c r="O11" i="5"/>
  <c r="I11" i="5"/>
  <c r="O10" i="5"/>
  <c r="O8" i="5"/>
  <c r="Q12" i="5"/>
  <c r="Q11" i="5"/>
  <c r="O12" i="5"/>
  <c r="P16" i="5"/>
  <c r="A1" i="5"/>
  <c r="H14" i="5"/>
  <c r="Q10" i="5"/>
  <c r="G7" i="5"/>
  <c r="I12" i="5"/>
  <c r="G8" i="5"/>
  <c r="G9" i="5"/>
  <c r="O15" i="5"/>
  <c r="P15" i="5"/>
  <c r="I10" i="5"/>
  <c r="G13" i="5"/>
  <c r="Q8" i="5"/>
  <c r="P8" i="5"/>
  <c r="G15" i="5"/>
  <c r="I9" i="5"/>
  <c r="G14" i="5"/>
  <c r="U3" i="5"/>
  <c r="A1" i="2"/>
  <c r="H13" i="5"/>
  <c r="P9" i="5"/>
  <c r="P10" i="5"/>
  <c r="G11" i="5"/>
  <c r="O14" i="5"/>
  <c r="Q15" i="5"/>
  <c r="Q16" i="5"/>
  <c r="I15" i="5"/>
  <c r="H9" i="5"/>
  <c r="I14" i="5"/>
  <c r="G10" i="5"/>
  <c r="G12" i="5"/>
  <c r="I13" i="5"/>
  <c r="P13" i="5"/>
  <c r="P11" i="5"/>
  <c r="Q9" i="5"/>
  <c r="P7" i="5"/>
  <c r="P5" i="5"/>
  <c r="O7" i="5"/>
  <c r="O9" i="5"/>
  <c r="Q14" i="5"/>
  <c r="Q7" i="5"/>
  <c r="Q13" i="5"/>
  <c r="I7" i="5"/>
  <c r="I16" i="5"/>
  <c r="H7" i="5"/>
  <c r="H12" i="5"/>
  <c r="G16" i="5"/>
  <c r="P12" i="5"/>
  <c r="P14" i="5"/>
  <c r="A1" i="3"/>
  <c r="R9" i="5" l="1"/>
  <c r="A9" i="5"/>
  <c r="J9" i="5"/>
  <c r="R7" i="5"/>
  <c r="R13" i="5"/>
  <c r="R12" i="5"/>
  <c r="A7" i="5"/>
  <c r="J7" i="5"/>
  <c r="R11" i="5"/>
  <c r="A12" i="5"/>
  <c r="J12" i="5"/>
  <c r="R10" i="5"/>
  <c r="J11" i="5"/>
  <c r="A11" i="5"/>
  <c r="R16" i="5"/>
  <c r="R15" i="5"/>
  <c r="J16" i="5"/>
  <c r="A16" i="5"/>
  <c r="A15" i="5"/>
  <c r="J15" i="5"/>
  <c r="J10" i="5"/>
  <c r="A10" i="5"/>
  <c r="A8" i="5"/>
  <c r="J8" i="5"/>
  <c r="A14" i="5"/>
  <c r="J14" i="5"/>
  <c r="R8" i="5"/>
  <c r="R14" i="5"/>
  <c r="A13" i="5"/>
  <c r="J13" i="5"/>
  <c r="N8" i="3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F8" i="3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R22" i="5" l="1"/>
  <c r="M8" i="2"/>
  <c r="O11" i="1"/>
  <c r="G19" i="3"/>
  <c r="H9" i="3"/>
  <c r="O20" i="3"/>
  <c r="H22" i="1"/>
  <c r="H12" i="1"/>
  <c r="G15" i="1"/>
  <c r="H19" i="3"/>
  <c r="G21" i="1"/>
  <c r="G17" i="3"/>
  <c r="P16" i="3"/>
  <c r="N13" i="1"/>
  <c r="P15" i="3"/>
  <c r="G22" i="1"/>
  <c r="G10" i="1"/>
  <c r="P18" i="3"/>
  <c r="U3" i="2"/>
  <c r="N10" i="1"/>
  <c r="G18" i="1"/>
  <c r="O10" i="3"/>
  <c r="O26" i="1"/>
  <c r="N14" i="1"/>
  <c r="P14" i="3"/>
  <c r="P11" i="3"/>
  <c r="H14" i="1"/>
  <c r="O29" i="1"/>
  <c r="G20" i="3"/>
  <c r="G18" i="3"/>
  <c r="G27" i="1"/>
  <c r="N9" i="1"/>
  <c r="P7" i="3"/>
  <c r="O25" i="1"/>
  <c r="N27" i="1"/>
  <c r="Q16" i="3"/>
  <c r="H10" i="1"/>
  <c r="Q13" i="3"/>
  <c r="G29" i="1"/>
  <c r="P17" i="3"/>
  <c r="N25" i="1"/>
  <c r="Q11" i="3"/>
  <c r="G13" i="1"/>
  <c r="O27" i="1"/>
  <c r="H31" i="1"/>
  <c r="O18" i="1"/>
  <c r="N22" i="1"/>
  <c r="G16" i="1"/>
  <c r="H13" i="3"/>
  <c r="G7" i="1"/>
  <c r="I9" i="3"/>
  <c r="G11" i="3"/>
  <c r="O12" i="1"/>
  <c r="G24" i="1"/>
  <c r="I7" i="3"/>
  <c r="I14" i="3"/>
  <c r="H7" i="3"/>
  <c r="H10" i="3"/>
  <c r="N23" i="1"/>
  <c r="G23" i="1"/>
  <c r="Q12" i="3"/>
  <c r="Q7" i="3"/>
  <c r="Q18" i="3"/>
  <c r="G12" i="1"/>
  <c r="G30" i="1"/>
  <c r="N7" i="1"/>
  <c r="P12" i="3"/>
  <c r="G14" i="3"/>
  <c r="H18" i="1"/>
  <c r="G11" i="1"/>
  <c r="O19" i="1"/>
  <c r="N26" i="1"/>
  <c r="Q20" i="3"/>
  <c r="I20" i="3"/>
  <c r="H28" i="1"/>
  <c r="G9" i="3"/>
  <c r="G8" i="3"/>
  <c r="I15" i="3"/>
  <c r="P20" i="3"/>
  <c r="H12" i="3"/>
  <c r="O15" i="3"/>
  <c r="O17" i="3"/>
  <c r="I18" i="3"/>
  <c r="H17" i="3"/>
  <c r="H11" i="1"/>
  <c r="O24" i="1"/>
  <c r="G28" i="1"/>
  <c r="O14" i="3"/>
  <c r="I11" i="3"/>
  <c r="H11" i="3"/>
  <c r="O8" i="1"/>
  <c r="Q14" i="3"/>
  <c r="H8" i="3"/>
  <c r="I10" i="3"/>
  <c r="I13" i="3"/>
  <c r="H16" i="3"/>
  <c r="H25" i="1"/>
  <c r="N30" i="1"/>
  <c r="Q15" i="3"/>
  <c r="O17" i="1"/>
  <c r="N15" i="1"/>
  <c r="Q10" i="3"/>
  <c r="O13" i="3"/>
  <c r="G13" i="3"/>
  <c r="O9" i="3"/>
  <c r="O14" i="1"/>
  <c r="O22" i="1"/>
  <c r="N24" i="1"/>
  <c r="H20" i="3"/>
  <c r="H18" i="3"/>
  <c r="P9" i="3"/>
  <c r="P10" i="3"/>
  <c r="N8" i="1"/>
  <c r="N28" i="1"/>
  <c r="N17" i="1"/>
  <c r="H26" i="1"/>
  <c r="G26" i="1"/>
  <c r="G12" i="3"/>
  <c r="H29" i="1"/>
  <c r="H15" i="3"/>
  <c r="O15" i="1"/>
  <c r="N19" i="1"/>
  <c r="O31" i="1"/>
  <c r="O18" i="3"/>
  <c r="O13" i="1"/>
  <c r="G9" i="1"/>
  <c r="G20" i="1"/>
  <c r="N18" i="1"/>
  <c r="I12" i="3"/>
  <c r="I16" i="3"/>
  <c r="N11" i="1"/>
  <c r="G31" i="1"/>
  <c r="O16" i="1"/>
  <c r="O16" i="3"/>
  <c r="Q8" i="3"/>
  <c r="N16" i="1"/>
  <c r="O23" i="1"/>
  <c r="G8" i="1"/>
  <c r="H19" i="1"/>
  <c r="G17" i="1"/>
  <c r="O10" i="1"/>
  <c r="O9" i="1"/>
  <c r="G10" i="3"/>
  <c r="O7" i="3"/>
  <c r="Q9" i="3"/>
  <c r="P8" i="3"/>
  <c r="G14" i="1"/>
  <c r="H14" i="3"/>
  <c r="O21" i="1"/>
  <c r="H8" i="1"/>
  <c r="H27" i="1"/>
  <c r="N29" i="1"/>
  <c r="G25" i="1"/>
  <c r="H16" i="1"/>
  <c r="O7" i="1"/>
  <c r="P19" i="3"/>
  <c r="H15" i="1"/>
  <c r="H17" i="1"/>
  <c r="H13" i="1"/>
  <c r="P5" i="3"/>
  <c r="N5" i="2"/>
  <c r="G19" i="1"/>
  <c r="Q19" i="3"/>
  <c r="G7" i="3"/>
  <c r="O8" i="3"/>
  <c r="H9" i="1"/>
  <c r="O20" i="1"/>
  <c r="G16" i="3"/>
  <c r="Q17" i="3"/>
  <c r="O12" i="3"/>
  <c r="I8" i="3"/>
  <c r="H21" i="1"/>
  <c r="G15" i="3"/>
  <c r="O28" i="1"/>
  <c r="N21" i="1"/>
  <c r="H7" i="1"/>
  <c r="I17" i="3"/>
  <c r="N31" i="1"/>
  <c r="N20" i="1"/>
  <c r="I19" i="3"/>
  <c r="H30" i="1"/>
  <c r="O30" i="1"/>
  <c r="H20" i="1"/>
  <c r="O11" i="3"/>
  <c r="P13" i="3"/>
  <c r="N12" i="1"/>
  <c r="H23" i="1"/>
  <c r="H24" i="1"/>
  <c r="J15" i="3" l="1"/>
  <c r="J16" i="3"/>
  <c r="J7" i="3"/>
  <c r="I19" i="1"/>
  <c r="I25" i="1"/>
  <c r="I14" i="1"/>
  <c r="J10" i="3"/>
  <c r="I17" i="1"/>
  <c r="I8" i="1"/>
  <c r="I31" i="1"/>
  <c r="I20" i="1"/>
  <c r="I9" i="1"/>
  <c r="J12" i="3"/>
  <c r="I26" i="1"/>
  <c r="J13" i="3"/>
  <c r="I28" i="1"/>
  <c r="J8" i="3"/>
  <c r="J9" i="3"/>
  <c r="I11" i="1"/>
  <c r="J14" i="3"/>
  <c r="I30" i="1"/>
  <c r="I12" i="1"/>
  <c r="I23" i="1"/>
  <c r="I24" i="1"/>
  <c r="J11" i="3"/>
  <c r="I7" i="1"/>
  <c r="I16" i="1"/>
  <c r="I13" i="1"/>
  <c r="I29" i="1"/>
  <c r="I27" i="1"/>
  <c r="J18" i="3"/>
  <c r="J20" i="3"/>
  <c r="I18" i="1"/>
  <c r="I10" i="1"/>
  <c r="I22" i="1"/>
  <c r="J17" i="3"/>
  <c r="I21" i="1"/>
  <c r="I15" i="1"/>
  <c r="J19" i="3"/>
  <c r="P21" i="3"/>
  <c r="R7" i="3"/>
  <c r="U7" i="3" s="1"/>
  <c r="Q21" i="3"/>
  <c r="O21" i="3"/>
  <c r="R13" i="3"/>
  <c r="U13" i="3" s="1"/>
  <c r="R16" i="3"/>
  <c r="U16" i="3" s="1"/>
  <c r="R14" i="3"/>
  <c r="U14" i="3" s="1"/>
  <c r="R20" i="3"/>
  <c r="U20" i="3" s="1"/>
  <c r="R15" i="3"/>
  <c r="U15" i="3" s="1"/>
  <c r="R18" i="3"/>
  <c r="U18" i="3" s="1"/>
  <c r="R10" i="3"/>
  <c r="U10" i="3" s="1"/>
  <c r="R17" i="3"/>
  <c r="U17" i="3" s="1"/>
  <c r="R12" i="3"/>
  <c r="U12" i="3" s="1"/>
  <c r="R9" i="3"/>
  <c r="U9" i="3" s="1"/>
  <c r="R19" i="3"/>
  <c r="U19" i="3" s="1"/>
  <c r="R8" i="3"/>
  <c r="U8" i="3" s="1"/>
  <c r="R11" i="3"/>
  <c r="U11" i="3" s="1"/>
  <c r="P8" i="2"/>
  <c r="A7" i="2"/>
  <c r="P22" i="1"/>
  <c r="A7" i="1"/>
  <c r="A27" i="1"/>
  <c r="A15" i="1"/>
  <c r="A14" i="1"/>
  <c r="A31" i="1"/>
  <c r="A12" i="1"/>
  <c r="P30" i="1"/>
  <c r="P27" i="1"/>
  <c r="P20" i="1"/>
  <c r="P31" i="1"/>
  <c r="P11" i="1"/>
  <c r="P8" i="1"/>
  <c r="A30" i="1"/>
  <c r="A21" i="1"/>
  <c r="P21" i="1"/>
  <c r="P23" i="1"/>
  <c r="P18" i="1"/>
  <c r="P10" i="1"/>
  <c r="P15" i="1"/>
  <c r="P14" i="1"/>
  <c r="P19" i="1"/>
  <c r="A22" i="1"/>
  <c r="A8" i="1"/>
  <c r="P24" i="1"/>
  <c r="P25" i="1"/>
  <c r="A24" i="1"/>
  <c r="A9" i="1"/>
  <c r="A10" i="1"/>
  <c r="A28" i="1"/>
  <c r="P9" i="1"/>
  <c r="P26" i="1"/>
  <c r="A13" i="1"/>
  <c r="P29" i="1"/>
  <c r="A11" i="1"/>
  <c r="A25" i="1"/>
  <c r="A16" i="1"/>
  <c r="P13" i="1"/>
  <c r="P17" i="1"/>
  <c r="A29" i="1"/>
  <c r="A18" i="1"/>
  <c r="P28" i="1"/>
  <c r="A26" i="1"/>
  <c r="A19" i="1"/>
  <c r="A17" i="1"/>
  <c r="P12" i="1"/>
  <c r="P16" i="1"/>
  <c r="A20" i="1"/>
  <c r="A23" i="1"/>
  <c r="P7" i="1"/>
  <c r="P47" i="1" s="1"/>
  <c r="A12" i="3"/>
  <c r="A13" i="3"/>
  <c r="A21" i="3"/>
  <c r="A10" i="3"/>
  <c r="A16" i="3"/>
  <c r="A22" i="3"/>
  <c r="A27" i="3"/>
  <c r="A11" i="3"/>
  <c r="A17" i="3"/>
  <c r="A19" i="3"/>
  <c r="A9" i="3"/>
  <c r="A25" i="3"/>
  <c r="A31" i="3"/>
  <c r="A14" i="3"/>
  <c r="A15" i="3"/>
  <c r="A23" i="3"/>
  <c r="A30" i="3"/>
  <c r="A28" i="3"/>
  <c r="A18" i="3"/>
  <c r="A20" i="3"/>
  <c r="A32" i="3"/>
  <c r="A26" i="3"/>
  <c r="A8" i="3"/>
  <c r="A29" i="3"/>
  <c r="A24" i="3"/>
  <c r="A7" i="3"/>
  <c r="M9" i="2"/>
  <c r="M8" i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F8" i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U21" i="3" l="1"/>
  <c r="N21" i="3"/>
  <c r="R21" i="3"/>
  <c r="P9" i="2"/>
  <c r="M10" i="2"/>
  <c r="P10" i="2" l="1"/>
  <c r="M11" i="2"/>
  <c r="P11" i="2" l="1"/>
  <c r="M12" i="2"/>
  <c r="P12" i="2" l="1"/>
  <c r="M13" i="2"/>
  <c r="P13" i="2" l="1"/>
  <c r="M14" i="2"/>
  <c r="P14" i="2" l="1"/>
  <c r="M15" i="2"/>
  <c r="P15" i="2" l="1"/>
  <c r="M16" i="2"/>
  <c r="P16" i="2" l="1"/>
  <c r="F17" i="2"/>
  <c r="M17" i="2"/>
  <c r="P17" i="2" l="1"/>
  <c r="F18" i="2"/>
  <c r="M18" i="2"/>
  <c r="P18" i="2" l="1"/>
  <c r="F19" i="2"/>
  <c r="M19" i="2"/>
  <c r="P19" i="2" l="1"/>
  <c r="F20" i="2"/>
  <c r="M20" i="2"/>
  <c r="P20" i="2" l="1"/>
  <c r="F21" i="2"/>
  <c r="M21" i="2"/>
  <c r="M22" i="2" s="1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P21" i="2" l="1"/>
  <c r="F22" i="2"/>
  <c r="P22" i="2" l="1"/>
  <c r="F23" i="2"/>
  <c r="P23" i="2" l="1"/>
  <c r="F24" i="2"/>
  <c r="P24" i="2" l="1"/>
  <c r="F25" i="2"/>
  <c r="P25" i="2" l="1"/>
  <c r="F26" i="2"/>
  <c r="P26" i="2" l="1"/>
  <c r="F27" i="2"/>
  <c r="P27" i="2" l="1"/>
  <c r="F28" i="2"/>
  <c r="P28" i="2" l="1"/>
  <c r="F29" i="2"/>
  <c r="P29" i="2" l="1"/>
  <c r="F30" i="2"/>
  <c r="P30" i="2" l="1"/>
  <c r="F31" i="2"/>
  <c r="P31" i="2" l="1"/>
  <c r="F32" i="2"/>
  <c r="P32" i="2" l="1"/>
  <c r="F33" i="2"/>
  <c r="P33" i="2" l="1"/>
  <c r="F34" i="2"/>
  <c r="P34" i="2" l="1"/>
  <c r="F35" i="2"/>
  <c r="P35" i="2" l="1"/>
  <c r="F36" i="2"/>
  <c r="P36" i="2" l="1"/>
  <c r="F37" i="2"/>
  <c r="P37" i="2" l="1"/>
  <c r="F38" i="2"/>
  <c r="P38" i="2" l="1"/>
  <c r="F39" i="2"/>
  <c r="P39" i="2" l="1"/>
  <c r="F40" i="2"/>
  <c r="P40" i="2" l="1"/>
  <c r="F41" i="2"/>
  <c r="P41" i="2" l="1"/>
  <c r="F42" i="2"/>
  <c r="P42" i="2" l="1"/>
  <c r="F43" i="2"/>
  <c r="P43" i="2" l="1"/>
  <c r="F44" i="2"/>
  <c r="P44" i="2" l="1"/>
  <c r="F45" i="2"/>
  <c r="P45" i="2" l="1"/>
  <c r="F46" i="2"/>
  <c r="P46" i="2" l="1"/>
  <c r="P47" i="2" s="1"/>
</calcChain>
</file>

<file path=xl/sharedStrings.xml><?xml version="1.0" encoding="utf-8"?>
<sst xmlns="http://schemas.openxmlformats.org/spreadsheetml/2006/main" count="500" uniqueCount="206">
  <si>
    <t>bat</t>
  </si>
  <si>
    <t>nap</t>
  </si>
  <si>
    <t>tap</t>
  </si>
  <si>
    <t>mad</t>
  </si>
  <si>
    <t>dad</t>
  </si>
  <si>
    <t>tab</t>
  </si>
  <si>
    <t>bad</t>
  </si>
  <si>
    <t>tan</t>
  </si>
  <si>
    <t>map</t>
  </si>
  <si>
    <t>ban</t>
  </si>
  <si>
    <t>man</t>
  </si>
  <si>
    <t>pad</t>
  </si>
  <si>
    <t>nab</t>
  </si>
  <si>
    <t>pat</t>
  </si>
  <si>
    <t>pan</t>
  </si>
  <si>
    <t>bed</t>
  </si>
  <si>
    <t>den</t>
  </si>
  <si>
    <t>men</t>
  </si>
  <si>
    <t>pen</t>
  </si>
  <si>
    <t>ten</t>
  </si>
  <si>
    <t>bet</t>
  </si>
  <si>
    <t>met</t>
  </si>
  <si>
    <t>net</t>
  </si>
  <si>
    <t>pet</t>
  </si>
  <si>
    <t>tin</t>
  </si>
  <si>
    <t>bid</t>
  </si>
  <si>
    <t>din</t>
  </si>
  <si>
    <t>tip</t>
  </si>
  <si>
    <t>bin</t>
  </si>
  <si>
    <t>bib</t>
  </si>
  <si>
    <t>pit</t>
  </si>
  <si>
    <t>bit</t>
  </si>
  <si>
    <t>nip</t>
  </si>
  <si>
    <t>pin</t>
  </si>
  <si>
    <t>mop</t>
  </si>
  <si>
    <t>bob</t>
  </si>
  <si>
    <t>pop</t>
  </si>
  <si>
    <t>bot</t>
  </si>
  <si>
    <t>top</t>
  </si>
  <si>
    <t>pot</t>
  </si>
  <si>
    <t>pod</t>
  </si>
  <si>
    <t>not</t>
  </si>
  <si>
    <t>mud</t>
  </si>
  <si>
    <t>bud</t>
  </si>
  <si>
    <t>bun</t>
  </si>
  <si>
    <t>tub</t>
  </si>
  <si>
    <t>nub</t>
  </si>
  <si>
    <t>but</t>
  </si>
  <si>
    <t>pun</t>
  </si>
  <si>
    <t>bub</t>
  </si>
  <si>
    <t>nut</t>
  </si>
  <si>
    <t>SAY:</t>
  </si>
  <si>
    <t>CHOOSE:</t>
  </si>
  <si>
    <t>Sound file is here:</t>
  </si>
  <si>
    <t>or here:</t>
  </si>
  <si>
    <t>#end</t>
  </si>
  <si>
    <t>Your Name:</t>
  </si>
  <si>
    <t>(This column will not appear)</t>
  </si>
  <si>
    <t>pup</t>
  </si>
  <si>
    <t>nib</t>
  </si>
  <si>
    <t>mod</t>
  </si>
  <si>
    <t>here</t>
  </si>
  <si>
    <t>teacher list --&gt;</t>
  </si>
  <si>
    <t>MOVE U3 to somewhere</t>
  </si>
  <si>
    <t>like R1 (for each audio file)</t>
  </si>
  <si>
    <t>Practice Set #4</t>
  </si>
  <si>
    <t>Test Set #4</t>
  </si>
  <si>
    <t>dun</t>
  </si>
  <si>
    <t>pep</t>
  </si>
  <si>
    <t>met   mat</t>
  </si>
  <si>
    <t>bed   bad</t>
  </si>
  <si>
    <t>bin   ban</t>
  </si>
  <si>
    <t>dad   did</t>
  </si>
  <si>
    <t>mop   map</t>
  </si>
  <si>
    <t>bat   bot</t>
  </si>
  <si>
    <t>dad   dud</t>
  </si>
  <si>
    <t>nub   nab</t>
  </si>
  <si>
    <t>men   man</t>
  </si>
  <si>
    <t>pet   pat</t>
  </si>
  <si>
    <t>bid   bed</t>
  </si>
  <si>
    <t>den   din</t>
  </si>
  <si>
    <t>pep   pop</t>
  </si>
  <si>
    <t>net   not</t>
  </si>
  <si>
    <t>bud   bed</t>
  </si>
  <si>
    <t>pun   pen</t>
  </si>
  <si>
    <t>nip   nap</t>
  </si>
  <si>
    <t>bat   bit</t>
  </si>
  <si>
    <t>tin   ten</t>
  </si>
  <si>
    <t>pen   pin</t>
  </si>
  <si>
    <t>pot   pit</t>
  </si>
  <si>
    <t>tip   top</t>
  </si>
  <si>
    <t>nub   nib</t>
  </si>
  <si>
    <t>bin   bun</t>
  </si>
  <si>
    <t>pod   pad</t>
  </si>
  <si>
    <t>tap   top</t>
  </si>
  <si>
    <t>not   net</t>
  </si>
  <si>
    <t>don   den</t>
  </si>
  <si>
    <t>bib   bob</t>
  </si>
  <si>
    <t>pit   pot</t>
  </si>
  <si>
    <t>mod   mud</t>
  </si>
  <si>
    <t>pup   pop</t>
  </si>
  <si>
    <t>mud   mad</t>
  </si>
  <si>
    <t>tab   tub</t>
  </si>
  <si>
    <t>bet   but</t>
  </si>
  <si>
    <t>did   dud</t>
  </si>
  <si>
    <t>bun   bin</t>
  </si>
  <si>
    <t>not   nut</t>
  </si>
  <si>
    <t>met - mat</t>
  </si>
  <si>
    <t>bed - bad</t>
  </si>
  <si>
    <t>bin - ban</t>
  </si>
  <si>
    <t>dad - did</t>
  </si>
  <si>
    <t>mop - map</t>
  </si>
  <si>
    <t>bat - bot</t>
  </si>
  <si>
    <t>dad - dud</t>
  </si>
  <si>
    <t>nub - nab</t>
  </si>
  <si>
    <t>men - man</t>
  </si>
  <si>
    <t>pet - pat</t>
  </si>
  <si>
    <t>bid - bed</t>
  </si>
  <si>
    <t>den - din</t>
  </si>
  <si>
    <t>pep - pop</t>
  </si>
  <si>
    <t>net - not</t>
  </si>
  <si>
    <t>bud - bed</t>
  </si>
  <si>
    <t>pun - pen</t>
  </si>
  <si>
    <t>nip - nap</t>
  </si>
  <si>
    <t>bat - bit</t>
  </si>
  <si>
    <t>tin - ten</t>
  </si>
  <si>
    <t>pen - pin</t>
  </si>
  <si>
    <t>pot - pit</t>
  </si>
  <si>
    <t>tip - top</t>
  </si>
  <si>
    <t>nub - nib</t>
  </si>
  <si>
    <t>bin - bun</t>
  </si>
  <si>
    <t>pod - pad</t>
  </si>
  <si>
    <t>tap - top</t>
  </si>
  <si>
    <t>not - net</t>
  </si>
  <si>
    <t>don - den</t>
  </si>
  <si>
    <t>bib - bob</t>
  </si>
  <si>
    <t>pit - pot</t>
  </si>
  <si>
    <t>mod - mud</t>
  </si>
  <si>
    <t>pup - pop</t>
  </si>
  <si>
    <t>mud - mad</t>
  </si>
  <si>
    <t>tab - tub</t>
  </si>
  <si>
    <t>bet - but</t>
  </si>
  <si>
    <t>did - dud</t>
  </si>
  <si>
    <t>bun - bin</t>
  </si>
  <si>
    <t>not - nut</t>
  </si>
  <si>
    <t>did - dad</t>
  </si>
  <si>
    <t>bot - bat</t>
  </si>
  <si>
    <t>dud - dad</t>
  </si>
  <si>
    <t>man - men</t>
  </si>
  <si>
    <t>pat - pet</t>
  </si>
  <si>
    <t>din - den</t>
  </si>
  <si>
    <t>pop - pep</t>
  </si>
  <si>
    <t>nap - nip</t>
  </si>
  <si>
    <t>ten - tin</t>
  </si>
  <si>
    <t>top - tip</t>
  </si>
  <si>
    <t>pad - pod</t>
  </si>
  <si>
    <t>den - don</t>
  </si>
  <si>
    <t>mud - mod</t>
  </si>
  <si>
    <t>mad - mud</t>
  </si>
  <si>
    <t>pen - pun</t>
  </si>
  <si>
    <t>pop - pup</t>
  </si>
  <si>
    <t>mat - met</t>
  </si>
  <si>
    <t>bad - bed</t>
  </si>
  <si>
    <t>ban - bin</t>
  </si>
  <si>
    <t>map - mop</t>
  </si>
  <si>
    <t>nab - nub</t>
  </si>
  <si>
    <t>bed - bid</t>
  </si>
  <si>
    <t>bed - bud</t>
  </si>
  <si>
    <t>bit - bat</t>
  </si>
  <si>
    <t>pin - pen</t>
  </si>
  <si>
    <t>nib - nub</t>
  </si>
  <si>
    <t>top - tap</t>
  </si>
  <si>
    <t>bob - bib</t>
  </si>
  <si>
    <t>tub - tab</t>
  </si>
  <si>
    <t>but - bet</t>
  </si>
  <si>
    <t>dud - did</t>
  </si>
  <si>
    <t>nut - not</t>
  </si>
  <si>
    <t>did</t>
  </si>
  <si>
    <t>dud</t>
  </si>
  <si>
    <t>don</t>
  </si>
  <si>
    <t>mat</t>
  </si>
  <si>
    <t>(40 items)</t>
  </si>
  <si>
    <t>( items)</t>
  </si>
  <si>
    <t>mum</t>
  </si>
  <si>
    <t>mom</t>
  </si>
  <si>
    <t>mam</t>
  </si>
  <si>
    <t>Set #3</t>
  </si>
  <si>
    <t>Note: contact programmer ken@kaye.com to request .mp3 audio of these lists to be inserted in the tests so students can practice the exercises on their own.</t>
  </si>
  <si>
    <t>ESLat Howard  7/31/2020</t>
  </si>
  <si>
    <t>Teacher lists for Phonics Sets B</t>
  </si>
  <si>
    <t>(pair order varies)</t>
  </si>
  <si>
    <t>(2-choice, vowel varies)</t>
  </si>
  <si>
    <t>(3-choice, vowel varies)</t>
  </si>
  <si>
    <t>Set B1</t>
  </si>
  <si>
    <t>Set B2</t>
  </si>
  <si>
    <t>Set B3</t>
  </si>
  <si>
    <t>Phonics Set B1</t>
  </si>
  <si>
    <t>ESLatHoward 8/4/2020</t>
  </si>
  <si>
    <t>advance to--&gt;</t>
  </si>
  <si>
    <t>Phonics Set B2</t>
  </si>
  <si>
    <t>C</t>
  </si>
  <si>
    <t>B</t>
  </si>
  <si>
    <t>Phonics Set B3</t>
  </si>
  <si>
    <t>Advance to--&gt;</t>
  </si>
  <si>
    <t>Teacher list --&gt;</t>
  </si>
  <si>
    <t>insert metatag info somewhere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</si>
</sst>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.75"/>
      <color rgb="FF454545"/>
      <name val="Fixed"/>
      <family val="3"/>
    </font>
    <font>
      <sz val="12.75"/>
      <name val="Fixed"/>
      <family val="3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2.75"/>
      <color theme="0"/>
      <name val="Fixed"/>
      <family val="3"/>
    </font>
    <font>
      <sz val="10.5"/>
      <color theme="0"/>
      <name val="Arial"/>
      <family val="2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sz val="14"/>
      <color theme="0"/>
      <name val="Arial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.5"/>
      <name val="Arial"/>
      <family val="2"/>
    </font>
    <font>
      <sz val="14"/>
      <color theme="0"/>
      <name val="Times New Roman"/>
      <family val="1"/>
    </font>
    <font>
      <sz val="8"/>
      <color theme="0"/>
      <name val="Verdana"/>
      <family val="2"/>
    </font>
    <font>
      <sz val="13"/>
      <color rgb="FF222222"/>
      <name val="Arial"/>
      <family val="2"/>
    </font>
    <font>
      <sz val="12"/>
      <color theme="0"/>
      <name val="Fixed"/>
      <family val="3"/>
    </font>
    <font>
      <sz val="12"/>
      <name val="Arial"/>
      <family val="2"/>
    </font>
    <font>
      <sz val="10"/>
      <color theme="0"/>
      <name val="Arial"/>
      <family val="2"/>
    </font>
    <font>
      <sz val="10.5"/>
      <color theme="0"/>
      <name val="Times New Roman"/>
      <family val="1"/>
    </font>
    <font>
      <sz val="12"/>
      <color theme="0"/>
      <name val="Arial"/>
      <family val="2"/>
    </font>
    <font>
      <sz val="16"/>
      <color theme="0"/>
      <name val="Bodoni MT"/>
      <family val="1"/>
    </font>
    <font>
      <sz val="16"/>
      <color theme="4"/>
      <name val="Bodoni MT"/>
      <family val="1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6"/>
      <color theme="1"/>
      <name val="Bodoni MT"/>
      <family val="1"/>
    </font>
    <font>
      <i/>
      <sz val="14"/>
      <color theme="1"/>
      <name val="Bodoni MT"/>
      <family val="1"/>
    </font>
    <font>
      <sz val="16"/>
      <name val="Bodoni MT"/>
      <family val="1"/>
    </font>
    <font>
      <i/>
      <sz val="14"/>
      <name val="Bodoni MT"/>
      <family val="1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vertical="center"/>
    </xf>
    <xf numFmtId="0" fontId="6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9" fillId="0" borderId="0" xfId="0" applyFont="1" applyBorder="1" applyAlignment="1">
      <alignment horizontal="center" vertical="center" wrapText="1"/>
    </xf>
    <xf numFmtId="0" fontId="2" fillId="0" borderId="0" xfId="1" applyAlignment="1">
      <alignment horizontal="left" wrapText="1"/>
    </xf>
    <xf numFmtId="0" fontId="1" fillId="0" borderId="0" xfId="0" applyFont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" fillId="4" borderId="0" xfId="0" applyFont="1" applyFill="1"/>
    <xf numFmtId="0" fontId="7" fillId="4" borderId="0" xfId="0" applyFont="1" applyFill="1" applyAlignment="1">
      <alignment horizontal="left" vertical="center" indent="2"/>
    </xf>
    <xf numFmtId="0" fontId="8" fillId="4" borderId="0" xfId="0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1" fillId="4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3" fillId="0" borderId="0" xfId="0" applyFont="1"/>
    <xf numFmtId="0" fontId="13" fillId="4" borderId="0" xfId="0" applyFont="1" applyFill="1"/>
    <xf numFmtId="0" fontId="14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6" fillId="0" borderId="0" xfId="0" applyFont="1"/>
    <xf numFmtId="0" fontId="7" fillId="4" borderId="0" xfId="0" applyFont="1" applyFill="1" applyBorder="1" applyAlignment="1">
      <alignment horizontal="left" vertical="center" indent="2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Border="1"/>
    <xf numFmtId="0" fontId="10" fillId="4" borderId="0" xfId="0" applyFont="1" applyFill="1" applyBorder="1" applyAlignment="1">
      <alignment horizontal="center"/>
    </xf>
    <xf numFmtId="20" fontId="9" fillId="0" borderId="0" xfId="0" applyNumberFormat="1" applyFont="1" applyBorder="1" applyAlignment="1">
      <alignment horizontal="center" vertical="center" wrapText="1"/>
    </xf>
    <xf numFmtId="0" fontId="15" fillId="4" borderId="0" xfId="1" applyFont="1" applyFill="1" applyBorder="1" applyAlignment="1">
      <alignment horizontal="center"/>
    </xf>
    <xf numFmtId="0" fontId="2" fillId="2" borderId="1" xfId="1" applyFill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/>
    </xf>
    <xf numFmtId="0" fontId="2" fillId="4" borderId="3" xfId="1" applyFill="1" applyBorder="1" applyAlignment="1">
      <alignment horizontal="center"/>
    </xf>
    <xf numFmtId="0" fontId="2" fillId="4" borderId="0" xfId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4" borderId="0" xfId="0" applyFont="1" applyFill="1" applyBorder="1"/>
    <xf numFmtId="0" fontId="17" fillId="0" borderId="0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7" fillId="4" borderId="0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 indent="2"/>
    </xf>
    <xf numFmtId="0" fontId="14" fillId="4" borderId="0" xfId="0" applyFont="1" applyFill="1"/>
    <xf numFmtId="0" fontId="1" fillId="0" borderId="0" xfId="0" applyFont="1" applyBorder="1" applyAlignment="1">
      <alignment horizontal="center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19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20" fillId="0" borderId="0" xfId="0" applyFont="1" applyAlignment="1">
      <alignment vertical="center"/>
    </xf>
    <xf numFmtId="0" fontId="1" fillId="4" borderId="0" xfId="0" applyFont="1" applyFill="1" applyAlignment="1">
      <alignment horizontal="center"/>
    </xf>
    <xf numFmtId="0" fontId="7" fillId="0" borderId="0" xfId="0" applyFont="1" applyAlignment="1">
      <alignment horizontal="left" vertical="center" indent="2"/>
    </xf>
    <xf numFmtId="0" fontId="19" fillId="0" borderId="0" xfId="0" applyFont="1" applyAlignment="1">
      <alignment vertical="center"/>
    </xf>
    <xf numFmtId="0" fontId="21" fillId="0" borderId="0" xfId="0" applyFont="1" applyAlignment="1">
      <alignment horizontal="left" vertical="center" indent="2"/>
    </xf>
    <xf numFmtId="0" fontId="16" fillId="0" borderId="0" xfId="0" applyFont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" fillId="0" borderId="0" xfId="0" applyFont="1" applyBorder="1" applyAlignment="1">
      <alignment vertical="center"/>
    </xf>
    <xf numFmtId="0" fontId="23" fillId="0" borderId="0" xfId="0" applyFont="1" applyBorder="1" applyAlignment="1">
      <alignment vertical="center"/>
    </xf>
    <xf numFmtId="0" fontId="24" fillId="0" borderId="0" xfId="0" applyFont="1" applyBorder="1" applyAlignment="1">
      <alignment horizontal="center" vertical="center" wrapText="1"/>
    </xf>
    <xf numFmtId="0" fontId="25" fillId="0" borderId="0" xfId="0" applyFont="1" applyBorder="1" applyAlignment="1">
      <alignment vertical="center"/>
    </xf>
    <xf numFmtId="0" fontId="13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12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vertical="center" wrapText="1"/>
    </xf>
    <xf numFmtId="0" fontId="1" fillId="0" borderId="0" xfId="0" applyFont="1" applyBorder="1"/>
    <xf numFmtId="0" fontId="20" fillId="0" borderId="0" xfId="0" applyFont="1" applyBorder="1" applyAlignment="1">
      <alignment vertical="center"/>
    </xf>
    <xf numFmtId="0" fontId="11" fillId="0" borderId="6" xfId="0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20" fillId="0" borderId="6" xfId="0" applyFont="1" applyBorder="1" applyAlignment="1">
      <alignment horizontal="center" vertical="center"/>
    </xf>
    <xf numFmtId="0" fontId="6" fillId="4" borderId="0" xfId="0" applyFont="1" applyFill="1" applyAlignment="1">
      <alignment vertical="center"/>
    </xf>
    <xf numFmtId="0" fontId="2" fillId="0" borderId="0" xfId="1" applyAlignment="1">
      <alignment horizontal="center"/>
    </xf>
    <xf numFmtId="0" fontId="0" fillId="0" borderId="0" xfId="0"/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0" fontId="26" fillId="5" borderId="8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/>
    <xf numFmtId="0" fontId="2" fillId="0" borderId="0" xfId="1"/>
    <xf numFmtId="0" fontId="9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9" fontId="6" fillId="0" borderId="0" xfId="0" applyNumberFormat="1" applyFont="1" applyBorder="1" applyAlignment="1">
      <alignment horizontal="center" vertical="center"/>
    </xf>
    <xf numFmtId="0" fontId="0" fillId="0" borderId="0" xfId="0"/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9" fontId="1" fillId="0" borderId="0" xfId="0" applyNumberFormat="1" applyFont="1" applyBorder="1" applyAlignment="1">
      <alignment horizontal="center" vertical="center"/>
    </xf>
    <xf numFmtId="0" fontId="2" fillId="0" borderId="0" xfId="1" applyAlignment="1">
      <alignment horizontal="center" vertical="center"/>
    </xf>
    <xf numFmtId="0" fontId="19" fillId="0" borderId="0" xfId="0" applyFont="1" applyAlignment="1">
      <alignment horizontal="center"/>
    </xf>
    <xf numFmtId="0" fontId="0" fillId="0" borderId="0" xfId="0" applyAlignment="1"/>
    <xf numFmtId="0" fontId="16" fillId="0" borderId="0" xfId="0" applyFont="1" applyAlignment="1">
      <alignment horizontal="right"/>
    </xf>
    <xf numFmtId="0" fontId="1" fillId="0" borderId="0" xfId="0" applyFont="1" applyAlignment="1"/>
    <xf numFmtId="0" fontId="1" fillId="4" borderId="0" xfId="0" applyFont="1" applyFill="1" applyBorder="1" applyAlignment="1"/>
    <xf numFmtId="0" fontId="6" fillId="0" borderId="0" xfId="0" applyFont="1" applyAlignment="1"/>
    <xf numFmtId="0" fontId="9" fillId="0" borderId="0" xfId="0" applyFont="1" applyBorder="1" applyAlignment="1">
      <alignment horizontal="center" wrapText="1"/>
    </xf>
    <xf numFmtId="20" fontId="9" fillId="0" borderId="0" xfId="0" applyNumberFormat="1" applyFont="1" applyBorder="1" applyAlignment="1">
      <alignment horizontal="center" wrapText="1"/>
    </xf>
    <xf numFmtId="9" fontId="0" fillId="0" borderId="0" xfId="0" applyNumberFormat="1"/>
    <xf numFmtId="0" fontId="16" fillId="0" borderId="0" xfId="0" applyFont="1" applyFill="1" applyBorder="1" applyAlignment="1">
      <alignment horizontal="center" vertical="center"/>
    </xf>
    <xf numFmtId="0" fontId="15" fillId="0" borderId="0" xfId="1" applyFont="1"/>
    <xf numFmtId="0" fontId="26" fillId="4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/>
    <xf numFmtId="0" fontId="32" fillId="4" borderId="0" xfId="0" applyFont="1" applyFill="1" applyAlignment="1">
      <alignment horizontal="center"/>
    </xf>
    <xf numFmtId="0" fontId="32" fillId="4" borderId="0" xfId="0" applyFont="1" applyFill="1" applyAlignment="1">
      <alignment horizontal="left"/>
    </xf>
    <xf numFmtId="0" fontId="33" fillId="4" borderId="0" xfId="0" applyFont="1" applyFill="1" applyAlignment="1">
      <alignment horizontal="center"/>
    </xf>
    <xf numFmtId="0" fontId="9" fillId="0" borderId="0" xfId="0" applyFont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13" fillId="0" borderId="0" xfId="0" applyFont="1" applyAlignment="1">
      <alignment horizontal="left" wrapText="1"/>
    </xf>
    <xf numFmtId="0" fontId="10" fillId="0" borderId="0" xfId="0" applyFont="1" applyAlignment="1">
      <alignment horizontal="right"/>
    </xf>
    <xf numFmtId="0" fontId="10" fillId="0" borderId="9" xfId="0" applyFont="1" applyBorder="1" applyAlignment="1">
      <alignment horizontal="right"/>
    </xf>
    <xf numFmtId="0" fontId="10" fillId="3" borderId="5" xfId="0" applyFont="1" applyFill="1" applyBorder="1" applyAlignment="1">
      <alignment horizontal="left"/>
    </xf>
    <xf numFmtId="0" fontId="10" fillId="3" borderId="6" xfId="0" applyFont="1" applyFill="1" applyBorder="1" applyAlignment="1">
      <alignment horizontal="left"/>
    </xf>
    <xf numFmtId="0" fontId="10" fillId="3" borderId="7" xfId="0" applyFon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1" fillId="0" borderId="0" xfId="0" applyFont="1" applyAlignment="1">
      <alignment horizontal="left" wrapText="1"/>
    </xf>
    <xf numFmtId="0" fontId="10" fillId="3" borderId="2" xfId="0" applyFont="1" applyFill="1" applyBorder="1" applyAlignment="1">
      <alignment horizontal="center"/>
    </xf>
    <xf numFmtId="0" fontId="9" fillId="0" borderId="4" xfId="0" applyFont="1" applyBorder="1" applyAlignment="1">
      <alignment horizontal="center" wrapText="1"/>
    </xf>
    <xf numFmtId="0" fontId="9" fillId="0" borderId="0" xfId="0" applyFont="1" applyBorder="1" applyAlignment="1">
      <alignment horizontal="center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0" fontId="1" fillId="0" borderId="0" xfId="0" applyFont="1" applyBorder="1" applyAlignment="1">
      <alignment horizontal="left" wrapText="1"/>
    </xf>
    <xf numFmtId="0" fontId="6" fillId="0" borderId="0" xfId="0" applyFont="1" applyAlignment="1">
      <alignment horizontal="left" wrapText="1"/>
    </xf>
    <xf numFmtId="0" fontId="29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420"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  <fill>
        <patternFill>
          <bgColor theme="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  <fill>
        <patternFill>
          <bgColor theme="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 val="0"/>
        <i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  <fill>
        <patternFill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Input"/>
      <definedName name="wwsPrintButton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Phonics_Lists_B.htm" TargetMode="External"/><Relationship Id="rId1" Type="http://schemas.openxmlformats.org/officeDocument/2006/relationships/hyperlink" Target="Phonics_B_Set_2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Phonics_Lists_B.htm" TargetMode="External"/><Relationship Id="rId1" Type="http://schemas.openxmlformats.org/officeDocument/2006/relationships/hyperlink" Target="Phonics_B_Set_3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aye.com/HACC/Phonics_Set_A_Teacher_Lists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Phonics_Lists_B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49"/>
  <sheetViews>
    <sheetView showGridLines="0" workbookViewId="0">
      <selection activeCell="U6" sqref="U6"/>
    </sheetView>
  </sheetViews>
  <sheetFormatPr defaultRowHeight="15.6"/>
  <cols>
    <col min="1" max="1" width="5.77734375" style="47" customWidth="1"/>
    <col min="2" max="3" width="8.77734375" style="67" customWidth="1"/>
    <col min="4" max="4" width="8.77734375" style="15" customWidth="1"/>
    <col min="5" max="5" width="8.77734375" style="23" customWidth="1"/>
    <col min="6" max="6" width="5.109375" style="1" customWidth="1"/>
    <col min="7" max="8" width="14.77734375" style="1" customWidth="1"/>
    <col min="9" max="9" width="10.77734375" style="1" customWidth="1"/>
    <col min="10" max="10" width="9.77734375" customWidth="1"/>
    <col min="13" max="13" width="5" customWidth="1"/>
    <col min="14" max="14" width="14.77734375" customWidth="1"/>
    <col min="15" max="15" width="14.77734375" style="1" customWidth="1"/>
    <col min="16" max="16" width="10.77734375" style="1" customWidth="1"/>
    <col min="17" max="17" width="4.6640625" style="1" customWidth="1"/>
    <col min="18" max="18" width="5.33203125" customWidth="1"/>
  </cols>
  <sheetData>
    <row r="1" spans="1:22" ht="16.8">
      <c r="A1" s="109" t="str">
        <f>[1]!wwsSetup("useHTTPS", TRUE)</f>
        <v>useHTTPS = "True"</v>
      </c>
      <c r="D1" s="68"/>
      <c r="E1" s="70"/>
      <c r="F1" s="68"/>
      <c r="G1" s="68"/>
      <c r="H1" s="68"/>
      <c r="I1" s="68"/>
      <c r="J1" s="68"/>
      <c r="K1" s="68"/>
      <c r="L1" s="69" t="str">
        <f>[1]!wwsSetup("metatags", "met mat.txt")</f>
        <v>metatags = "met mat.txt"</v>
      </c>
      <c r="M1" s="8"/>
      <c r="P1" s="94"/>
      <c r="Q1" s="92"/>
      <c r="R1" s="8" t="str">
        <f>[1]!wwsSetup("metatags", "NAME OF AUDIO FILE.txt")</f>
        <v>metatags = "NAME OF AUDIO FILE.txt"</v>
      </c>
      <c r="S1" s="92"/>
    </row>
    <row r="2" spans="1:22" s="27" customFormat="1" ht="24.6" customHeight="1">
      <c r="A2" s="23"/>
      <c r="B2" s="120"/>
      <c r="C2" s="124" t="s">
        <v>196</v>
      </c>
      <c r="D2" s="124"/>
      <c r="E2" s="124"/>
      <c r="F2" s="123" t="s">
        <v>190</v>
      </c>
      <c r="G2" s="123"/>
      <c r="H2" s="123"/>
      <c r="I2" s="26"/>
      <c r="J2" s="122"/>
      <c r="K2" s="122"/>
      <c r="L2" s="122"/>
      <c r="M2" s="37"/>
    </row>
    <row r="3" spans="1:22" ht="15.6" customHeight="1">
      <c r="A3" s="79"/>
      <c r="C3" s="125" t="s">
        <v>197</v>
      </c>
      <c r="D3" s="125"/>
      <c r="E3" s="125"/>
      <c r="F3" s="125"/>
      <c r="G3" s="94"/>
      <c r="H3" s="94"/>
      <c r="I3" s="94"/>
      <c r="J3" s="95" t="s">
        <v>62</v>
      </c>
      <c r="K3" s="119" t="s">
        <v>61</v>
      </c>
      <c r="M3" s="111" t="s">
        <v>198</v>
      </c>
      <c r="N3" s="119" t="s">
        <v>199</v>
      </c>
      <c r="P3" s="94"/>
      <c r="Q3" s="94"/>
      <c r="R3" s="92"/>
      <c r="S3" s="92"/>
    </row>
    <row r="4" spans="1:22" ht="36.6" customHeight="1">
      <c r="E4" s="128"/>
      <c r="F4" s="92"/>
      <c r="G4" s="126" t="str">
        <f>[1]!wwsCheckbox("PRACTICE",4,TRUE)</f>
        <v>PRACTICE</v>
      </c>
      <c r="H4" s="126"/>
      <c r="I4" s="101"/>
      <c r="J4" s="92"/>
      <c r="K4" s="93"/>
      <c r="L4" s="92"/>
      <c r="M4" s="92"/>
      <c r="N4" s="126" t="str">
        <f>[1]!wwsCheckbox("TEST",4,FALSE)</f>
        <v>TEST</v>
      </c>
      <c r="O4" s="126"/>
      <c r="P4" s="100"/>
      <c r="Q4" s="104"/>
      <c r="R4" s="92"/>
      <c r="S4" s="92"/>
    </row>
    <row r="5" spans="1:22" ht="25.2" customHeight="1">
      <c r="E5" s="128"/>
      <c r="F5" s="94"/>
      <c r="G5" s="94"/>
      <c r="H5" s="94"/>
      <c r="I5" s="94"/>
      <c r="J5" s="92"/>
      <c r="K5" s="129" t="s">
        <v>56</v>
      </c>
      <c r="L5" s="130"/>
      <c r="M5" s="131" t="str">
        <f>[1]!wwsInput()</f>
        <v/>
      </c>
      <c r="N5" s="132"/>
      <c r="O5" s="132"/>
      <c r="P5" s="133"/>
      <c r="Q5" s="121"/>
      <c r="S5" s="92"/>
      <c r="U5" s="92"/>
    </row>
    <row r="6" spans="1:22">
      <c r="B6" s="67" t="s">
        <v>201</v>
      </c>
      <c r="C6" s="67" t="s">
        <v>200</v>
      </c>
      <c r="E6" s="79"/>
      <c r="G6" s="127" t="s">
        <v>52</v>
      </c>
      <c r="H6" s="127"/>
      <c r="I6" s="59"/>
      <c r="N6" s="127" t="s">
        <v>52</v>
      </c>
      <c r="O6" s="127"/>
      <c r="P6" s="59"/>
      <c r="Q6" s="59"/>
      <c r="S6" s="18"/>
      <c r="T6" s="18"/>
      <c r="U6" s="18"/>
    </row>
    <row r="7" spans="1:22" s="10" customFormat="1" ht="25.05" customHeight="1">
      <c r="A7" s="49" t="str">
        <f>IF(OR(G7&lt;&gt;"",H7&lt;&gt;""),"clikt","")</f>
        <v>clikt</v>
      </c>
      <c r="B7" s="76" t="s">
        <v>161</v>
      </c>
      <c r="C7" s="77" t="s">
        <v>107</v>
      </c>
      <c r="D7" s="17"/>
      <c r="E7" s="78" t="s">
        <v>107</v>
      </c>
      <c r="F7" s="71">
        <v>1</v>
      </c>
      <c r="G7" s="72" t="str">
        <f>[1]!wwsCheckbox($B7,7,FALSE)</f>
        <v>mat - met</v>
      </c>
      <c r="H7" s="72" t="str">
        <f>[1]!wwsCheckbox($C7,7,FALSE)</f>
        <v>met - mat</v>
      </c>
      <c r="I7" s="10" t="str">
        <f>IF(OR(E7=G7,E7=H7),IF($G$4="PRACTICE","GOOD"," ")," ")</f>
        <v>GOOD</v>
      </c>
      <c r="J7" s="73"/>
      <c r="K7" s="74"/>
      <c r="L7" s="73"/>
      <c r="M7" s="71">
        <v>1</v>
      </c>
      <c r="N7" s="72" t="str">
        <f>[1]!wwsCheckbox($C7,107,FALSE)</f>
        <v>met - mat</v>
      </c>
      <c r="O7" s="72" t="str">
        <f>[1]!wwsCheckbox($B7,107,FALSE)</f>
        <v>mat - met</v>
      </c>
      <c r="P7" s="74">
        <f>IF(OR(E7=N7,E7=O7),1,0)</f>
        <v>1</v>
      </c>
      <c r="Q7" s="19"/>
      <c r="R7" s="20"/>
      <c r="S7" s="19"/>
      <c r="T7" s="92"/>
      <c r="U7" s="92"/>
      <c r="V7"/>
    </row>
    <row r="8" spans="1:22" s="10" customFormat="1" ht="25.05" customHeight="1">
      <c r="A8" s="49" t="str">
        <f t="shared" ref="A8:A46" si="0">IF(OR(G8&lt;&gt;"",H8&lt;&gt;""),"clikt","")</f>
        <v>clikt</v>
      </c>
      <c r="B8" s="76" t="s">
        <v>162</v>
      </c>
      <c r="C8" s="77" t="s">
        <v>108</v>
      </c>
      <c r="D8" s="17"/>
      <c r="E8" s="78" t="s">
        <v>108</v>
      </c>
      <c r="F8" s="71">
        <f>1+F7</f>
        <v>2</v>
      </c>
      <c r="G8" s="72" t="str">
        <f>[1]!wwsCheckbox($B8,8,FALSE)</f>
        <v>bad - bed</v>
      </c>
      <c r="H8" s="72" t="str">
        <f>[1]!wwsCheckbox($C8,8,FALSE)</f>
        <v>bed - bad</v>
      </c>
      <c r="I8" s="10" t="str">
        <f t="shared" ref="I8:I46" si="1">IF(OR(E8=G8,E8=H8),IF($G$4="PRACTICE","GOOD"," ")," ")</f>
        <v>GOOD</v>
      </c>
      <c r="J8" s="73"/>
      <c r="K8" s="73"/>
      <c r="L8" s="73"/>
      <c r="M8" s="71">
        <f>1+M7</f>
        <v>2</v>
      </c>
      <c r="N8" s="72" t="str">
        <f>[1]!wwsCheckbox($C8,108,FALSE)</f>
        <v>bed - bad</v>
      </c>
      <c r="O8" s="72" t="str">
        <f>[1]!wwsCheckbox($B8,108,FALSE)</f>
        <v>bad - bed</v>
      </c>
      <c r="P8" s="74">
        <f t="shared" ref="P8:P46" si="2">IF(OR(E8=N8,E8=O8),1,0)</f>
        <v>1</v>
      </c>
      <c r="Q8" s="19"/>
      <c r="R8" s="19"/>
      <c r="S8" s="21"/>
      <c r="T8" s="27"/>
      <c r="U8" s="27"/>
      <c r="V8" s="27"/>
    </row>
    <row r="9" spans="1:22" s="10" customFormat="1" ht="25.05" customHeight="1">
      <c r="A9" s="49" t="str">
        <f t="shared" si="0"/>
        <v>clikt</v>
      </c>
      <c r="B9" s="76" t="s">
        <v>163</v>
      </c>
      <c r="C9" s="77" t="s">
        <v>109</v>
      </c>
      <c r="D9" s="17"/>
      <c r="E9" s="78" t="s">
        <v>109</v>
      </c>
      <c r="F9" s="71">
        <f t="shared" ref="F9:F46" si="3">1+F8</f>
        <v>3</v>
      </c>
      <c r="G9" s="72" t="str">
        <f>[1]!wwsCheckbox($B9,9,FALSE)</f>
        <v>ban - bin</v>
      </c>
      <c r="H9" s="72" t="str">
        <f>[1]!wwsCheckbox($C9,9,FALSE)</f>
        <v>bin - ban</v>
      </c>
      <c r="I9" s="10" t="str">
        <f t="shared" si="1"/>
        <v>GOOD</v>
      </c>
      <c r="J9" s="73"/>
      <c r="K9" s="73"/>
      <c r="L9" s="73"/>
      <c r="M9" s="71">
        <f t="shared" ref="M9:M46" si="4">1+M8</f>
        <v>3</v>
      </c>
      <c r="N9" s="72" t="str">
        <f>[1]!wwsCheckbox($C9,109,FALSE)</f>
        <v>bin - ban</v>
      </c>
      <c r="O9" s="72" t="str">
        <f>[1]!wwsCheckbox($B9,109,FALSE)</f>
        <v>ban - bin</v>
      </c>
      <c r="P9" s="74">
        <f t="shared" si="2"/>
        <v>1</v>
      </c>
      <c r="Q9" s="22"/>
      <c r="R9" s="22"/>
      <c r="S9" s="22"/>
      <c r="T9" s="92"/>
      <c r="U9" s="92"/>
      <c r="V9"/>
    </row>
    <row r="10" spans="1:22" s="10" customFormat="1" ht="25.05" customHeight="1">
      <c r="A10" s="49" t="str">
        <f t="shared" si="0"/>
        <v>clikt</v>
      </c>
      <c r="B10" s="76" t="s">
        <v>110</v>
      </c>
      <c r="C10" s="77" t="s">
        <v>145</v>
      </c>
      <c r="D10" s="17"/>
      <c r="E10" s="78" t="s">
        <v>110</v>
      </c>
      <c r="F10" s="71">
        <f t="shared" si="3"/>
        <v>4</v>
      </c>
      <c r="G10" s="72" t="str">
        <f>[1]!wwsCheckbox($B10,10,FALSE)</f>
        <v>dad - did</v>
      </c>
      <c r="H10" s="72" t="str">
        <f>[1]!wwsCheckbox($C10,10,FALSE)</f>
        <v>did - dad</v>
      </c>
      <c r="I10" s="10" t="str">
        <f t="shared" si="1"/>
        <v>GOOD</v>
      </c>
      <c r="J10" s="73"/>
      <c r="K10" s="73"/>
      <c r="L10" s="73"/>
      <c r="M10" s="71">
        <f t="shared" si="4"/>
        <v>4</v>
      </c>
      <c r="N10" s="72" t="str">
        <f>[1]!wwsCheckbox($C10,1010,FALSE)</f>
        <v>did - dad</v>
      </c>
      <c r="O10" s="72" t="str">
        <f>[1]!wwsCheckbox($B10,1010,FALSE)</f>
        <v>dad - did</v>
      </c>
      <c r="P10" s="74">
        <f t="shared" si="2"/>
        <v>1</v>
      </c>
      <c r="Q10" s="22"/>
      <c r="R10" s="22"/>
      <c r="S10" s="22"/>
      <c r="T10" s="73"/>
      <c r="U10" s="92"/>
      <c r="V10"/>
    </row>
    <row r="11" spans="1:22" s="10" customFormat="1" ht="25.05" customHeight="1">
      <c r="A11" s="49" t="str">
        <f t="shared" si="0"/>
        <v>clikt</v>
      </c>
      <c r="B11" s="76" t="s">
        <v>164</v>
      </c>
      <c r="C11" s="77" t="s">
        <v>111</v>
      </c>
      <c r="D11" s="17"/>
      <c r="E11" s="78" t="s">
        <v>111</v>
      </c>
      <c r="F11" s="71">
        <f t="shared" si="3"/>
        <v>5</v>
      </c>
      <c r="G11" s="72" t="str">
        <f>[1]!wwsCheckbox($B11,11,FALSE)</f>
        <v>map - mop</v>
      </c>
      <c r="H11" s="72" t="str">
        <f>[1]!wwsCheckbox($C11,11,FALSE)</f>
        <v>mop - map</v>
      </c>
      <c r="I11" s="10" t="str">
        <f t="shared" si="1"/>
        <v>GOOD</v>
      </c>
      <c r="J11" s="73"/>
      <c r="K11" s="73"/>
      <c r="L11" s="73"/>
      <c r="M11" s="71">
        <f t="shared" si="4"/>
        <v>5</v>
      </c>
      <c r="N11" s="72" t="str">
        <f>[1]!wwsCheckbox($C11,111,FALSE)</f>
        <v>mop - map</v>
      </c>
      <c r="O11" s="72" t="str">
        <f>[1]!wwsCheckbox($B11,111,FALSE)</f>
        <v>map - mop</v>
      </c>
      <c r="P11" s="74">
        <f t="shared" si="2"/>
        <v>1</v>
      </c>
    </row>
    <row r="12" spans="1:22" s="10" customFormat="1" ht="25.05" customHeight="1">
      <c r="A12" s="49" t="str">
        <f t="shared" si="0"/>
        <v>clikt</v>
      </c>
      <c r="B12" s="76" t="s">
        <v>112</v>
      </c>
      <c r="C12" s="77" t="s">
        <v>146</v>
      </c>
      <c r="D12" s="17"/>
      <c r="E12" s="78" t="s">
        <v>112</v>
      </c>
      <c r="F12" s="71">
        <f t="shared" si="3"/>
        <v>6</v>
      </c>
      <c r="G12" s="72" t="str">
        <f>[1]!wwsCheckbox($B12,12,FALSE)</f>
        <v>bat - bot</v>
      </c>
      <c r="H12" s="72" t="str">
        <f>[1]!wwsCheckbox($C12,12,FALSE)</f>
        <v>bot - bat</v>
      </c>
      <c r="I12" s="10" t="str">
        <f t="shared" si="1"/>
        <v>GOOD</v>
      </c>
      <c r="J12" s="73"/>
      <c r="K12" s="73"/>
      <c r="L12" s="73"/>
      <c r="M12" s="71">
        <f t="shared" si="4"/>
        <v>6</v>
      </c>
      <c r="N12" s="72" t="str">
        <f>[1]!wwsCheckbox($C12,112,FALSE)</f>
        <v>bot - bat</v>
      </c>
      <c r="O12" s="72" t="str">
        <f>[1]!wwsCheckbox($B12,112,FALSE)</f>
        <v>bat - bot</v>
      </c>
      <c r="P12" s="74">
        <f t="shared" si="2"/>
        <v>1</v>
      </c>
    </row>
    <row r="13" spans="1:22" s="10" customFormat="1" ht="25.05" customHeight="1">
      <c r="A13" s="49" t="str">
        <f t="shared" si="0"/>
        <v>clikt</v>
      </c>
      <c r="B13" s="76" t="s">
        <v>113</v>
      </c>
      <c r="C13" s="77" t="s">
        <v>147</v>
      </c>
      <c r="D13" s="17"/>
      <c r="E13" s="78" t="s">
        <v>113</v>
      </c>
      <c r="F13" s="71">
        <f t="shared" si="3"/>
        <v>7</v>
      </c>
      <c r="G13" s="72" t="str">
        <f>[1]!wwsCheckbox($B13,13,FALSE)</f>
        <v>dad - dud</v>
      </c>
      <c r="H13" s="72" t="str">
        <f>[1]!wwsCheckbox($C13,13,FALSE)</f>
        <v>dud - dad</v>
      </c>
      <c r="I13" s="10" t="str">
        <f t="shared" si="1"/>
        <v>GOOD</v>
      </c>
      <c r="J13" s="73"/>
      <c r="K13" s="73"/>
      <c r="L13" s="73"/>
      <c r="M13" s="71">
        <f t="shared" si="4"/>
        <v>7</v>
      </c>
      <c r="N13" s="72" t="str">
        <f>[1]!wwsCheckbox($C13,113,FALSE)</f>
        <v>dud - dad</v>
      </c>
      <c r="O13" s="72" t="str">
        <f>[1]!wwsCheckbox($B13,113,FALSE)</f>
        <v>dad - dud</v>
      </c>
      <c r="P13" s="74">
        <f t="shared" si="2"/>
        <v>1</v>
      </c>
    </row>
    <row r="14" spans="1:22" s="10" customFormat="1" ht="25.05" customHeight="1">
      <c r="A14" s="49" t="str">
        <f t="shared" si="0"/>
        <v>clikt</v>
      </c>
      <c r="B14" s="76" t="s">
        <v>165</v>
      </c>
      <c r="C14" s="77" t="s">
        <v>114</v>
      </c>
      <c r="D14" s="17"/>
      <c r="E14" s="78" t="s">
        <v>114</v>
      </c>
      <c r="F14" s="71">
        <f t="shared" si="3"/>
        <v>8</v>
      </c>
      <c r="G14" s="72" t="str">
        <f>[1]!wwsCheckbox($B14,14,FALSE)</f>
        <v>nab - nub</v>
      </c>
      <c r="H14" s="72" t="str">
        <f>[1]!wwsCheckbox($C14,14,FALSE)</f>
        <v>nub - nab</v>
      </c>
      <c r="I14" s="10" t="str">
        <f t="shared" si="1"/>
        <v>GOOD</v>
      </c>
      <c r="K14" s="73"/>
      <c r="L14" s="73"/>
      <c r="M14" s="71">
        <f t="shared" si="4"/>
        <v>8</v>
      </c>
      <c r="N14" s="72" t="str">
        <f>[1]!wwsCheckbox($C14,114,FALSE)</f>
        <v>nub - nab</v>
      </c>
      <c r="O14" s="72" t="str">
        <f>[1]!wwsCheckbox($B14,114,FALSE)</f>
        <v>nab - nub</v>
      </c>
      <c r="P14" s="74">
        <f t="shared" si="2"/>
        <v>1</v>
      </c>
    </row>
    <row r="15" spans="1:22" s="10" customFormat="1" ht="25.05" customHeight="1">
      <c r="A15" s="49" t="str">
        <f t="shared" si="0"/>
        <v>clikt</v>
      </c>
      <c r="B15" s="76" t="s">
        <v>115</v>
      </c>
      <c r="C15" s="77" t="s">
        <v>148</v>
      </c>
      <c r="D15" s="17"/>
      <c r="E15" s="78" t="s">
        <v>115</v>
      </c>
      <c r="F15" s="71">
        <f t="shared" si="3"/>
        <v>9</v>
      </c>
      <c r="G15" s="72" t="str">
        <f>[1]!wwsCheckbox($B15,15,FALSE)</f>
        <v>men - man</v>
      </c>
      <c r="H15" s="72" t="str">
        <f>[1]!wwsCheckbox($C15,15,FALSE)</f>
        <v>man - men</v>
      </c>
      <c r="I15" s="10" t="str">
        <f t="shared" si="1"/>
        <v>GOOD</v>
      </c>
      <c r="J15" s="73"/>
      <c r="K15" s="73"/>
      <c r="L15" s="73"/>
      <c r="M15" s="71">
        <f t="shared" si="4"/>
        <v>9</v>
      </c>
      <c r="N15" s="72" t="str">
        <f>[1]!wwsCheckbox($C15,115,FALSE)</f>
        <v>man - men</v>
      </c>
      <c r="O15" s="72" t="str">
        <f>[1]!wwsCheckbox($B15,115,FALSE)</f>
        <v>men - man</v>
      </c>
      <c r="P15" s="74">
        <f t="shared" si="2"/>
        <v>1</v>
      </c>
    </row>
    <row r="16" spans="1:22" s="10" customFormat="1" ht="25.05" customHeight="1">
      <c r="A16" s="49" t="str">
        <f t="shared" si="0"/>
        <v>clikt</v>
      </c>
      <c r="B16" s="76" t="s">
        <v>116</v>
      </c>
      <c r="C16" s="77" t="s">
        <v>149</v>
      </c>
      <c r="D16" s="17"/>
      <c r="E16" s="78" t="s">
        <v>116</v>
      </c>
      <c r="F16" s="71">
        <f t="shared" si="3"/>
        <v>10</v>
      </c>
      <c r="G16" s="72" t="str">
        <f>[1]!wwsCheckbox($B16,16,FALSE)</f>
        <v>pet - pat</v>
      </c>
      <c r="H16" s="72" t="str">
        <f>[1]!wwsCheckbox($C16,16,FALSE)</f>
        <v>pat - pet</v>
      </c>
      <c r="I16" s="10" t="str">
        <f t="shared" si="1"/>
        <v>GOOD</v>
      </c>
      <c r="J16" s="73"/>
      <c r="K16" s="73"/>
      <c r="L16" s="73"/>
      <c r="M16" s="71">
        <f t="shared" si="4"/>
        <v>10</v>
      </c>
      <c r="N16" s="72" t="str">
        <f>[1]!wwsCheckbox($C16,116,FALSE)</f>
        <v>pat - pet</v>
      </c>
      <c r="O16" s="72" t="str">
        <f>[1]!wwsCheckbox($B16,116,FALSE)</f>
        <v>pet - pat</v>
      </c>
      <c r="P16" s="74">
        <f t="shared" si="2"/>
        <v>1</v>
      </c>
    </row>
    <row r="17" spans="1:16" s="10" customFormat="1" ht="25.05" customHeight="1">
      <c r="A17" s="49" t="str">
        <f t="shared" si="0"/>
        <v>clikt</v>
      </c>
      <c r="B17" s="76" t="s">
        <v>166</v>
      </c>
      <c r="C17" s="77" t="s">
        <v>117</v>
      </c>
      <c r="D17" s="17"/>
      <c r="E17" s="78" t="s">
        <v>117</v>
      </c>
      <c r="F17" s="71">
        <f t="shared" si="3"/>
        <v>11</v>
      </c>
      <c r="G17" s="72" t="str">
        <f>[1]!wwsCheckbox($B17,17,FALSE)</f>
        <v>bed - bid</v>
      </c>
      <c r="H17" s="72" t="str">
        <f>[1]!wwsCheckbox($C17,17,FALSE)</f>
        <v>bid - bed</v>
      </c>
      <c r="I17" s="10" t="str">
        <f t="shared" si="1"/>
        <v>GOOD</v>
      </c>
      <c r="J17" s="73"/>
      <c r="K17" s="73"/>
      <c r="L17" s="73"/>
      <c r="M17" s="71">
        <f t="shared" si="4"/>
        <v>11</v>
      </c>
      <c r="N17" s="72" t="str">
        <f>[1]!wwsCheckbox($C17,117,FALSE)</f>
        <v>bid - bed</v>
      </c>
      <c r="O17" s="72" t="str">
        <f>[1]!wwsCheckbox($B17,117,FALSE)</f>
        <v>bed - bid</v>
      </c>
      <c r="P17" s="74">
        <f t="shared" si="2"/>
        <v>1</v>
      </c>
    </row>
    <row r="18" spans="1:16" s="10" customFormat="1" ht="25.05" customHeight="1">
      <c r="A18" s="49" t="str">
        <f t="shared" si="0"/>
        <v>clikt</v>
      </c>
      <c r="B18" s="76" t="s">
        <v>118</v>
      </c>
      <c r="C18" s="77" t="s">
        <v>150</v>
      </c>
      <c r="D18" s="17"/>
      <c r="E18" s="78" t="s">
        <v>118</v>
      </c>
      <c r="F18" s="71">
        <f t="shared" si="3"/>
        <v>12</v>
      </c>
      <c r="G18" s="72" t="str">
        <f>[1]!wwsCheckbox($B18,18,FALSE)</f>
        <v>den - din</v>
      </c>
      <c r="H18" s="72" t="str">
        <f>[1]!wwsCheckbox($C18,18,FALSE)</f>
        <v>din - den</v>
      </c>
      <c r="I18" s="10" t="str">
        <f t="shared" si="1"/>
        <v>GOOD</v>
      </c>
      <c r="J18" s="73"/>
      <c r="K18" s="73"/>
      <c r="L18" s="73"/>
      <c r="M18" s="71">
        <f t="shared" si="4"/>
        <v>12</v>
      </c>
      <c r="N18" s="72" t="str">
        <f>[1]!wwsCheckbox($C18,118,FALSE)</f>
        <v>din - den</v>
      </c>
      <c r="O18" s="72" t="str">
        <f>[1]!wwsCheckbox($B18,118,FALSE)</f>
        <v>den - din</v>
      </c>
      <c r="P18" s="74">
        <f t="shared" si="2"/>
        <v>1</v>
      </c>
    </row>
    <row r="19" spans="1:16" s="10" customFormat="1" ht="25.05" customHeight="1">
      <c r="A19" s="49" t="str">
        <f t="shared" si="0"/>
        <v>clikt</v>
      </c>
      <c r="B19" s="76" t="s">
        <v>119</v>
      </c>
      <c r="C19" s="77" t="s">
        <v>151</v>
      </c>
      <c r="D19" s="17"/>
      <c r="E19" s="78" t="s">
        <v>119</v>
      </c>
      <c r="F19" s="71">
        <f t="shared" si="3"/>
        <v>13</v>
      </c>
      <c r="G19" s="72" t="str">
        <f>[1]!wwsCheckbox($B19,19,FALSE)</f>
        <v>pep - pop</v>
      </c>
      <c r="H19" s="72" t="str">
        <f>[1]!wwsCheckbox($C19,19,FALSE)</f>
        <v>pop - pep</v>
      </c>
      <c r="I19" s="10" t="str">
        <f t="shared" si="1"/>
        <v>GOOD</v>
      </c>
      <c r="J19" s="73"/>
      <c r="K19" s="73"/>
      <c r="L19" s="73"/>
      <c r="M19" s="71">
        <f t="shared" si="4"/>
        <v>13</v>
      </c>
      <c r="N19" s="72" t="str">
        <f>[1]!wwsCheckbox($C19,119,FALSE)</f>
        <v>pop - pep</v>
      </c>
      <c r="O19" s="72" t="str">
        <f>[1]!wwsCheckbox($B19,119,FALSE)</f>
        <v>pep - pop</v>
      </c>
      <c r="P19" s="74">
        <f t="shared" si="2"/>
        <v>1</v>
      </c>
    </row>
    <row r="20" spans="1:16" s="10" customFormat="1" ht="25.05" customHeight="1">
      <c r="A20" s="49" t="str">
        <f t="shared" si="0"/>
        <v>clikt</v>
      </c>
      <c r="B20" s="76" t="s">
        <v>120</v>
      </c>
      <c r="C20" s="77" t="s">
        <v>133</v>
      </c>
      <c r="D20" s="17"/>
      <c r="E20" s="78" t="s">
        <v>120</v>
      </c>
      <c r="F20" s="71">
        <f t="shared" si="3"/>
        <v>14</v>
      </c>
      <c r="G20" s="72" t="str">
        <f>[1]!wwsCheckbox($B20,20,FALSE)</f>
        <v>net - not</v>
      </c>
      <c r="H20" s="72" t="str">
        <f>[1]!wwsCheckbox($C20,20,FALSE)</f>
        <v>not - net</v>
      </c>
      <c r="I20" s="10" t="str">
        <f t="shared" si="1"/>
        <v>GOOD</v>
      </c>
      <c r="J20" s="73"/>
      <c r="K20" s="73"/>
      <c r="L20" s="73"/>
      <c r="M20" s="71">
        <f t="shared" si="4"/>
        <v>14</v>
      </c>
      <c r="N20" s="72" t="str">
        <f>[1]!wwsCheckbox($C20,120,FALSE)</f>
        <v>not - net</v>
      </c>
      <c r="O20" s="72" t="str">
        <f>[1]!wwsCheckbox($B20,120,FALSE)</f>
        <v>net - not</v>
      </c>
      <c r="P20" s="74">
        <f t="shared" si="2"/>
        <v>1</v>
      </c>
    </row>
    <row r="21" spans="1:16" s="10" customFormat="1" ht="25.05" customHeight="1">
      <c r="A21" s="49" t="str">
        <f t="shared" si="0"/>
        <v>clikt</v>
      </c>
      <c r="B21" s="76" t="s">
        <v>167</v>
      </c>
      <c r="C21" s="77" t="s">
        <v>121</v>
      </c>
      <c r="D21" s="17"/>
      <c r="E21" s="78" t="s">
        <v>121</v>
      </c>
      <c r="F21" s="71">
        <f t="shared" si="3"/>
        <v>15</v>
      </c>
      <c r="G21" s="72" t="str">
        <f>[1]!wwsCheckbox($B21,21,FALSE)</f>
        <v>bed - bud</v>
      </c>
      <c r="H21" s="72" t="str">
        <f>[1]!wwsCheckbox($C21,21,FALSE)</f>
        <v>bud - bed</v>
      </c>
      <c r="I21" s="10" t="str">
        <f t="shared" si="1"/>
        <v>GOOD</v>
      </c>
      <c r="J21" s="73"/>
      <c r="K21" s="73"/>
      <c r="L21" s="73"/>
      <c r="M21" s="71">
        <f t="shared" si="4"/>
        <v>15</v>
      </c>
      <c r="N21" s="72" t="str">
        <f>[1]!wwsCheckbox($C21,121,FALSE)</f>
        <v>bud - bed</v>
      </c>
      <c r="O21" s="72" t="str">
        <f>[1]!wwsCheckbox($B21,121,FALSE)</f>
        <v>bed - bud</v>
      </c>
      <c r="P21" s="74">
        <f t="shared" si="2"/>
        <v>1</v>
      </c>
    </row>
    <row r="22" spans="1:16" s="10" customFormat="1" ht="25.05" customHeight="1">
      <c r="A22" s="49" t="str">
        <f t="shared" si="0"/>
        <v>clikt</v>
      </c>
      <c r="B22" s="76" t="s">
        <v>159</v>
      </c>
      <c r="C22" s="77" t="s">
        <v>122</v>
      </c>
      <c r="D22" s="17"/>
      <c r="E22" s="78" t="s">
        <v>122</v>
      </c>
      <c r="F22" s="71">
        <f t="shared" si="3"/>
        <v>16</v>
      </c>
      <c r="G22" s="72" t="str">
        <f>[1]!wwsCheckbox($B22,22,FALSE)</f>
        <v>pen - pun</v>
      </c>
      <c r="H22" s="72" t="str">
        <f>[1]!wwsCheckbox($C22,22,FALSE)</f>
        <v>pun - pen</v>
      </c>
      <c r="I22" s="10" t="str">
        <f t="shared" si="1"/>
        <v>GOOD</v>
      </c>
      <c r="J22" s="73"/>
      <c r="K22" s="73"/>
      <c r="L22" s="73"/>
      <c r="M22" s="71">
        <f t="shared" si="4"/>
        <v>16</v>
      </c>
      <c r="N22" s="72" t="str">
        <f>[1]!wwsCheckbox($C22,122,FALSE)</f>
        <v>pun - pen</v>
      </c>
      <c r="O22" s="72" t="str">
        <f>[1]!wwsCheckbox($B22,122,FALSE)</f>
        <v>pen - pun</v>
      </c>
      <c r="P22" s="74">
        <f t="shared" si="2"/>
        <v>1</v>
      </c>
    </row>
    <row r="23" spans="1:16" s="10" customFormat="1" ht="25.05" customHeight="1">
      <c r="A23" s="49" t="str">
        <f t="shared" si="0"/>
        <v>clikt</v>
      </c>
      <c r="B23" s="76" t="s">
        <v>123</v>
      </c>
      <c r="C23" s="77" t="s">
        <v>152</v>
      </c>
      <c r="D23" s="17"/>
      <c r="E23" s="78" t="s">
        <v>123</v>
      </c>
      <c r="F23" s="71">
        <f t="shared" si="3"/>
        <v>17</v>
      </c>
      <c r="G23" s="72" t="str">
        <f>[1]!wwsCheckbox($B23,23,FALSE)</f>
        <v>nip - nap</v>
      </c>
      <c r="H23" s="72" t="str">
        <f>[1]!wwsCheckbox($C23,23,FALSE)</f>
        <v>nap - nip</v>
      </c>
      <c r="I23" s="10" t="str">
        <f t="shared" si="1"/>
        <v>GOOD</v>
      </c>
      <c r="J23" s="73"/>
      <c r="K23" s="73"/>
      <c r="L23" s="73"/>
      <c r="M23" s="71">
        <f t="shared" si="4"/>
        <v>17</v>
      </c>
      <c r="N23" s="72" t="str">
        <f>[1]!wwsCheckbox($C23,123,FALSE)</f>
        <v>nap - nip</v>
      </c>
      <c r="O23" s="72" t="str">
        <f>[1]!wwsCheckbox($B23,123,FALSE)</f>
        <v>nip - nap</v>
      </c>
      <c r="P23" s="74">
        <f t="shared" si="2"/>
        <v>1</v>
      </c>
    </row>
    <row r="24" spans="1:16" s="10" customFormat="1" ht="25.05" customHeight="1">
      <c r="A24" s="49" t="str">
        <f t="shared" si="0"/>
        <v>clikt</v>
      </c>
      <c r="B24" s="76" t="s">
        <v>168</v>
      </c>
      <c r="C24" s="77" t="s">
        <v>124</v>
      </c>
      <c r="D24" s="17"/>
      <c r="E24" s="78" t="s">
        <v>124</v>
      </c>
      <c r="F24" s="71">
        <f t="shared" si="3"/>
        <v>18</v>
      </c>
      <c r="G24" s="72" t="str">
        <f>[1]!wwsCheckbox($B24,24,FALSE)</f>
        <v>bit - bat</v>
      </c>
      <c r="H24" s="72" t="str">
        <f>[1]!wwsCheckbox($C24,24,FALSE)</f>
        <v>bat - bit</v>
      </c>
      <c r="I24" s="10" t="str">
        <f t="shared" si="1"/>
        <v>GOOD</v>
      </c>
      <c r="J24" s="73"/>
      <c r="K24" s="73"/>
      <c r="L24" s="73"/>
      <c r="M24" s="71">
        <f t="shared" si="4"/>
        <v>18</v>
      </c>
      <c r="N24" s="72" t="str">
        <f>[1]!wwsCheckbox($C24,124,FALSE)</f>
        <v>bat - bit</v>
      </c>
      <c r="O24" s="72" t="str">
        <f>[1]!wwsCheckbox($B24,124,FALSE)</f>
        <v>bit - bat</v>
      </c>
      <c r="P24" s="74">
        <f t="shared" si="2"/>
        <v>1</v>
      </c>
    </row>
    <row r="25" spans="1:16" s="10" customFormat="1" ht="25.05" customHeight="1">
      <c r="A25" s="49" t="str">
        <f t="shared" si="0"/>
        <v>clikt</v>
      </c>
      <c r="B25" s="76" t="s">
        <v>125</v>
      </c>
      <c r="C25" s="77" t="s">
        <v>153</v>
      </c>
      <c r="D25" s="17"/>
      <c r="E25" s="78" t="s">
        <v>125</v>
      </c>
      <c r="F25" s="71">
        <f t="shared" si="3"/>
        <v>19</v>
      </c>
      <c r="G25" s="72" t="str">
        <f>[1]!wwsCheckbox($B25,25,FALSE)</f>
        <v>tin - ten</v>
      </c>
      <c r="H25" s="72" t="str">
        <f>[1]!wwsCheckbox($C25,25,FALSE)</f>
        <v>ten - tin</v>
      </c>
      <c r="I25" s="10" t="str">
        <f t="shared" si="1"/>
        <v>GOOD</v>
      </c>
      <c r="J25" s="73"/>
      <c r="K25" s="73"/>
      <c r="L25" s="73"/>
      <c r="M25" s="71">
        <f t="shared" si="4"/>
        <v>19</v>
      </c>
      <c r="N25" s="72" t="str">
        <f>[1]!wwsCheckbox($C25,125,FALSE)</f>
        <v>ten - tin</v>
      </c>
      <c r="O25" s="72" t="str">
        <f>[1]!wwsCheckbox($B25,125,FALSE)</f>
        <v>tin - ten</v>
      </c>
      <c r="P25" s="74">
        <f t="shared" si="2"/>
        <v>1</v>
      </c>
    </row>
    <row r="26" spans="1:16" s="10" customFormat="1" ht="25.05" customHeight="1">
      <c r="A26" s="49" t="str">
        <f t="shared" si="0"/>
        <v>clikt</v>
      </c>
      <c r="B26" s="76" t="s">
        <v>169</v>
      </c>
      <c r="C26" s="77" t="s">
        <v>126</v>
      </c>
      <c r="D26" s="17"/>
      <c r="E26" s="78" t="s">
        <v>126</v>
      </c>
      <c r="F26" s="71">
        <f t="shared" si="3"/>
        <v>20</v>
      </c>
      <c r="G26" s="72" t="str">
        <f>[1]!wwsCheckbox($B26,26,FALSE)</f>
        <v>pin - pen</v>
      </c>
      <c r="H26" s="72" t="str">
        <f>[1]!wwsCheckbox($C26,26,FALSE)</f>
        <v>pen - pin</v>
      </c>
      <c r="I26" s="10" t="str">
        <f t="shared" si="1"/>
        <v>GOOD</v>
      </c>
      <c r="J26" s="73"/>
      <c r="K26" s="73"/>
      <c r="L26" s="73"/>
      <c r="M26" s="71">
        <f t="shared" si="4"/>
        <v>20</v>
      </c>
      <c r="N26" s="72" t="str">
        <f>[1]!wwsCheckbox($C26,126,FALSE)</f>
        <v>pen - pin</v>
      </c>
      <c r="O26" s="72" t="str">
        <f>[1]!wwsCheckbox($B26,126,FALSE)</f>
        <v>pin - pen</v>
      </c>
      <c r="P26" s="74">
        <f t="shared" si="2"/>
        <v>1</v>
      </c>
    </row>
    <row r="27" spans="1:16" s="10" customFormat="1" ht="25.05" customHeight="1">
      <c r="A27" s="49" t="str">
        <f t="shared" si="0"/>
        <v>clikt</v>
      </c>
      <c r="B27" s="76" t="s">
        <v>136</v>
      </c>
      <c r="C27" s="77" t="s">
        <v>127</v>
      </c>
      <c r="D27" s="17"/>
      <c r="E27" s="78" t="s">
        <v>127</v>
      </c>
      <c r="F27" s="71">
        <f t="shared" si="3"/>
        <v>21</v>
      </c>
      <c r="G27" s="72" t="str">
        <f>[1]!wwsCheckbox($B27,27,FALSE)</f>
        <v>pit - pot</v>
      </c>
      <c r="H27" s="72" t="str">
        <f>[1]!wwsCheckbox($C27,27,FALSE)</f>
        <v>pot - pit</v>
      </c>
      <c r="I27" s="10" t="str">
        <f t="shared" si="1"/>
        <v>GOOD</v>
      </c>
      <c r="J27" s="73"/>
      <c r="K27" s="73"/>
      <c r="L27" s="73"/>
      <c r="M27" s="71">
        <f t="shared" si="4"/>
        <v>21</v>
      </c>
      <c r="N27" s="72" t="str">
        <f>[1]!wwsCheckbox($C27,127,FALSE)</f>
        <v>pot - pit</v>
      </c>
      <c r="O27" s="72" t="str">
        <f>[1]!wwsCheckbox($B27,127,FALSE)</f>
        <v>pit - pot</v>
      </c>
      <c r="P27" s="74">
        <f t="shared" si="2"/>
        <v>1</v>
      </c>
    </row>
    <row r="28" spans="1:16" s="10" customFormat="1" ht="25.05" customHeight="1">
      <c r="A28" s="49" t="str">
        <f t="shared" si="0"/>
        <v>clikt</v>
      </c>
      <c r="B28" s="76" t="s">
        <v>128</v>
      </c>
      <c r="C28" s="77" t="s">
        <v>154</v>
      </c>
      <c r="D28" s="17"/>
      <c r="E28" s="78" t="s">
        <v>128</v>
      </c>
      <c r="F28" s="71">
        <f t="shared" si="3"/>
        <v>22</v>
      </c>
      <c r="G28" s="72" t="str">
        <f>[1]!wwsCheckbox($B28,28,FALSE)</f>
        <v>tip - top</v>
      </c>
      <c r="H28" s="72" t="str">
        <f>[1]!wwsCheckbox($C28,28,FALSE)</f>
        <v>top - tip</v>
      </c>
      <c r="I28" s="10" t="str">
        <f t="shared" si="1"/>
        <v>GOOD</v>
      </c>
      <c r="J28" s="73"/>
      <c r="K28" s="73"/>
      <c r="L28" s="73"/>
      <c r="M28" s="71">
        <f t="shared" si="4"/>
        <v>22</v>
      </c>
      <c r="N28" s="72" t="str">
        <f>[1]!wwsCheckbox($C28,128,FALSE)</f>
        <v>top - tip</v>
      </c>
      <c r="O28" s="72" t="str">
        <f>[1]!wwsCheckbox($B28,128,FALSE)</f>
        <v>tip - top</v>
      </c>
      <c r="P28" s="74">
        <f t="shared" si="2"/>
        <v>1</v>
      </c>
    </row>
    <row r="29" spans="1:16" s="10" customFormat="1" ht="25.05" customHeight="1">
      <c r="A29" s="49" t="str">
        <f t="shared" si="0"/>
        <v>clikt</v>
      </c>
      <c r="B29" s="76" t="s">
        <v>170</v>
      </c>
      <c r="C29" s="77" t="s">
        <v>129</v>
      </c>
      <c r="D29" s="17"/>
      <c r="E29" s="78" t="s">
        <v>129</v>
      </c>
      <c r="F29" s="71">
        <f t="shared" si="3"/>
        <v>23</v>
      </c>
      <c r="G29" s="72" t="str">
        <f>[1]!wwsCheckbox($B29,29,FALSE)</f>
        <v>nib - nub</v>
      </c>
      <c r="H29" s="72" t="str">
        <f>[1]!wwsCheckbox($C29,29,FALSE)</f>
        <v>nub - nib</v>
      </c>
      <c r="I29" s="10" t="str">
        <f t="shared" si="1"/>
        <v>GOOD</v>
      </c>
      <c r="J29" s="73"/>
      <c r="K29" s="73"/>
      <c r="L29" s="73"/>
      <c r="M29" s="71">
        <f t="shared" si="4"/>
        <v>23</v>
      </c>
      <c r="N29" s="72" t="str">
        <f>[1]!wwsCheckbox($C29,129,FALSE)</f>
        <v>nub - nib</v>
      </c>
      <c r="O29" s="72" t="str">
        <f>[1]!wwsCheckbox($B29,129,FALSE)</f>
        <v>nib - nub</v>
      </c>
      <c r="P29" s="74">
        <f t="shared" si="2"/>
        <v>1</v>
      </c>
    </row>
    <row r="30" spans="1:16" s="10" customFormat="1" ht="25.05" customHeight="1">
      <c r="A30" s="49" t="str">
        <f t="shared" si="0"/>
        <v>clikt</v>
      </c>
      <c r="B30" s="76" t="s">
        <v>130</v>
      </c>
      <c r="C30" s="77" t="s">
        <v>143</v>
      </c>
      <c r="D30" s="17"/>
      <c r="E30" s="78" t="s">
        <v>130</v>
      </c>
      <c r="F30" s="71">
        <f t="shared" si="3"/>
        <v>24</v>
      </c>
      <c r="G30" s="72" t="str">
        <f>[1]!wwsCheckbox($B30,30,FALSE)</f>
        <v>bin - bun</v>
      </c>
      <c r="H30" s="72" t="str">
        <f>[1]!wwsCheckbox($C30,30,FALSE)</f>
        <v>bun - bin</v>
      </c>
      <c r="I30" s="10" t="str">
        <f t="shared" si="1"/>
        <v>GOOD</v>
      </c>
      <c r="J30" s="73"/>
      <c r="K30" s="73"/>
      <c r="L30" s="73"/>
      <c r="M30" s="71">
        <f t="shared" si="4"/>
        <v>24</v>
      </c>
      <c r="N30" s="72" t="str">
        <f>[1]!wwsCheckbox($C30,130,FALSE)</f>
        <v>bun - bin</v>
      </c>
      <c r="O30" s="72" t="str">
        <f>[1]!wwsCheckbox($B30,130,FALSE)</f>
        <v>bin - bun</v>
      </c>
      <c r="P30" s="74">
        <f t="shared" si="2"/>
        <v>1</v>
      </c>
    </row>
    <row r="31" spans="1:16" s="10" customFormat="1" ht="25.05" customHeight="1">
      <c r="A31" s="49" t="str">
        <f t="shared" si="0"/>
        <v>clikt</v>
      </c>
      <c r="B31" s="76" t="s">
        <v>131</v>
      </c>
      <c r="C31" s="77" t="s">
        <v>155</v>
      </c>
      <c r="D31" s="17"/>
      <c r="E31" s="78" t="s">
        <v>131</v>
      </c>
      <c r="F31" s="71">
        <f t="shared" si="3"/>
        <v>25</v>
      </c>
      <c r="G31" s="72" t="str">
        <f>[1]!wwsCheckbox($B31,31,FALSE)</f>
        <v>pod - pad</v>
      </c>
      <c r="H31" s="72" t="str">
        <f>[1]!wwsCheckbox($C31,31,FALSE)</f>
        <v>pad - pod</v>
      </c>
      <c r="I31" s="10" t="str">
        <f t="shared" si="1"/>
        <v>GOOD</v>
      </c>
      <c r="J31" s="73"/>
      <c r="K31" s="73"/>
      <c r="L31" s="73"/>
      <c r="M31" s="71">
        <f t="shared" si="4"/>
        <v>25</v>
      </c>
      <c r="N31" s="72" t="str">
        <f>[1]!wwsCheckbox($C31,131,FALSE)</f>
        <v>pad - pod</v>
      </c>
      <c r="O31" s="72" t="str">
        <f>[1]!wwsCheckbox($B31,131,FALSE)</f>
        <v>pod - pad</v>
      </c>
      <c r="P31" s="74">
        <f t="shared" si="2"/>
        <v>1</v>
      </c>
    </row>
    <row r="32" spans="1:16" s="10" customFormat="1" ht="25.05" customHeight="1">
      <c r="A32" s="49" t="str">
        <f t="shared" si="0"/>
        <v>clikt</v>
      </c>
      <c r="B32" s="76" t="s">
        <v>171</v>
      </c>
      <c r="C32" s="77" t="s">
        <v>132</v>
      </c>
      <c r="D32" s="17"/>
      <c r="E32" s="78" t="s">
        <v>132</v>
      </c>
      <c r="F32" s="71">
        <f t="shared" si="3"/>
        <v>26</v>
      </c>
      <c r="G32" s="72" t="str">
        <f>[1]!wwsCheckbox($B32,32,FALSE)</f>
        <v>top - tap</v>
      </c>
      <c r="H32" s="72" t="str">
        <f>[1]!wwsCheckbox($C32,32,FALSE)</f>
        <v>tap - top</v>
      </c>
      <c r="I32" s="10" t="str">
        <f t="shared" si="1"/>
        <v>GOOD</v>
      </c>
      <c r="J32" s="73"/>
      <c r="K32" s="73"/>
      <c r="L32" s="73"/>
      <c r="M32" s="71">
        <f t="shared" si="4"/>
        <v>26</v>
      </c>
      <c r="N32" s="72" t="str">
        <f>[1]!wwsCheckbox($C32,132,FALSE)</f>
        <v>tap - top</v>
      </c>
      <c r="O32" s="72" t="str">
        <f>[1]!wwsCheckbox($B32,132,FALSE)</f>
        <v>top - tap</v>
      </c>
      <c r="P32" s="74">
        <f t="shared" si="2"/>
        <v>1</v>
      </c>
    </row>
    <row r="33" spans="1:17" s="10" customFormat="1" ht="25.05" customHeight="1">
      <c r="A33" s="49" t="str">
        <f t="shared" si="0"/>
        <v>clikt</v>
      </c>
      <c r="B33" s="76" t="s">
        <v>133</v>
      </c>
      <c r="C33" s="77" t="s">
        <v>120</v>
      </c>
      <c r="D33" s="17"/>
      <c r="E33" s="78" t="s">
        <v>133</v>
      </c>
      <c r="F33" s="71">
        <f t="shared" si="3"/>
        <v>27</v>
      </c>
      <c r="G33" s="72" t="str">
        <f>[1]!wwsCheckbox($B33,33,FALSE)</f>
        <v>not - net</v>
      </c>
      <c r="H33" s="72" t="str">
        <f>[1]!wwsCheckbox($C33,33,FALSE)</f>
        <v>net - not</v>
      </c>
      <c r="I33" s="10" t="str">
        <f t="shared" si="1"/>
        <v>GOOD</v>
      </c>
      <c r="J33" s="73"/>
      <c r="K33" s="73"/>
      <c r="L33" s="73"/>
      <c r="M33" s="71">
        <f t="shared" si="4"/>
        <v>27</v>
      </c>
      <c r="N33" s="72" t="str">
        <f>[1]!wwsCheckbox($C33,133,FALSE)</f>
        <v>net - not</v>
      </c>
      <c r="O33" s="72" t="str">
        <f>[1]!wwsCheckbox($B33,133,FALSE)</f>
        <v>not - net</v>
      </c>
      <c r="P33" s="74">
        <f t="shared" si="2"/>
        <v>1</v>
      </c>
    </row>
    <row r="34" spans="1:17" s="10" customFormat="1" ht="25.05" customHeight="1">
      <c r="A34" s="49" t="str">
        <f t="shared" si="0"/>
        <v>clikt</v>
      </c>
      <c r="B34" s="76" t="s">
        <v>134</v>
      </c>
      <c r="C34" s="77" t="s">
        <v>156</v>
      </c>
      <c r="D34" s="17"/>
      <c r="E34" s="78" t="s">
        <v>134</v>
      </c>
      <c r="F34" s="71">
        <f t="shared" si="3"/>
        <v>28</v>
      </c>
      <c r="G34" s="72" t="str">
        <f>[1]!wwsCheckbox($B34,34,FALSE)</f>
        <v>don - den</v>
      </c>
      <c r="H34" s="72" t="str">
        <f>[1]!wwsCheckbox($C34,34,FALSE)</f>
        <v>den - don</v>
      </c>
      <c r="I34" s="10" t="str">
        <f t="shared" si="1"/>
        <v>GOOD</v>
      </c>
      <c r="J34" s="73"/>
      <c r="K34" s="73"/>
      <c r="L34" s="73"/>
      <c r="M34" s="71">
        <f t="shared" si="4"/>
        <v>28</v>
      </c>
      <c r="N34" s="72" t="str">
        <f>[1]!wwsCheckbox($C34,134,FALSE)</f>
        <v>den - don</v>
      </c>
      <c r="O34" s="72" t="str">
        <f>[1]!wwsCheckbox($B34,134,FALSE)</f>
        <v>don - den</v>
      </c>
      <c r="P34" s="74">
        <f t="shared" si="2"/>
        <v>1</v>
      </c>
    </row>
    <row r="35" spans="1:17" s="10" customFormat="1" ht="25.05" customHeight="1">
      <c r="A35" s="49" t="str">
        <f t="shared" si="0"/>
        <v>clikt</v>
      </c>
      <c r="B35" s="76" t="s">
        <v>172</v>
      </c>
      <c r="C35" s="77" t="s">
        <v>135</v>
      </c>
      <c r="D35" s="17"/>
      <c r="E35" s="78" t="s">
        <v>135</v>
      </c>
      <c r="F35" s="71">
        <f t="shared" si="3"/>
        <v>29</v>
      </c>
      <c r="G35" s="72" t="str">
        <f>[1]!wwsCheckbox($B35,35,FALSE)</f>
        <v>bob - bib</v>
      </c>
      <c r="H35" s="72" t="str">
        <f>[1]!wwsCheckbox($C35,35,FALSE)</f>
        <v>bib - bob</v>
      </c>
      <c r="I35" s="10" t="str">
        <f t="shared" si="1"/>
        <v>GOOD</v>
      </c>
      <c r="J35" s="73"/>
      <c r="K35" s="73"/>
      <c r="L35" s="73"/>
      <c r="M35" s="71">
        <f t="shared" si="4"/>
        <v>29</v>
      </c>
      <c r="N35" s="72" t="str">
        <f>[1]!wwsCheckbox($C35,135,FALSE)</f>
        <v>bib - bob</v>
      </c>
      <c r="O35" s="72" t="str">
        <f>[1]!wwsCheckbox($B35,135,FALSE)</f>
        <v>bob - bib</v>
      </c>
      <c r="P35" s="74">
        <f t="shared" si="2"/>
        <v>1</v>
      </c>
    </row>
    <row r="36" spans="1:17" s="10" customFormat="1" ht="25.05" customHeight="1">
      <c r="A36" s="49" t="str">
        <f t="shared" si="0"/>
        <v>clikt</v>
      </c>
      <c r="B36" s="76" t="s">
        <v>127</v>
      </c>
      <c r="C36" s="77" t="s">
        <v>136</v>
      </c>
      <c r="D36" s="17"/>
      <c r="E36" s="78" t="s">
        <v>136</v>
      </c>
      <c r="F36" s="71">
        <f t="shared" si="3"/>
        <v>30</v>
      </c>
      <c r="G36" s="72" t="str">
        <f>[1]!wwsCheckbox($B36,36,FALSE)</f>
        <v>pot - pit</v>
      </c>
      <c r="H36" s="72" t="str">
        <f>[1]!wwsCheckbox($C36,36,FALSE)</f>
        <v>pit - pot</v>
      </c>
      <c r="I36" s="10" t="str">
        <f t="shared" si="1"/>
        <v>GOOD</v>
      </c>
      <c r="J36" s="73"/>
      <c r="K36" s="73"/>
      <c r="L36" s="73"/>
      <c r="M36" s="71">
        <f t="shared" si="4"/>
        <v>30</v>
      </c>
      <c r="N36" s="72" t="str">
        <f>[1]!wwsCheckbox($C36,136,FALSE)</f>
        <v>pit - pot</v>
      </c>
      <c r="O36" s="72" t="str">
        <f>[1]!wwsCheckbox($B36,136,FALSE)</f>
        <v>pot - pit</v>
      </c>
      <c r="P36" s="74">
        <f t="shared" si="2"/>
        <v>1</v>
      </c>
    </row>
    <row r="37" spans="1:17" s="10" customFormat="1" ht="25.05" customHeight="1">
      <c r="A37" s="49" t="str">
        <f t="shared" si="0"/>
        <v>clikt</v>
      </c>
      <c r="B37" s="76" t="s">
        <v>137</v>
      </c>
      <c r="C37" s="77" t="s">
        <v>157</v>
      </c>
      <c r="D37" s="17"/>
      <c r="E37" s="78" t="s">
        <v>137</v>
      </c>
      <c r="F37" s="71">
        <f t="shared" si="3"/>
        <v>31</v>
      </c>
      <c r="G37" s="72" t="str">
        <f>[1]!wwsCheckbox($B37,37,FALSE)</f>
        <v>mod - mud</v>
      </c>
      <c r="H37" s="72" t="str">
        <f>[1]!wwsCheckbox($C37,37,FALSE)</f>
        <v>mud - mod</v>
      </c>
      <c r="I37" s="10" t="str">
        <f t="shared" si="1"/>
        <v>GOOD</v>
      </c>
      <c r="J37" s="73"/>
      <c r="K37" s="73"/>
      <c r="L37" s="73"/>
      <c r="M37" s="71">
        <f t="shared" si="4"/>
        <v>31</v>
      </c>
      <c r="N37" s="72" t="str">
        <f>[1]!wwsCheckbox($C37,137,FALSE)</f>
        <v>mud - mod</v>
      </c>
      <c r="O37" s="72" t="str">
        <f>[1]!wwsCheckbox($B37,137,FALSE)</f>
        <v>mod - mud</v>
      </c>
      <c r="P37" s="74">
        <f t="shared" si="2"/>
        <v>1</v>
      </c>
    </row>
    <row r="38" spans="1:17" s="10" customFormat="1" ht="25.05" customHeight="1">
      <c r="A38" s="49" t="str">
        <f t="shared" si="0"/>
        <v>clikt</v>
      </c>
      <c r="B38" s="76" t="s">
        <v>160</v>
      </c>
      <c r="C38" s="77" t="s">
        <v>138</v>
      </c>
      <c r="D38" s="17"/>
      <c r="E38" s="78" t="s">
        <v>138</v>
      </c>
      <c r="F38" s="71">
        <f t="shared" si="3"/>
        <v>32</v>
      </c>
      <c r="G38" s="72" t="str">
        <f>[1]!wwsCheckbox($B38,38,FALSE)</f>
        <v>pop - pup</v>
      </c>
      <c r="H38" s="72" t="str">
        <f>[1]!wwsCheckbox($C38,38,FALSE)</f>
        <v>pup - pop</v>
      </c>
      <c r="I38" s="10" t="str">
        <f t="shared" si="1"/>
        <v>GOOD</v>
      </c>
      <c r="J38" s="73"/>
      <c r="K38" s="73"/>
      <c r="L38" s="73"/>
      <c r="M38" s="71">
        <f t="shared" si="4"/>
        <v>32</v>
      </c>
      <c r="N38" s="72" t="str">
        <f>[1]!wwsCheckbox($C38,138,FALSE)</f>
        <v>pup - pop</v>
      </c>
      <c r="O38" s="72" t="str">
        <f>[1]!wwsCheckbox($B38,138,FALSE)</f>
        <v>pop - pup</v>
      </c>
      <c r="P38" s="74">
        <f t="shared" si="2"/>
        <v>1</v>
      </c>
    </row>
    <row r="39" spans="1:17" s="10" customFormat="1" ht="25.05" customHeight="1">
      <c r="A39" s="49" t="str">
        <f t="shared" si="0"/>
        <v>clikt</v>
      </c>
      <c r="B39" s="76" t="s">
        <v>139</v>
      </c>
      <c r="C39" s="77" t="s">
        <v>158</v>
      </c>
      <c r="D39" s="17"/>
      <c r="E39" s="78" t="s">
        <v>139</v>
      </c>
      <c r="F39" s="71">
        <f t="shared" si="3"/>
        <v>33</v>
      </c>
      <c r="G39" s="72" t="str">
        <f>[1]!wwsCheckbox($B39,39,FALSE)</f>
        <v>mud - mad</v>
      </c>
      <c r="H39" s="72" t="str">
        <f>[1]!wwsCheckbox($C39,39,FALSE)</f>
        <v>mad - mud</v>
      </c>
      <c r="I39" s="10" t="str">
        <f t="shared" si="1"/>
        <v>GOOD</v>
      </c>
      <c r="J39" s="73"/>
      <c r="K39" s="73"/>
      <c r="L39" s="73"/>
      <c r="M39" s="71">
        <f t="shared" si="4"/>
        <v>33</v>
      </c>
      <c r="N39" s="72" t="str">
        <f>[1]!wwsCheckbox($C39,139,FALSE)</f>
        <v>mad - mud</v>
      </c>
      <c r="O39" s="72" t="str">
        <f>[1]!wwsCheckbox($B39,139,FALSE)</f>
        <v>mud - mad</v>
      </c>
      <c r="P39" s="74">
        <f t="shared" si="2"/>
        <v>1</v>
      </c>
    </row>
    <row r="40" spans="1:17" s="10" customFormat="1" ht="25.05" customHeight="1">
      <c r="A40" s="49" t="str">
        <f t="shared" si="0"/>
        <v>clikt</v>
      </c>
      <c r="B40" s="76" t="s">
        <v>173</v>
      </c>
      <c r="C40" s="77" t="s">
        <v>140</v>
      </c>
      <c r="D40" s="17"/>
      <c r="E40" s="78" t="s">
        <v>140</v>
      </c>
      <c r="F40" s="71">
        <f t="shared" si="3"/>
        <v>34</v>
      </c>
      <c r="G40" s="72" t="str">
        <f>[1]!wwsCheckbox($B40,40,FALSE)</f>
        <v>tub - tab</v>
      </c>
      <c r="H40" s="72" t="str">
        <f>[1]!wwsCheckbox($C40,40,FALSE)</f>
        <v>tab - tub</v>
      </c>
      <c r="I40" s="10" t="str">
        <f t="shared" si="1"/>
        <v>GOOD</v>
      </c>
      <c r="J40" s="73"/>
      <c r="K40" s="73"/>
      <c r="L40" s="73"/>
      <c r="M40" s="71">
        <f t="shared" si="4"/>
        <v>34</v>
      </c>
      <c r="N40" s="72" t="str">
        <f>[1]!wwsCheckbox($C40,140,FALSE)</f>
        <v>tab - tub</v>
      </c>
      <c r="O40" s="72" t="str">
        <f>[1]!wwsCheckbox($B40,140,FALSE)</f>
        <v>tub - tab</v>
      </c>
      <c r="P40" s="74">
        <f t="shared" si="2"/>
        <v>1</v>
      </c>
    </row>
    <row r="41" spans="1:17" s="10" customFormat="1" ht="25.05" customHeight="1">
      <c r="A41" s="49" t="str">
        <f t="shared" si="0"/>
        <v>clikt</v>
      </c>
      <c r="B41" s="76" t="s">
        <v>174</v>
      </c>
      <c r="C41" s="77" t="s">
        <v>141</v>
      </c>
      <c r="D41" s="17"/>
      <c r="E41" s="78" t="s">
        <v>141</v>
      </c>
      <c r="F41" s="71">
        <f t="shared" si="3"/>
        <v>35</v>
      </c>
      <c r="G41" s="72" t="str">
        <f>[1]!wwsCheckbox($B41,41,FALSE)</f>
        <v>but - bet</v>
      </c>
      <c r="H41" s="72" t="str">
        <f>[1]!wwsCheckbox($C41,41,FALSE)</f>
        <v>bet - but</v>
      </c>
      <c r="I41" s="10" t="str">
        <f t="shared" si="1"/>
        <v>GOOD</v>
      </c>
      <c r="J41" s="73"/>
      <c r="K41" s="73"/>
      <c r="L41" s="73"/>
      <c r="M41" s="71">
        <f t="shared" si="4"/>
        <v>35</v>
      </c>
      <c r="N41" s="72" t="str">
        <f>[1]!wwsCheckbox($C41,141,FALSE)</f>
        <v>bet - but</v>
      </c>
      <c r="O41" s="72" t="str">
        <f>[1]!wwsCheckbox($B41,141,FALSE)</f>
        <v>but - bet</v>
      </c>
      <c r="P41" s="74">
        <f t="shared" si="2"/>
        <v>1</v>
      </c>
    </row>
    <row r="42" spans="1:17" s="10" customFormat="1" ht="25.05" customHeight="1">
      <c r="A42" s="49" t="str">
        <f t="shared" si="0"/>
        <v>clikt</v>
      </c>
      <c r="B42" s="76" t="s">
        <v>122</v>
      </c>
      <c r="C42" s="77" t="s">
        <v>159</v>
      </c>
      <c r="D42" s="17"/>
      <c r="E42" s="78" t="s">
        <v>122</v>
      </c>
      <c r="F42" s="71">
        <f t="shared" si="3"/>
        <v>36</v>
      </c>
      <c r="G42" s="72" t="str">
        <f>[1]!wwsCheckbox($B42,42,FALSE)</f>
        <v>pun - pen</v>
      </c>
      <c r="H42" s="72" t="str">
        <f>[1]!wwsCheckbox($C42,42,FALSE)</f>
        <v>pen - pun</v>
      </c>
      <c r="I42" s="10" t="str">
        <f t="shared" si="1"/>
        <v>GOOD</v>
      </c>
      <c r="J42" s="73"/>
      <c r="K42" s="73"/>
      <c r="L42" s="73"/>
      <c r="M42" s="71">
        <f t="shared" si="4"/>
        <v>36</v>
      </c>
      <c r="N42" s="72" t="str">
        <f>[1]!wwsCheckbox($C42,142,FALSE)</f>
        <v>pen - pun</v>
      </c>
      <c r="O42" s="72" t="str">
        <f>[1]!wwsCheckbox($B42,142,FALSE)</f>
        <v>pun - pen</v>
      </c>
      <c r="P42" s="74">
        <f t="shared" si="2"/>
        <v>1</v>
      </c>
    </row>
    <row r="43" spans="1:17" s="10" customFormat="1" ht="25.05" customHeight="1">
      <c r="A43" s="49" t="str">
        <f t="shared" si="0"/>
        <v>clikt</v>
      </c>
      <c r="B43" s="76" t="s">
        <v>175</v>
      </c>
      <c r="C43" s="77" t="s">
        <v>142</v>
      </c>
      <c r="D43" s="17"/>
      <c r="E43" s="78" t="s">
        <v>142</v>
      </c>
      <c r="F43" s="71">
        <f t="shared" si="3"/>
        <v>37</v>
      </c>
      <c r="G43" s="72" t="str">
        <f>[1]!wwsCheckbox($B43,43,FALSE)</f>
        <v>dud - did</v>
      </c>
      <c r="H43" s="72" t="str">
        <f>[1]!wwsCheckbox($C43,43,FALSE)</f>
        <v>did - dud</v>
      </c>
      <c r="I43" s="10" t="str">
        <f t="shared" si="1"/>
        <v>GOOD</v>
      </c>
      <c r="J43" s="73"/>
      <c r="K43" s="73"/>
      <c r="L43" s="73"/>
      <c r="M43" s="71">
        <f t="shared" si="4"/>
        <v>37</v>
      </c>
      <c r="N43" s="72" t="str">
        <f>[1]!wwsCheckbox($C43,143,FALSE)</f>
        <v>did - dud</v>
      </c>
      <c r="O43" s="72" t="str">
        <f>[1]!wwsCheckbox($B43,143,FALSE)</f>
        <v>dud - did</v>
      </c>
      <c r="P43" s="74">
        <f t="shared" si="2"/>
        <v>1</v>
      </c>
    </row>
    <row r="44" spans="1:17" s="10" customFormat="1" ht="25.05" customHeight="1">
      <c r="A44" s="49" t="str">
        <f t="shared" si="0"/>
        <v>clikt</v>
      </c>
      <c r="B44" s="76" t="s">
        <v>143</v>
      </c>
      <c r="C44" s="77" t="s">
        <v>130</v>
      </c>
      <c r="D44" s="17"/>
      <c r="E44" s="78" t="s">
        <v>143</v>
      </c>
      <c r="F44" s="71">
        <f t="shared" si="3"/>
        <v>38</v>
      </c>
      <c r="G44" s="72" t="str">
        <f>[1]!wwsCheckbox($B44,44,FALSE)</f>
        <v>bun - bin</v>
      </c>
      <c r="H44" s="72" t="str">
        <f>[1]!wwsCheckbox($C44,44,FALSE)</f>
        <v>bin - bun</v>
      </c>
      <c r="I44" s="10" t="str">
        <f t="shared" si="1"/>
        <v>GOOD</v>
      </c>
      <c r="J44" s="73"/>
      <c r="K44" s="73"/>
      <c r="L44" s="73"/>
      <c r="M44" s="71">
        <f t="shared" si="4"/>
        <v>38</v>
      </c>
      <c r="N44" s="72" t="str">
        <f>[1]!wwsCheckbox($C44,144,FALSE)</f>
        <v>bin - bun</v>
      </c>
      <c r="O44" s="72" t="str">
        <f>[1]!wwsCheckbox($B44,144,FALSE)</f>
        <v>bun - bin</v>
      </c>
      <c r="P44" s="74">
        <f t="shared" si="2"/>
        <v>1</v>
      </c>
    </row>
    <row r="45" spans="1:17" s="10" customFormat="1" ht="25.05" customHeight="1">
      <c r="A45" s="49" t="str">
        <f t="shared" si="0"/>
        <v>clikt</v>
      </c>
      <c r="B45" s="76" t="s">
        <v>138</v>
      </c>
      <c r="C45" s="77" t="s">
        <v>160</v>
      </c>
      <c r="D45" s="17"/>
      <c r="E45" s="78" t="s">
        <v>138</v>
      </c>
      <c r="F45" s="71">
        <f t="shared" si="3"/>
        <v>39</v>
      </c>
      <c r="G45" s="72" t="str">
        <f>[1]!wwsCheckbox($B45,45,FALSE)</f>
        <v>pup - pop</v>
      </c>
      <c r="H45" s="72" t="str">
        <f>[1]!wwsCheckbox($C45,45,FALSE)</f>
        <v>pop - pup</v>
      </c>
      <c r="I45" s="10" t="str">
        <f t="shared" si="1"/>
        <v>GOOD</v>
      </c>
      <c r="J45" s="73"/>
      <c r="K45" s="73"/>
      <c r="L45" s="73"/>
      <c r="M45" s="71">
        <f t="shared" si="4"/>
        <v>39</v>
      </c>
      <c r="N45" s="72" t="str">
        <f>[1]!wwsCheckbox($C45,145,FALSE)</f>
        <v>pop - pup</v>
      </c>
      <c r="O45" s="72" t="str">
        <f>[1]!wwsCheckbox($B45,145,FALSE)</f>
        <v>pup - pop</v>
      </c>
      <c r="P45" s="74">
        <f t="shared" si="2"/>
        <v>1</v>
      </c>
    </row>
    <row r="46" spans="1:17" s="10" customFormat="1" ht="25.05" customHeight="1">
      <c r="A46" s="49" t="str">
        <f t="shared" si="0"/>
        <v>clikt</v>
      </c>
      <c r="B46" s="76" t="s">
        <v>176</v>
      </c>
      <c r="C46" s="77" t="s">
        <v>144</v>
      </c>
      <c r="D46" s="17"/>
      <c r="E46" s="78" t="s">
        <v>144</v>
      </c>
      <c r="F46" s="71">
        <f t="shared" si="3"/>
        <v>40</v>
      </c>
      <c r="G46" s="72" t="str">
        <f>[1]!wwsCheckbox($B46,46,FALSE)</f>
        <v>nut - not</v>
      </c>
      <c r="H46" s="72" t="str">
        <f>[1]!wwsCheckbox($C46,46,FALSE)</f>
        <v>not - nut</v>
      </c>
      <c r="I46" s="10" t="str">
        <f t="shared" si="1"/>
        <v>GOOD</v>
      </c>
      <c r="J46" s="73"/>
      <c r="K46" s="73"/>
      <c r="L46" s="73"/>
      <c r="M46" s="71">
        <f t="shared" si="4"/>
        <v>40</v>
      </c>
      <c r="N46" s="72" t="str">
        <f>[1]!wwsCheckbox($C46,146,FALSE)</f>
        <v>not - nut</v>
      </c>
      <c r="O46" s="72" t="str">
        <f>[1]!wwsCheckbox($B46,146,FALSE)</f>
        <v>nut - not</v>
      </c>
      <c r="P46" s="74">
        <f t="shared" si="2"/>
        <v>1</v>
      </c>
    </row>
    <row r="47" spans="1:17" ht="17.399999999999999">
      <c r="M47" s="49">
        <f>SUM(N47:O47)</f>
        <v>2</v>
      </c>
      <c r="N47" s="83">
        <f>IF(OR(N45=C45,N46=C46),1,0)</f>
        <v>1</v>
      </c>
      <c r="O47" s="83">
        <f>IF(OR(O45=B45,O46=B46),1,0)</f>
        <v>1</v>
      </c>
      <c r="P47" s="107">
        <f>SUM(P7:P46)/40</f>
        <v>1</v>
      </c>
      <c r="Q47" s="82"/>
    </row>
    <row r="48" spans="1:17">
      <c r="M48" s="118"/>
      <c r="N48" s="118"/>
      <c r="O48" s="118"/>
      <c r="P48" s="118"/>
      <c r="Q48" s="118"/>
    </row>
    <row r="49" spans="19:19">
      <c r="S49" s="10" t="s">
        <v>55</v>
      </c>
    </row>
  </sheetData>
  <sortState xmlns:xlrd2="http://schemas.microsoft.com/office/spreadsheetml/2017/richdata2" columnSort="1" ref="B22:D31">
    <sortCondition ref="B25:D25"/>
  </sortState>
  <mergeCells count="11">
    <mergeCell ref="G6:H6"/>
    <mergeCell ref="N6:O6"/>
    <mergeCell ref="E4:E5"/>
    <mergeCell ref="N4:O4"/>
    <mergeCell ref="K5:L5"/>
    <mergeCell ref="M5:P5"/>
    <mergeCell ref="J2:L2"/>
    <mergeCell ref="F2:H2"/>
    <mergeCell ref="C2:E2"/>
    <mergeCell ref="C3:F3"/>
    <mergeCell ref="G4:H4"/>
  </mergeCells>
  <conditionalFormatting sqref="K4">
    <cfRule type="cellIs" dxfId="1419" priority="2285" operator="equal">
      <formula>"""GOOD"""</formula>
    </cfRule>
  </conditionalFormatting>
  <conditionalFormatting sqref="M7">
    <cfRule type="cellIs" priority="2077" operator="between">
      <formula>1</formula>
      <formula>2</formula>
    </cfRule>
    <cfRule type="cellIs" dxfId="1418" priority="2078" operator="equal">
      <formula>"""GOOD"""</formula>
    </cfRule>
  </conditionalFormatting>
  <conditionalFormatting sqref="N7">
    <cfRule type="expression" dxfId="1417" priority="965">
      <formula>OR($N7&lt;&gt;"",$O7&lt;&gt;"")</formula>
    </cfRule>
  </conditionalFormatting>
  <conditionalFormatting sqref="O7">
    <cfRule type="expression" dxfId="1416" priority="653">
      <formula>OR($N7&lt;&gt;"",$O7&lt;&gt;"")</formula>
    </cfRule>
  </conditionalFormatting>
  <conditionalFormatting sqref="N8">
    <cfRule type="expression" dxfId="1415" priority="652">
      <formula>OR($N8&lt;&gt;"",$O8&lt;&gt;"")</formula>
    </cfRule>
  </conditionalFormatting>
  <conditionalFormatting sqref="O8">
    <cfRule type="expression" dxfId="1414" priority="651">
      <formula>OR($N8&lt;&gt;"",$O8&lt;&gt;"")</formula>
    </cfRule>
  </conditionalFormatting>
  <conditionalFormatting sqref="N9">
    <cfRule type="expression" dxfId="1413" priority="650">
      <formula>OR($N9&lt;&gt;"",$O9&lt;&gt;"")</formula>
    </cfRule>
  </conditionalFormatting>
  <conditionalFormatting sqref="O9">
    <cfRule type="expression" dxfId="1412" priority="649">
      <formula>OR($N9&lt;&gt;"",$O9&lt;&gt;"")</formula>
    </cfRule>
  </conditionalFormatting>
  <conditionalFormatting sqref="N10">
    <cfRule type="expression" dxfId="1411" priority="648">
      <formula>OR($N10&lt;&gt;"",$O10&lt;&gt;"")</formula>
    </cfRule>
  </conditionalFormatting>
  <conditionalFormatting sqref="O10">
    <cfRule type="expression" dxfId="1410" priority="647">
      <formula>OR($N10&lt;&gt;"",$O10&lt;&gt;"")</formula>
    </cfRule>
  </conditionalFormatting>
  <conditionalFormatting sqref="N11">
    <cfRule type="expression" dxfId="1409" priority="646">
      <formula>OR($N11&lt;&gt;"",$O11&lt;&gt;"")</formula>
    </cfRule>
  </conditionalFormatting>
  <conditionalFormatting sqref="O11">
    <cfRule type="expression" dxfId="1408" priority="645">
      <formula>OR($N11&lt;&gt;"",$O11&lt;&gt;"")</formula>
    </cfRule>
  </conditionalFormatting>
  <conditionalFormatting sqref="N12">
    <cfRule type="expression" dxfId="1407" priority="644">
      <formula>OR($N12&lt;&gt;"",$O12&lt;&gt;"")</formula>
    </cfRule>
  </conditionalFormatting>
  <conditionalFormatting sqref="O12">
    <cfRule type="expression" dxfId="1406" priority="643">
      <formula>OR($N12&lt;&gt;"",$O12&lt;&gt;"")</formula>
    </cfRule>
  </conditionalFormatting>
  <conditionalFormatting sqref="N13">
    <cfRule type="expression" dxfId="1405" priority="642">
      <formula>OR($N13&lt;&gt;"",$O13&lt;&gt;"")</formula>
    </cfRule>
  </conditionalFormatting>
  <conditionalFormatting sqref="O13">
    <cfRule type="expression" dxfId="1404" priority="641">
      <formula>OR($N13&lt;&gt;"",$O13&lt;&gt;"")</formula>
    </cfRule>
  </conditionalFormatting>
  <conditionalFormatting sqref="N14">
    <cfRule type="expression" dxfId="1403" priority="640">
      <formula>OR($N14&lt;&gt;"",$O14&lt;&gt;"")</formula>
    </cfRule>
  </conditionalFormatting>
  <conditionalFormatting sqref="O14">
    <cfRule type="expression" dxfId="1402" priority="639">
      <formula>OR($N14&lt;&gt;"",$O14&lt;&gt;"")</formula>
    </cfRule>
  </conditionalFormatting>
  <conditionalFormatting sqref="N15">
    <cfRule type="expression" dxfId="1401" priority="638">
      <formula>OR($N15&lt;&gt;"",$O15&lt;&gt;"")</formula>
    </cfRule>
  </conditionalFormatting>
  <conditionalFormatting sqref="O15">
    <cfRule type="expression" dxfId="1400" priority="637">
      <formula>OR($N15&lt;&gt;"",$O15&lt;&gt;"")</formula>
    </cfRule>
  </conditionalFormatting>
  <conditionalFormatting sqref="N16">
    <cfRule type="expression" dxfId="1399" priority="636">
      <formula>OR($N16&lt;&gt;"",$O16&lt;&gt;"")</formula>
    </cfRule>
  </conditionalFormatting>
  <conditionalFormatting sqref="O16">
    <cfRule type="expression" dxfId="1398" priority="635">
      <formula>OR($N16&lt;&gt;"",$O16&lt;&gt;"")</formula>
    </cfRule>
  </conditionalFormatting>
  <conditionalFormatting sqref="N17">
    <cfRule type="expression" dxfId="1397" priority="634">
      <formula>OR($N17&lt;&gt;"",$O17&lt;&gt;"")</formula>
    </cfRule>
  </conditionalFormatting>
  <conditionalFormatting sqref="O17">
    <cfRule type="expression" dxfId="1396" priority="633">
      <formula>OR($N17&lt;&gt;"",$O17&lt;&gt;"")</formula>
    </cfRule>
  </conditionalFormatting>
  <conditionalFormatting sqref="N18">
    <cfRule type="expression" dxfId="1395" priority="632">
      <formula>OR($N18&lt;&gt;"",$O18&lt;&gt;"")</formula>
    </cfRule>
  </conditionalFormatting>
  <conditionalFormatting sqref="O18">
    <cfRule type="expression" dxfId="1394" priority="631">
      <formula>OR($N18&lt;&gt;"",$O18&lt;&gt;"")</formula>
    </cfRule>
  </conditionalFormatting>
  <conditionalFormatting sqref="N19">
    <cfRule type="expression" dxfId="1393" priority="630">
      <formula>OR($N19&lt;&gt;"",$O19&lt;&gt;"")</formula>
    </cfRule>
  </conditionalFormatting>
  <conditionalFormatting sqref="O19">
    <cfRule type="expression" dxfId="1392" priority="629">
      <formula>OR($N19&lt;&gt;"",$O19&lt;&gt;"")</formula>
    </cfRule>
  </conditionalFormatting>
  <conditionalFormatting sqref="N20">
    <cfRule type="expression" dxfId="1391" priority="628">
      <formula>OR($N20&lt;&gt;"",$O20&lt;&gt;"")</formula>
    </cfRule>
  </conditionalFormatting>
  <conditionalFormatting sqref="O20">
    <cfRule type="expression" dxfId="1390" priority="627">
      <formula>OR($N20&lt;&gt;"",$O20&lt;&gt;"")</formula>
    </cfRule>
  </conditionalFormatting>
  <conditionalFormatting sqref="N21">
    <cfRule type="expression" dxfId="1389" priority="626">
      <formula>OR($N21&lt;&gt;"",$O21&lt;&gt;"")</formula>
    </cfRule>
  </conditionalFormatting>
  <conditionalFormatting sqref="O21">
    <cfRule type="expression" dxfId="1388" priority="625">
      <formula>OR($N21&lt;&gt;"",$O21&lt;&gt;"")</formula>
    </cfRule>
  </conditionalFormatting>
  <conditionalFormatting sqref="N22">
    <cfRule type="expression" dxfId="1387" priority="624">
      <formula>OR($N22&lt;&gt;"",$O22&lt;&gt;"")</formula>
    </cfRule>
  </conditionalFormatting>
  <conditionalFormatting sqref="O22">
    <cfRule type="expression" dxfId="1386" priority="623">
      <formula>OR($N22&lt;&gt;"",$O22&lt;&gt;"")</formula>
    </cfRule>
  </conditionalFormatting>
  <conditionalFormatting sqref="N23">
    <cfRule type="expression" dxfId="1385" priority="622">
      <formula>OR($N23&lt;&gt;"",$O23&lt;&gt;"")</formula>
    </cfRule>
  </conditionalFormatting>
  <conditionalFormatting sqref="O23">
    <cfRule type="expression" dxfId="1384" priority="621">
      <formula>OR($N23&lt;&gt;"",$O23&lt;&gt;"")</formula>
    </cfRule>
  </conditionalFormatting>
  <conditionalFormatting sqref="N24">
    <cfRule type="expression" dxfId="1383" priority="620">
      <formula>OR($N24&lt;&gt;"",$O24&lt;&gt;"")</formula>
    </cfRule>
  </conditionalFormatting>
  <conditionalFormatting sqref="O24">
    <cfRule type="expression" dxfId="1382" priority="619">
      <formula>OR($N24&lt;&gt;"",$O24&lt;&gt;"")</formula>
    </cfRule>
  </conditionalFormatting>
  <conditionalFormatting sqref="N25">
    <cfRule type="expression" dxfId="1381" priority="618">
      <formula>OR($N25&lt;&gt;"",$O25&lt;&gt;"")</formula>
    </cfRule>
  </conditionalFormatting>
  <conditionalFormatting sqref="O25">
    <cfRule type="expression" dxfId="1380" priority="617">
      <formula>OR($N25&lt;&gt;"",$O25&lt;&gt;"")</formula>
    </cfRule>
  </conditionalFormatting>
  <conditionalFormatting sqref="N26">
    <cfRule type="expression" dxfId="1379" priority="616">
      <formula>OR($N26&lt;&gt;"",$O26&lt;&gt;"")</formula>
    </cfRule>
  </conditionalFormatting>
  <conditionalFormatting sqref="O26">
    <cfRule type="expression" dxfId="1378" priority="615">
      <formula>OR($N26&lt;&gt;"",$O26&lt;&gt;"")</formula>
    </cfRule>
  </conditionalFormatting>
  <conditionalFormatting sqref="N27">
    <cfRule type="expression" dxfId="1377" priority="614">
      <formula>OR($N27&lt;&gt;"",$O27&lt;&gt;"")</formula>
    </cfRule>
  </conditionalFormatting>
  <conditionalFormatting sqref="O27">
    <cfRule type="expression" dxfId="1376" priority="613">
      <formula>OR($N27&lt;&gt;"",$O27&lt;&gt;"")</formula>
    </cfRule>
  </conditionalFormatting>
  <conditionalFormatting sqref="N28">
    <cfRule type="expression" dxfId="1375" priority="612">
      <formula>OR($N28&lt;&gt;"",$O28&lt;&gt;"")</formula>
    </cfRule>
  </conditionalFormatting>
  <conditionalFormatting sqref="O28">
    <cfRule type="expression" dxfId="1374" priority="611">
      <formula>OR($N28&lt;&gt;"",$O28&lt;&gt;"")</formula>
    </cfRule>
  </conditionalFormatting>
  <conditionalFormatting sqref="N29">
    <cfRule type="expression" dxfId="1373" priority="610">
      <formula>OR($N29&lt;&gt;"",$O29&lt;&gt;"")</formula>
    </cfRule>
  </conditionalFormatting>
  <conditionalFormatting sqref="O29">
    <cfRule type="expression" dxfId="1372" priority="609">
      <formula>OR($N29&lt;&gt;"",$O29&lt;&gt;"")</formula>
    </cfRule>
  </conditionalFormatting>
  <conditionalFormatting sqref="N30">
    <cfRule type="expression" dxfId="1371" priority="608">
      <formula>OR($N30&lt;&gt;"",$O30&lt;&gt;"")</formula>
    </cfRule>
  </conditionalFormatting>
  <conditionalFormatting sqref="O30">
    <cfRule type="expression" dxfId="1370" priority="607">
      <formula>OR($N30&lt;&gt;"",$O30&lt;&gt;"")</formula>
    </cfRule>
  </conditionalFormatting>
  <conditionalFormatting sqref="N31">
    <cfRule type="expression" dxfId="1369" priority="606">
      <formula>OR($N31&lt;&gt;"",$O31&lt;&gt;"")</formula>
    </cfRule>
  </conditionalFormatting>
  <conditionalFormatting sqref="O31">
    <cfRule type="expression" dxfId="1368" priority="605">
      <formula>OR($N31&lt;&gt;"",$O31&lt;&gt;"")</formula>
    </cfRule>
  </conditionalFormatting>
  <conditionalFormatting sqref="N32">
    <cfRule type="expression" dxfId="1367" priority="604">
      <formula>OR($N32&lt;&gt;"",$O32&lt;&gt;"")</formula>
    </cfRule>
  </conditionalFormatting>
  <conditionalFormatting sqref="O32">
    <cfRule type="expression" dxfId="1366" priority="603">
      <formula>OR($N32&lt;&gt;"",$O32&lt;&gt;"")</formula>
    </cfRule>
  </conditionalFormatting>
  <conditionalFormatting sqref="N33">
    <cfRule type="expression" dxfId="1365" priority="602">
      <formula>OR($N33&lt;&gt;"",$O33&lt;&gt;"")</formula>
    </cfRule>
  </conditionalFormatting>
  <conditionalFormatting sqref="O33">
    <cfRule type="expression" dxfId="1364" priority="601">
      <formula>OR($N33&lt;&gt;"",$O33&lt;&gt;"")</formula>
    </cfRule>
  </conditionalFormatting>
  <conditionalFormatting sqref="N34">
    <cfRule type="expression" dxfId="1363" priority="600">
      <formula>OR($N34&lt;&gt;"",$O34&lt;&gt;"")</formula>
    </cfRule>
  </conditionalFormatting>
  <conditionalFormatting sqref="O34">
    <cfRule type="expression" dxfId="1362" priority="599">
      <formula>OR($N34&lt;&gt;"",$O34&lt;&gt;"")</formula>
    </cfRule>
  </conditionalFormatting>
  <conditionalFormatting sqref="N35">
    <cfRule type="expression" dxfId="1361" priority="598">
      <formula>OR($N35&lt;&gt;"",$O35&lt;&gt;"")</formula>
    </cfRule>
  </conditionalFormatting>
  <conditionalFormatting sqref="O35">
    <cfRule type="expression" dxfId="1360" priority="597">
      <formula>OR($N35&lt;&gt;"",$O35&lt;&gt;"")</formula>
    </cfRule>
  </conditionalFormatting>
  <conditionalFormatting sqref="N36">
    <cfRule type="expression" dxfId="1359" priority="596">
      <formula>OR($N36&lt;&gt;"",$O36&lt;&gt;"")</formula>
    </cfRule>
  </conditionalFormatting>
  <conditionalFormatting sqref="O36">
    <cfRule type="expression" dxfId="1358" priority="595">
      <formula>OR($N36&lt;&gt;"",$O36&lt;&gt;"")</formula>
    </cfRule>
  </conditionalFormatting>
  <conditionalFormatting sqref="N37">
    <cfRule type="expression" dxfId="1357" priority="594">
      <formula>OR($N37&lt;&gt;"",$O37&lt;&gt;"")</formula>
    </cfRule>
  </conditionalFormatting>
  <conditionalFormatting sqref="O37">
    <cfRule type="expression" dxfId="1356" priority="593">
      <formula>OR($N37&lt;&gt;"",$O37&lt;&gt;"")</formula>
    </cfRule>
  </conditionalFormatting>
  <conditionalFormatting sqref="N38">
    <cfRule type="expression" dxfId="1355" priority="592">
      <formula>OR($N38&lt;&gt;"",$O38&lt;&gt;"")</formula>
    </cfRule>
  </conditionalFormatting>
  <conditionalFormatting sqref="O38">
    <cfRule type="expression" dxfId="1354" priority="591">
      <formula>OR($N38&lt;&gt;"",$O38&lt;&gt;"")</formula>
    </cfRule>
  </conditionalFormatting>
  <conditionalFormatting sqref="N39">
    <cfRule type="expression" dxfId="1353" priority="590">
      <formula>OR($N39&lt;&gt;"",$O39&lt;&gt;"")</formula>
    </cfRule>
  </conditionalFormatting>
  <conditionalFormatting sqref="O39">
    <cfRule type="expression" dxfId="1352" priority="589">
      <formula>OR($N39&lt;&gt;"",$O39&lt;&gt;"")</formula>
    </cfRule>
  </conditionalFormatting>
  <conditionalFormatting sqref="N40">
    <cfRule type="expression" dxfId="1351" priority="588">
      <formula>OR($N40&lt;&gt;"",$O40&lt;&gt;"")</formula>
    </cfRule>
  </conditionalFormatting>
  <conditionalFormatting sqref="O40">
    <cfRule type="expression" dxfId="1350" priority="587">
      <formula>OR($N40&lt;&gt;"",$O40&lt;&gt;"")</formula>
    </cfRule>
  </conditionalFormatting>
  <conditionalFormatting sqref="N41">
    <cfRule type="expression" dxfId="1349" priority="586">
      <formula>OR($N41&lt;&gt;"",$O41&lt;&gt;"")</formula>
    </cfRule>
  </conditionalFormatting>
  <conditionalFormatting sqref="O41">
    <cfRule type="expression" dxfId="1348" priority="585">
      <formula>OR($N41&lt;&gt;"",$O41&lt;&gt;"")</formula>
    </cfRule>
  </conditionalFormatting>
  <conditionalFormatting sqref="N42">
    <cfRule type="expression" dxfId="1347" priority="584">
      <formula>OR($N42&lt;&gt;"",$O42&lt;&gt;"")</formula>
    </cfRule>
  </conditionalFormatting>
  <conditionalFormatting sqref="O42">
    <cfRule type="expression" dxfId="1346" priority="583">
      <formula>OR($N42&lt;&gt;"",$O42&lt;&gt;"")</formula>
    </cfRule>
  </conditionalFormatting>
  <conditionalFormatting sqref="N43">
    <cfRule type="expression" dxfId="1345" priority="582">
      <formula>OR($N43&lt;&gt;"",$O43&lt;&gt;"")</formula>
    </cfRule>
  </conditionalFormatting>
  <conditionalFormatting sqref="O43">
    <cfRule type="expression" dxfId="1344" priority="581">
      <formula>OR($N43&lt;&gt;"",$O43&lt;&gt;"")</formula>
    </cfRule>
  </conditionalFormatting>
  <conditionalFormatting sqref="N44">
    <cfRule type="expression" dxfId="1343" priority="580">
      <formula>OR($N44&lt;&gt;"",$O44&lt;&gt;"")</formula>
    </cfRule>
  </conditionalFormatting>
  <conditionalFormatting sqref="O44">
    <cfRule type="expression" dxfId="1342" priority="579">
      <formula>OR($N44&lt;&gt;"",$O44&lt;&gt;"")</formula>
    </cfRule>
  </conditionalFormatting>
  <conditionalFormatting sqref="N45">
    <cfRule type="expression" dxfId="1341" priority="578">
      <formula>OR($N45&lt;&gt;"",$O45&lt;&gt;"")</formula>
    </cfRule>
  </conditionalFormatting>
  <conditionalFormatting sqref="O45">
    <cfRule type="expression" dxfId="1340" priority="577">
      <formula>OR($N45&lt;&gt;"",$O45&lt;&gt;"")</formula>
    </cfRule>
  </conditionalFormatting>
  <conditionalFormatting sqref="N46">
    <cfRule type="expression" dxfId="1339" priority="576">
      <formula>OR($N46&lt;&gt;"",$O46&lt;&gt;"")</formula>
    </cfRule>
  </conditionalFormatting>
  <conditionalFormatting sqref="O46">
    <cfRule type="expression" dxfId="1338" priority="575">
      <formula>OR($N46&lt;&gt;"",$O46&lt;&gt;"")</formula>
    </cfRule>
  </conditionalFormatting>
  <conditionalFormatting sqref="G7">
    <cfRule type="expression" dxfId="1337" priority="323" stopIfTrue="1">
      <formula>$G$4&lt;&gt;"PRACTICE"</formula>
    </cfRule>
    <cfRule type="expression" dxfId="1336" priority="324">
      <formula>AND($A7="clikt",$I7&lt;&gt;"GOOD")</formula>
    </cfRule>
    <cfRule type="expression" dxfId="1335" priority="325">
      <formula>$I7="GOOD"</formula>
    </cfRule>
  </conditionalFormatting>
  <conditionalFormatting sqref="H7">
    <cfRule type="expression" dxfId="1334" priority="320" stopIfTrue="1">
      <formula>$G$4&lt;&gt;"PRACTICE"</formula>
    </cfRule>
    <cfRule type="expression" dxfId="1333" priority="321">
      <formula>AND($A7="clikt",$I7&lt;&gt;"GOOD")</formula>
    </cfRule>
    <cfRule type="expression" dxfId="1332" priority="322">
      <formula>$I7="GOOD"</formula>
    </cfRule>
  </conditionalFormatting>
  <conditionalFormatting sqref="G8">
    <cfRule type="expression" dxfId="1331" priority="317" stopIfTrue="1">
      <formula>$G$4&lt;&gt;"PRACTICE"</formula>
    </cfRule>
    <cfRule type="expression" dxfId="1330" priority="318">
      <formula>AND($A8="clikt",$I8&lt;&gt;"GOOD")</formula>
    </cfRule>
    <cfRule type="expression" dxfId="1329" priority="319">
      <formula>$I8="GOOD"</formula>
    </cfRule>
  </conditionalFormatting>
  <conditionalFormatting sqref="H8">
    <cfRule type="expression" dxfId="1328" priority="314" stopIfTrue="1">
      <formula>$G$4&lt;&gt;"PRACTICE"</formula>
    </cfRule>
    <cfRule type="expression" dxfId="1327" priority="315">
      <formula>AND($A8="clikt",$I8&lt;&gt;"GOOD")</formula>
    </cfRule>
    <cfRule type="expression" dxfId="1326" priority="316">
      <formula>$I8="GOOD"</formula>
    </cfRule>
  </conditionalFormatting>
  <conditionalFormatting sqref="G9">
    <cfRule type="expression" dxfId="1325" priority="311" stopIfTrue="1">
      <formula>$G$4&lt;&gt;"PRACTICE"</formula>
    </cfRule>
    <cfRule type="expression" dxfId="1324" priority="312">
      <formula>AND($A9="clikt",$I9&lt;&gt;"GOOD")</formula>
    </cfRule>
    <cfRule type="expression" dxfId="1323" priority="313">
      <formula>$I9="GOOD"</formula>
    </cfRule>
  </conditionalFormatting>
  <conditionalFormatting sqref="G10">
    <cfRule type="expression" dxfId="1322" priority="308" stopIfTrue="1">
      <formula>$G$4&lt;&gt;"PRACTICE"</formula>
    </cfRule>
    <cfRule type="expression" dxfId="1321" priority="309">
      <formula>AND($A10="clikt",$I10&lt;&gt;"GOOD")</formula>
    </cfRule>
    <cfRule type="expression" dxfId="1320" priority="310">
      <formula>$I10="GOOD"</formula>
    </cfRule>
  </conditionalFormatting>
  <conditionalFormatting sqref="G11">
    <cfRule type="expression" dxfId="1319" priority="305" stopIfTrue="1">
      <formula>$G$4&lt;&gt;"PRACTICE"</formula>
    </cfRule>
    <cfRule type="expression" dxfId="1318" priority="306">
      <formula>AND($A11="clikt",$I11&lt;&gt;"GOOD")</formula>
    </cfRule>
    <cfRule type="expression" dxfId="1317" priority="307">
      <formula>$I11="GOOD"</formula>
    </cfRule>
  </conditionalFormatting>
  <conditionalFormatting sqref="G12">
    <cfRule type="expression" dxfId="1316" priority="302" stopIfTrue="1">
      <formula>$G$4&lt;&gt;"PRACTICE"</formula>
    </cfRule>
    <cfRule type="expression" dxfId="1315" priority="303">
      <formula>AND($A12="clikt",$I12&lt;&gt;"GOOD")</formula>
    </cfRule>
    <cfRule type="expression" dxfId="1314" priority="304">
      <formula>$I12="GOOD"</formula>
    </cfRule>
  </conditionalFormatting>
  <conditionalFormatting sqref="G13">
    <cfRule type="expression" dxfId="1313" priority="299" stopIfTrue="1">
      <formula>$G$4&lt;&gt;"PRACTICE"</formula>
    </cfRule>
    <cfRule type="expression" dxfId="1312" priority="300">
      <formula>AND($A13="clikt",$I13&lt;&gt;"GOOD")</formula>
    </cfRule>
    <cfRule type="expression" dxfId="1311" priority="301">
      <formula>$I13="GOOD"</formula>
    </cfRule>
  </conditionalFormatting>
  <conditionalFormatting sqref="G14">
    <cfRule type="expression" dxfId="1310" priority="296" stopIfTrue="1">
      <formula>$G$4&lt;&gt;"PRACTICE"</formula>
    </cfRule>
    <cfRule type="expression" dxfId="1309" priority="297">
      <formula>AND($A14="clikt",$I14&lt;&gt;"GOOD")</formula>
    </cfRule>
    <cfRule type="expression" dxfId="1308" priority="298">
      <formula>$I14="GOOD"</formula>
    </cfRule>
  </conditionalFormatting>
  <conditionalFormatting sqref="G15">
    <cfRule type="expression" dxfId="1307" priority="293" stopIfTrue="1">
      <formula>$G$4&lt;&gt;"PRACTICE"</formula>
    </cfRule>
    <cfRule type="expression" dxfId="1306" priority="294">
      <formula>AND($A15="clikt",$I15&lt;&gt;"GOOD")</formula>
    </cfRule>
    <cfRule type="expression" dxfId="1305" priority="295">
      <formula>$I15="GOOD"</formula>
    </cfRule>
  </conditionalFormatting>
  <conditionalFormatting sqref="G16">
    <cfRule type="expression" dxfId="1304" priority="290" stopIfTrue="1">
      <formula>$G$4&lt;&gt;"PRACTICE"</formula>
    </cfRule>
    <cfRule type="expression" dxfId="1303" priority="291">
      <formula>AND($A16="clikt",$I16&lt;&gt;"GOOD")</formula>
    </cfRule>
    <cfRule type="expression" dxfId="1302" priority="292">
      <formula>$I16="GOOD"</formula>
    </cfRule>
  </conditionalFormatting>
  <conditionalFormatting sqref="G17">
    <cfRule type="expression" dxfId="1301" priority="287" stopIfTrue="1">
      <formula>$G$4&lt;&gt;"PRACTICE"</formula>
    </cfRule>
    <cfRule type="expression" dxfId="1300" priority="288">
      <formula>AND($A17="clikt",$I17&lt;&gt;"GOOD")</formula>
    </cfRule>
    <cfRule type="expression" dxfId="1299" priority="289">
      <formula>$I17="GOOD"</formula>
    </cfRule>
  </conditionalFormatting>
  <conditionalFormatting sqref="G18">
    <cfRule type="expression" dxfId="1298" priority="284" stopIfTrue="1">
      <formula>$G$4&lt;&gt;"PRACTICE"</formula>
    </cfRule>
    <cfRule type="expression" dxfId="1297" priority="285">
      <formula>AND($A18="clikt",$I18&lt;&gt;"GOOD")</formula>
    </cfRule>
    <cfRule type="expression" dxfId="1296" priority="286">
      <formula>$I18="GOOD"</formula>
    </cfRule>
  </conditionalFormatting>
  <conditionalFormatting sqref="G19">
    <cfRule type="expression" dxfId="1295" priority="281" stopIfTrue="1">
      <formula>$G$4&lt;&gt;"PRACTICE"</formula>
    </cfRule>
    <cfRule type="expression" dxfId="1294" priority="282">
      <formula>AND($A19="clikt",$I19&lt;&gt;"GOOD")</formula>
    </cfRule>
    <cfRule type="expression" dxfId="1293" priority="283">
      <formula>$I19="GOOD"</formula>
    </cfRule>
  </conditionalFormatting>
  <conditionalFormatting sqref="G20">
    <cfRule type="expression" dxfId="1292" priority="278" stopIfTrue="1">
      <formula>$G$4&lt;&gt;"PRACTICE"</formula>
    </cfRule>
    <cfRule type="expression" dxfId="1291" priority="279">
      <formula>AND($A20="clikt",$I20&lt;&gt;"GOOD")</formula>
    </cfRule>
    <cfRule type="expression" dxfId="1290" priority="280">
      <formula>$I20="GOOD"</formula>
    </cfRule>
  </conditionalFormatting>
  <conditionalFormatting sqref="G21">
    <cfRule type="expression" dxfId="1289" priority="275" stopIfTrue="1">
      <formula>$G$4&lt;&gt;"PRACTICE"</formula>
    </cfRule>
    <cfRule type="expression" dxfId="1288" priority="276">
      <formula>AND($A21="clikt",$I21&lt;&gt;"GOOD")</formula>
    </cfRule>
    <cfRule type="expression" dxfId="1287" priority="277">
      <formula>$I21="GOOD"</formula>
    </cfRule>
  </conditionalFormatting>
  <conditionalFormatting sqref="G22">
    <cfRule type="expression" dxfId="1286" priority="272" stopIfTrue="1">
      <formula>$G$4&lt;&gt;"PRACTICE"</formula>
    </cfRule>
    <cfRule type="expression" dxfId="1285" priority="273">
      <formula>AND($A22="clikt",$I22&lt;&gt;"GOOD")</formula>
    </cfRule>
    <cfRule type="expression" dxfId="1284" priority="274">
      <formula>$I22="GOOD"</formula>
    </cfRule>
  </conditionalFormatting>
  <conditionalFormatting sqref="G23">
    <cfRule type="expression" dxfId="1283" priority="269" stopIfTrue="1">
      <formula>$G$4&lt;&gt;"PRACTICE"</formula>
    </cfRule>
    <cfRule type="expression" dxfId="1282" priority="270">
      <formula>AND($A23="clikt",$I23&lt;&gt;"GOOD")</formula>
    </cfRule>
    <cfRule type="expression" dxfId="1281" priority="271">
      <formula>$I23="GOOD"</formula>
    </cfRule>
  </conditionalFormatting>
  <conditionalFormatting sqref="G24">
    <cfRule type="expression" dxfId="1280" priority="266" stopIfTrue="1">
      <formula>$G$4&lt;&gt;"PRACTICE"</formula>
    </cfRule>
    <cfRule type="expression" dxfId="1279" priority="267">
      <formula>AND($A24="clikt",$I24&lt;&gt;"GOOD")</formula>
    </cfRule>
    <cfRule type="expression" dxfId="1278" priority="268">
      <formula>$I24="GOOD"</formula>
    </cfRule>
  </conditionalFormatting>
  <conditionalFormatting sqref="G25">
    <cfRule type="expression" dxfId="1277" priority="263" stopIfTrue="1">
      <formula>$G$4&lt;&gt;"PRACTICE"</formula>
    </cfRule>
    <cfRule type="expression" dxfId="1276" priority="264">
      <formula>AND($A25="clikt",$I25&lt;&gt;"GOOD")</formula>
    </cfRule>
    <cfRule type="expression" dxfId="1275" priority="265">
      <formula>$I25="GOOD"</formula>
    </cfRule>
  </conditionalFormatting>
  <conditionalFormatting sqref="G26">
    <cfRule type="expression" dxfId="1274" priority="260" stopIfTrue="1">
      <formula>$G$4&lt;&gt;"PRACTICE"</formula>
    </cfRule>
    <cfRule type="expression" dxfId="1273" priority="261">
      <formula>AND($A26="clikt",$I26&lt;&gt;"GOOD")</formula>
    </cfRule>
    <cfRule type="expression" dxfId="1272" priority="262">
      <formula>$I26="GOOD"</formula>
    </cfRule>
  </conditionalFormatting>
  <conditionalFormatting sqref="G27">
    <cfRule type="expression" dxfId="1271" priority="257" stopIfTrue="1">
      <formula>$G$4&lt;&gt;"PRACTICE"</formula>
    </cfRule>
    <cfRule type="expression" dxfId="1270" priority="258">
      <formula>AND($A27="clikt",$I27&lt;&gt;"GOOD")</formula>
    </cfRule>
    <cfRule type="expression" dxfId="1269" priority="259">
      <formula>$I27="GOOD"</formula>
    </cfRule>
  </conditionalFormatting>
  <conditionalFormatting sqref="G28">
    <cfRule type="expression" dxfId="1268" priority="254" stopIfTrue="1">
      <formula>$G$4&lt;&gt;"PRACTICE"</formula>
    </cfRule>
    <cfRule type="expression" dxfId="1267" priority="255">
      <formula>AND($A28="clikt",$I28&lt;&gt;"GOOD")</formula>
    </cfRule>
    <cfRule type="expression" dxfId="1266" priority="256">
      <formula>$I28="GOOD"</formula>
    </cfRule>
  </conditionalFormatting>
  <conditionalFormatting sqref="G29">
    <cfRule type="expression" dxfId="1265" priority="251" stopIfTrue="1">
      <formula>$G$4&lt;&gt;"PRACTICE"</formula>
    </cfRule>
    <cfRule type="expression" dxfId="1264" priority="252">
      <formula>AND($A29="clikt",$I29&lt;&gt;"GOOD")</formula>
    </cfRule>
    <cfRule type="expression" dxfId="1263" priority="253">
      <formula>$I29="GOOD"</formula>
    </cfRule>
  </conditionalFormatting>
  <conditionalFormatting sqref="G30">
    <cfRule type="expression" dxfId="1262" priority="248" stopIfTrue="1">
      <formula>$G$4&lt;&gt;"PRACTICE"</formula>
    </cfRule>
    <cfRule type="expression" dxfId="1261" priority="249">
      <formula>AND($A30="clikt",$I30&lt;&gt;"GOOD")</formula>
    </cfRule>
    <cfRule type="expression" dxfId="1260" priority="250">
      <formula>$I30="GOOD"</formula>
    </cfRule>
  </conditionalFormatting>
  <conditionalFormatting sqref="G31">
    <cfRule type="expression" dxfId="1259" priority="245" stopIfTrue="1">
      <formula>$G$4&lt;&gt;"PRACTICE"</formula>
    </cfRule>
    <cfRule type="expression" dxfId="1258" priority="246">
      <formula>AND($A31="clikt",$I31&lt;&gt;"GOOD")</formula>
    </cfRule>
    <cfRule type="expression" dxfId="1257" priority="247">
      <formula>$I31="GOOD"</formula>
    </cfRule>
  </conditionalFormatting>
  <conditionalFormatting sqref="G32">
    <cfRule type="expression" dxfId="1256" priority="242" stopIfTrue="1">
      <formula>$G$4&lt;&gt;"PRACTICE"</formula>
    </cfRule>
    <cfRule type="expression" dxfId="1255" priority="243">
      <formula>AND($A32="clikt",$I32&lt;&gt;"GOOD")</formula>
    </cfRule>
    <cfRule type="expression" dxfId="1254" priority="244">
      <formula>$I32="GOOD"</formula>
    </cfRule>
  </conditionalFormatting>
  <conditionalFormatting sqref="G33">
    <cfRule type="expression" dxfId="1253" priority="239" stopIfTrue="1">
      <formula>$G$4&lt;&gt;"PRACTICE"</formula>
    </cfRule>
    <cfRule type="expression" dxfId="1252" priority="240">
      <formula>AND($A33="clikt",$I33&lt;&gt;"GOOD")</formula>
    </cfRule>
    <cfRule type="expression" dxfId="1251" priority="241">
      <formula>$I33="GOOD"</formula>
    </cfRule>
  </conditionalFormatting>
  <conditionalFormatting sqref="G34">
    <cfRule type="expression" dxfId="1250" priority="236" stopIfTrue="1">
      <formula>$G$4&lt;&gt;"PRACTICE"</formula>
    </cfRule>
    <cfRule type="expression" dxfId="1249" priority="237">
      <formula>AND($A34="clikt",$I34&lt;&gt;"GOOD")</formula>
    </cfRule>
    <cfRule type="expression" dxfId="1248" priority="238">
      <formula>$I34="GOOD"</formula>
    </cfRule>
  </conditionalFormatting>
  <conditionalFormatting sqref="G35">
    <cfRule type="expression" dxfId="1247" priority="233" stopIfTrue="1">
      <formula>$G$4&lt;&gt;"PRACTICE"</formula>
    </cfRule>
    <cfRule type="expression" dxfId="1246" priority="234">
      <formula>AND($A35="clikt",$I35&lt;&gt;"GOOD")</formula>
    </cfRule>
    <cfRule type="expression" dxfId="1245" priority="235">
      <formula>$I35="GOOD"</formula>
    </cfRule>
  </conditionalFormatting>
  <conditionalFormatting sqref="G36">
    <cfRule type="expression" dxfId="1244" priority="230" stopIfTrue="1">
      <formula>$G$4&lt;&gt;"PRACTICE"</formula>
    </cfRule>
    <cfRule type="expression" dxfId="1243" priority="231">
      <formula>AND($A36="clikt",$I36&lt;&gt;"GOOD")</formula>
    </cfRule>
    <cfRule type="expression" dxfId="1242" priority="232">
      <formula>$I36="GOOD"</formula>
    </cfRule>
  </conditionalFormatting>
  <conditionalFormatting sqref="G37">
    <cfRule type="expression" dxfId="1241" priority="227" stopIfTrue="1">
      <formula>$G$4&lt;&gt;"PRACTICE"</formula>
    </cfRule>
    <cfRule type="expression" dxfId="1240" priority="228">
      <formula>AND($A37="clikt",$I37&lt;&gt;"GOOD")</formula>
    </cfRule>
    <cfRule type="expression" dxfId="1239" priority="229">
      <formula>$I37="GOOD"</formula>
    </cfRule>
  </conditionalFormatting>
  <conditionalFormatting sqref="G38">
    <cfRule type="expression" dxfId="1238" priority="224" stopIfTrue="1">
      <formula>$G$4&lt;&gt;"PRACTICE"</formula>
    </cfRule>
    <cfRule type="expression" dxfId="1237" priority="225">
      <formula>AND($A38="clikt",$I38&lt;&gt;"GOOD")</formula>
    </cfRule>
    <cfRule type="expression" dxfId="1236" priority="226">
      <formula>$I38="GOOD"</formula>
    </cfRule>
  </conditionalFormatting>
  <conditionalFormatting sqref="G39">
    <cfRule type="expression" dxfId="1235" priority="221" stopIfTrue="1">
      <formula>$G$4&lt;&gt;"PRACTICE"</formula>
    </cfRule>
    <cfRule type="expression" dxfId="1234" priority="222">
      <formula>AND($A39="clikt",$I39&lt;&gt;"GOOD")</formula>
    </cfRule>
    <cfRule type="expression" dxfId="1233" priority="223">
      <formula>$I39="GOOD"</formula>
    </cfRule>
  </conditionalFormatting>
  <conditionalFormatting sqref="G40">
    <cfRule type="expression" dxfId="1232" priority="218" stopIfTrue="1">
      <formula>$G$4&lt;&gt;"PRACTICE"</formula>
    </cfRule>
    <cfRule type="expression" dxfId="1231" priority="219">
      <formula>AND($A40="clikt",$I40&lt;&gt;"GOOD")</formula>
    </cfRule>
    <cfRule type="expression" dxfId="1230" priority="220">
      <formula>$I40="GOOD"</formula>
    </cfRule>
  </conditionalFormatting>
  <conditionalFormatting sqref="G41">
    <cfRule type="expression" dxfId="1229" priority="215" stopIfTrue="1">
      <formula>$G$4&lt;&gt;"PRACTICE"</formula>
    </cfRule>
    <cfRule type="expression" dxfId="1228" priority="216">
      <formula>AND($A41="clikt",$I41&lt;&gt;"GOOD")</formula>
    </cfRule>
    <cfRule type="expression" dxfId="1227" priority="217">
      <formula>$I41="GOOD"</formula>
    </cfRule>
  </conditionalFormatting>
  <conditionalFormatting sqref="G42">
    <cfRule type="expression" dxfId="1226" priority="212" stopIfTrue="1">
      <formula>$G$4&lt;&gt;"PRACTICE"</formula>
    </cfRule>
    <cfRule type="expression" dxfId="1225" priority="213">
      <formula>AND($A42="clikt",$I42&lt;&gt;"GOOD")</formula>
    </cfRule>
    <cfRule type="expression" dxfId="1224" priority="214">
      <formula>$I42="GOOD"</formula>
    </cfRule>
  </conditionalFormatting>
  <conditionalFormatting sqref="G43">
    <cfRule type="expression" dxfId="1223" priority="209" stopIfTrue="1">
      <formula>$G$4&lt;&gt;"PRACTICE"</formula>
    </cfRule>
    <cfRule type="expression" dxfId="1222" priority="210">
      <formula>AND($A43="clikt",$I43&lt;&gt;"GOOD")</formula>
    </cfRule>
    <cfRule type="expression" dxfId="1221" priority="211">
      <formula>$I43="GOOD"</formula>
    </cfRule>
  </conditionalFormatting>
  <conditionalFormatting sqref="G44">
    <cfRule type="expression" dxfId="1220" priority="206" stopIfTrue="1">
      <formula>$G$4&lt;&gt;"PRACTICE"</formula>
    </cfRule>
    <cfRule type="expression" dxfId="1219" priority="207">
      <formula>AND($A44="clikt",$I44&lt;&gt;"GOOD")</formula>
    </cfRule>
    <cfRule type="expression" dxfId="1218" priority="208">
      <formula>$I44="GOOD"</formula>
    </cfRule>
  </conditionalFormatting>
  <conditionalFormatting sqref="G45">
    <cfRule type="expression" dxfId="1217" priority="203" stopIfTrue="1">
      <formula>$G$4&lt;&gt;"PRACTICE"</formula>
    </cfRule>
    <cfRule type="expression" dxfId="1216" priority="204">
      <formula>AND($A45="clikt",$I45&lt;&gt;"GOOD")</formula>
    </cfRule>
    <cfRule type="expression" dxfId="1215" priority="205">
      <formula>$I45="GOOD"</formula>
    </cfRule>
  </conditionalFormatting>
  <conditionalFormatting sqref="G46">
    <cfRule type="expression" dxfId="1214" priority="200" stopIfTrue="1">
      <formula>$G$4&lt;&gt;"PRACTICE"</formula>
    </cfRule>
    <cfRule type="expression" dxfId="1213" priority="201">
      <formula>AND($A46="clikt",$I46&lt;&gt;"GOOD")</formula>
    </cfRule>
    <cfRule type="expression" dxfId="1212" priority="202">
      <formula>$I46="GOOD"</formula>
    </cfRule>
  </conditionalFormatting>
  <conditionalFormatting sqref="H9">
    <cfRule type="expression" dxfId="1211" priority="197" stopIfTrue="1">
      <formula>$G$4&lt;&gt;"PRACTICE"</formula>
    </cfRule>
    <cfRule type="expression" dxfId="1210" priority="198">
      <formula>AND($A9="clikt",$I9&lt;&gt;"GOOD")</formula>
    </cfRule>
    <cfRule type="expression" dxfId="1209" priority="199">
      <formula>$I9="GOOD"</formula>
    </cfRule>
  </conditionalFormatting>
  <conditionalFormatting sqref="H10">
    <cfRule type="expression" dxfId="1208" priority="194" stopIfTrue="1">
      <formula>$G$4&lt;&gt;"PRACTICE"</formula>
    </cfRule>
    <cfRule type="expression" dxfId="1207" priority="195">
      <formula>AND($A10="clikt",$I10&lt;&gt;"GOOD")</formula>
    </cfRule>
    <cfRule type="expression" dxfId="1206" priority="196">
      <formula>$I10="GOOD"</formula>
    </cfRule>
  </conditionalFormatting>
  <conditionalFormatting sqref="H11">
    <cfRule type="expression" dxfId="1205" priority="191" stopIfTrue="1">
      <formula>$G$4&lt;&gt;"PRACTICE"</formula>
    </cfRule>
    <cfRule type="expression" dxfId="1204" priority="192">
      <formula>AND($A11="clikt",$I11&lt;&gt;"GOOD")</formula>
    </cfRule>
    <cfRule type="expression" dxfId="1203" priority="193">
      <formula>$I11="GOOD"</formula>
    </cfRule>
  </conditionalFormatting>
  <conditionalFormatting sqref="H12">
    <cfRule type="expression" dxfId="1202" priority="188" stopIfTrue="1">
      <formula>$G$4&lt;&gt;"PRACTICE"</formula>
    </cfRule>
    <cfRule type="expression" dxfId="1201" priority="189">
      <formula>AND($A12="clikt",$I12&lt;&gt;"GOOD")</formula>
    </cfRule>
    <cfRule type="expression" dxfId="1200" priority="190">
      <formula>$I12="GOOD"</formula>
    </cfRule>
  </conditionalFormatting>
  <conditionalFormatting sqref="H13">
    <cfRule type="expression" dxfId="1199" priority="185" stopIfTrue="1">
      <formula>$G$4&lt;&gt;"PRACTICE"</formula>
    </cfRule>
    <cfRule type="expression" dxfId="1198" priority="186">
      <formula>AND($A13="clikt",$I13&lt;&gt;"GOOD")</formula>
    </cfRule>
    <cfRule type="expression" dxfId="1197" priority="187">
      <formula>$I13="GOOD"</formula>
    </cfRule>
  </conditionalFormatting>
  <conditionalFormatting sqref="H14">
    <cfRule type="expression" dxfId="1196" priority="182" stopIfTrue="1">
      <formula>$G$4&lt;&gt;"PRACTICE"</formula>
    </cfRule>
    <cfRule type="expression" dxfId="1195" priority="183">
      <formula>AND($A14="clikt",$I14&lt;&gt;"GOOD")</formula>
    </cfRule>
    <cfRule type="expression" dxfId="1194" priority="184">
      <formula>$I14="GOOD"</formula>
    </cfRule>
  </conditionalFormatting>
  <conditionalFormatting sqref="H15">
    <cfRule type="expression" dxfId="1193" priority="179" stopIfTrue="1">
      <formula>$G$4&lt;&gt;"PRACTICE"</formula>
    </cfRule>
    <cfRule type="expression" dxfId="1192" priority="180">
      <formula>AND($A15="clikt",$I15&lt;&gt;"GOOD")</formula>
    </cfRule>
    <cfRule type="expression" dxfId="1191" priority="181">
      <formula>$I15="GOOD"</formula>
    </cfRule>
  </conditionalFormatting>
  <conditionalFormatting sqref="H16">
    <cfRule type="expression" dxfId="1190" priority="176" stopIfTrue="1">
      <formula>$G$4&lt;&gt;"PRACTICE"</formula>
    </cfRule>
    <cfRule type="expression" dxfId="1189" priority="177">
      <formula>AND($A16="clikt",$I16&lt;&gt;"GOOD")</formula>
    </cfRule>
    <cfRule type="expression" dxfId="1188" priority="178">
      <formula>$I16="GOOD"</formula>
    </cfRule>
  </conditionalFormatting>
  <conditionalFormatting sqref="H17">
    <cfRule type="expression" dxfId="1187" priority="173" stopIfTrue="1">
      <formula>$G$4&lt;&gt;"PRACTICE"</formula>
    </cfRule>
    <cfRule type="expression" dxfId="1186" priority="174">
      <formula>AND($A17="clikt",$I17&lt;&gt;"GOOD")</formula>
    </cfRule>
    <cfRule type="expression" dxfId="1185" priority="175">
      <formula>$I17="GOOD"</formula>
    </cfRule>
  </conditionalFormatting>
  <conditionalFormatting sqref="H18">
    <cfRule type="expression" dxfId="1184" priority="170" stopIfTrue="1">
      <formula>$G$4&lt;&gt;"PRACTICE"</formula>
    </cfRule>
    <cfRule type="expression" dxfId="1183" priority="171">
      <formula>AND($A18="clikt",$I18&lt;&gt;"GOOD")</formula>
    </cfRule>
    <cfRule type="expression" dxfId="1182" priority="172">
      <formula>$I18="GOOD"</formula>
    </cfRule>
  </conditionalFormatting>
  <conditionalFormatting sqref="H19">
    <cfRule type="expression" dxfId="1181" priority="167" stopIfTrue="1">
      <formula>$G$4&lt;&gt;"PRACTICE"</formula>
    </cfRule>
    <cfRule type="expression" dxfId="1180" priority="168">
      <formula>AND($A19="clikt",$I19&lt;&gt;"GOOD")</formula>
    </cfRule>
    <cfRule type="expression" dxfId="1179" priority="169">
      <formula>$I19="GOOD"</formula>
    </cfRule>
  </conditionalFormatting>
  <conditionalFormatting sqref="H20">
    <cfRule type="expression" dxfId="1178" priority="164" stopIfTrue="1">
      <formula>$G$4&lt;&gt;"PRACTICE"</formula>
    </cfRule>
    <cfRule type="expression" dxfId="1177" priority="165">
      <formula>AND($A20="clikt",$I20&lt;&gt;"GOOD")</formula>
    </cfRule>
    <cfRule type="expression" dxfId="1176" priority="166">
      <formula>$I20="GOOD"</formula>
    </cfRule>
  </conditionalFormatting>
  <conditionalFormatting sqref="H21">
    <cfRule type="expression" dxfId="1175" priority="161" stopIfTrue="1">
      <formula>$G$4&lt;&gt;"PRACTICE"</formula>
    </cfRule>
    <cfRule type="expression" dxfId="1174" priority="162">
      <formula>AND($A21="clikt",$I21&lt;&gt;"GOOD")</formula>
    </cfRule>
    <cfRule type="expression" dxfId="1173" priority="163">
      <formula>$I21="GOOD"</formula>
    </cfRule>
  </conditionalFormatting>
  <conditionalFormatting sqref="H22">
    <cfRule type="expression" dxfId="1172" priority="158" stopIfTrue="1">
      <formula>$G$4&lt;&gt;"PRACTICE"</formula>
    </cfRule>
    <cfRule type="expression" dxfId="1171" priority="159">
      <formula>AND($A22="clikt",$I22&lt;&gt;"GOOD")</formula>
    </cfRule>
    <cfRule type="expression" dxfId="1170" priority="160">
      <formula>$I22="GOOD"</formula>
    </cfRule>
  </conditionalFormatting>
  <conditionalFormatting sqref="H23">
    <cfRule type="expression" dxfId="1169" priority="155" stopIfTrue="1">
      <formula>$G$4&lt;&gt;"PRACTICE"</formula>
    </cfRule>
    <cfRule type="expression" dxfId="1168" priority="156">
      <formula>AND($A23="clikt",$I23&lt;&gt;"GOOD")</formula>
    </cfRule>
    <cfRule type="expression" dxfId="1167" priority="157">
      <formula>$I23="GOOD"</formula>
    </cfRule>
  </conditionalFormatting>
  <conditionalFormatting sqref="H24">
    <cfRule type="expression" dxfId="1166" priority="152" stopIfTrue="1">
      <formula>$G$4&lt;&gt;"PRACTICE"</formula>
    </cfRule>
    <cfRule type="expression" dxfId="1165" priority="153">
      <formula>AND($A24="clikt",$I24&lt;&gt;"GOOD")</formula>
    </cfRule>
    <cfRule type="expression" dxfId="1164" priority="154">
      <formula>$I24="GOOD"</formula>
    </cfRule>
  </conditionalFormatting>
  <conditionalFormatting sqref="H25">
    <cfRule type="expression" dxfId="1163" priority="149" stopIfTrue="1">
      <formula>$G$4&lt;&gt;"PRACTICE"</formula>
    </cfRule>
    <cfRule type="expression" dxfId="1162" priority="150">
      <formula>AND($A25="clikt",$I25&lt;&gt;"GOOD")</formula>
    </cfRule>
    <cfRule type="expression" dxfId="1161" priority="151">
      <formula>$I25="GOOD"</formula>
    </cfRule>
  </conditionalFormatting>
  <conditionalFormatting sqref="H26">
    <cfRule type="expression" dxfId="1160" priority="146" stopIfTrue="1">
      <formula>$G$4&lt;&gt;"PRACTICE"</formula>
    </cfRule>
    <cfRule type="expression" dxfId="1159" priority="147">
      <formula>AND($A26="clikt",$I26&lt;&gt;"GOOD")</formula>
    </cfRule>
    <cfRule type="expression" dxfId="1158" priority="148">
      <formula>$I26="GOOD"</formula>
    </cfRule>
  </conditionalFormatting>
  <conditionalFormatting sqref="H27">
    <cfRule type="expression" dxfId="1157" priority="143" stopIfTrue="1">
      <formula>$G$4&lt;&gt;"PRACTICE"</formula>
    </cfRule>
    <cfRule type="expression" dxfId="1156" priority="144">
      <formula>AND($A27="clikt",$I27&lt;&gt;"GOOD")</formula>
    </cfRule>
    <cfRule type="expression" dxfId="1155" priority="145">
      <formula>$I27="GOOD"</formula>
    </cfRule>
  </conditionalFormatting>
  <conditionalFormatting sqref="H28">
    <cfRule type="expression" dxfId="1154" priority="140" stopIfTrue="1">
      <formula>$G$4&lt;&gt;"PRACTICE"</formula>
    </cfRule>
    <cfRule type="expression" dxfId="1153" priority="141">
      <formula>AND($A28="clikt",$I28&lt;&gt;"GOOD")</formula>
    </cfRule>
    <cfRule type="expression" dxfId="1152" priority="142">
      <formula>$I28="GOOD"</formula>
    </cfRule>
  </conditionalFormatting>
  <conditionalFormatting sqref="H29">
    <cfRule type="expression" dxfId="1151" priority="137" stopIfTrue="1">
      <formula>$G$4&lt;&gt;"PRACTICE"</formula>
    </cfRule>
    <cfRule type="expression" dxfId="1150" priority="138">
      <formula>AND($A29="clikt",$I29&lt;&gt;"GOOD")</formula>
    </cfRule>
    <cfRule type="expression" dxfId="1149" priority="139">
      <formula>$I29="GOOD"</formula>
    </cfRule>
  </conditionalFormatting>
  <conditionalFormatting sqref="H30">
    <cfRule type="expression" dxfId="1148" priority="134" stopIfTrue="1">
      <formula>$G$4&lt;&gt;"PRACTICE"</formula>
    </cfRule>
    <cfRule type="expression" dxfId="1147" priority="135">
      <formula>AND($A30="clikt",$I30&lt;&gt;"GOOD")</formula>
    </cfRule>
    <cfRule type="expression" dxfId="1146" priority="136">
      <formula>$I30="GOOD"</formula>
    </cfRule>
  </conditionalFormatting>
  <conditionalFormatting sqref="H31">
    <cfRule type="expression" dxfId="1145" priority="131" stopIfTrue="1">
      <formula>$G$4&lt;&gt;"PRACTICE"</formula>
    </cfRule>
    <cfRule type="expression" dxfId="1144" priority="132">
      <formula>AND($A31="clikt",$I31&lt;&gt;"GOOD")</formula>
    </cfRule>
    <cfRule type="expression" dxfId="1143" priority="133">
      <formula>$I31="GOOD"</formula>
    </cfRule>
  </conditionalFormatting>
  <conditionalFormatting sqref="H32">
    <cfRule type="expression" dxfId="1142" priority="128" stopIfTrue="1">
      <formula>$G$4&lt;&gt;"PRACTICE"</formula>
    </cfRule>
    <cfRule type="expression" dxfId="1141" priority="129">
      <formula>AND($A32="clikt",$I32&lt;&gt;"GOOD")</formula>
    </cfRule>
    <cfRule type="expression" dxfId="1140" priority="130">
      <formula>$I32="GOOD"</formula>
    </cfRule>
  </conditionalFormatting>
  <conditionalFormatting sqref="H33">
    <cfRule type="expression" dxfId="1139" priority="125" stopIfTrue="1">
      <formula>$G$4&lt;&gt;"PRACTICE"</formula>
    </cfRule>
    <cfRule type="expression" dxfId="1138" priority="126">
      <formula>AND($A33="clikt",$I33&lt;&gt;"GOOD")</formula>
    </cfRule>
    <cfRule type="expression" dxfId="1137" priority="127">
      <formula>$I33="GOOD"</formula>
    </cfRule>
  </conditionalFormatting>
  <conditionalFormatting sqref="H34">
    <cfRule type="expression" dxfId="1136" priority="122" stopIfTrue="1">
      <formula>$G$4&lt;&gt;"PRACTICE"</formula>
    </cfRule>
    <cfRule type="expression" dxfId="1135" priority="123">
      <formula>AND($A34="clikt",$I34&lt;&gt;"GOOD")</formula>
    </cfRule>
    <cfRule type="expression" dxfId="1134" priority="124">
      <formula>$I34="GOOD"</formula>
    </cfRule>
  </conditionalFormatting>
  <conditionalFormatting sqref="H35">
    <cfRule type="expression" dxfId="1133" priority="119" stopIfTrue="1">
      <formula>$G$4&lt;&gt;"PRACTICE"</formula>
    </cfRule>
    <cfRule type="expression" dxfId="1132" priority="120">
      <formula>AND($A35="clikt",$I35&lt;&gt;"GOOD")</formula>
    </cfRule>
    <cfRule type="expression" dxfId="1131" priority="121">
      <formula>$I35="GOOD"</formula>
    </cfRule>
  </conditionalFormatting>
  <conditionalFormatting sqref="H36">
    <cfRule type="expression" dxfId="1130" priority="116" stopIfTrue="1">
      <formula>$G$4&lt;&gt;"PRACTICE"</formula>
    </cfRule>
    <cfRule type="expression" dxfId="1129" priority="117">
      <formula>AND($A36="clikt",$I36&lt;&gt;"GOOD")</formula>
    </cfRule>
    <cfRule type="expression" dxfId="1128" priority="118">
      <formula>$I36="GOOD"</formula>
    </cfRule>
  </conditionalFormatting>
  <conditionalFormatting sqref="H37">
    <cfRule type="expression" dxfId="1127" priority="113" stopIfTrue="1">
      <formula>$G$4&lt;&gt;"PRACTICE"</formula>
    </cfRule>
    <cfRule type="expression" dxfId="1126" priority="114">
      <formula>AND($A37="clikt",$I37&lt;&gt;"GOOD")</formula>
    </cfRule>
    <cfRule type="expression" dxfId="1125" priority="115">
      <formula>$I37="GOOD"</formula>
    </cfRule>
  </conditionalFormatting>
  <conditionalFormatting sqref="H38">
    <cfRule type="expression" dxfId="1124" priority="110" stopIfTrue="1">
      <formula>$G$4&lt;&gt;"PRACTICE"</formula>
    </cfRule>
    <cfRule type="expression" dxfId="1123" priority="111">
      <formula>AND($A38="clikt",$I38&lt;&gt;"GOOD")</formula>
    </cfRule>
    <cfRule type="expression" dxfId="1122" priority="112">
      <formula>$I38="GOOD"</formula>
    </cfRule>
  </conditionalFormatting>
  <conditionalFormatting sqref="H39">
    <cfRule type="expression" dxfId="1121" priority="107" stopIfTrue="1">
      <formula>$G$4&lt;&gt;"PRACTICE"</formula>
    </cfRule>
    <cfRule type="expression" dxfId="1120" priority="108">
      <formula>AND($A39="clikt",$I39&lt;&gt;"GOOD")</formula>
    </cfRule>
    <cfRule type="expression" dxfId="1119" priority="109">
      <formula>$I39="GOOD"</formula>
    </cfRule>
  </conditionalFormatting>
  <conditionalFormatting sqref="H40">
    <cfRule type="expression" dxfId="1118" priority="104" stopIfTrue="1">
      <formula>$G$4&lt;&gt;"PRACTICE"</formula>
    </cfRule>
    <cfRule type="expression" dxfId="1117" priority="105">
      <formula>AND($A40="clikt",$I40&lt;&gt;"GOOD")</formula>
    </cfRule>
    <cfRule type="expression" dxfId="1116" priority="106">
      <formula>$I40="GOOD"</formula>
    </cfRule>
  </conditionalFormatting>
  <conditionalFormatting sqref="H41">
    <cfRule type="expression" dxfId="1115" priority="101" stopIfTrue="1">
      <formula>$G$4&lt;&gt;"PRACTICE"</formula>
    </cfRule>
    <cfRule type="expression" dxfId="1114" priority="102">
      <formula>AND($A41="clikt",$I41&lt;&gt;"GOOD")</formula>
    </cfRule>
    <cfRule type="expression" dxfId="1113" priority="103">
      <formula>$I41="GOOD"</formula>
    </cfRule>
  </conditionalFormatting>
  <conditionalFormatting sqref="H42">
    <cfRule type="expression" dxfId="1112" priority="98" stopIfTrue="1">
      <formula>$G$4&lt;&gt;"PRACTICE"</formula>
    </cfRule>
    <cfRule type="expression" dxfId="1111" priority="99">
      <formula>AND($A42="clikt",$I42&lt;&gt;"GOOD")</formula>
    </cfRule>
    <cfRule type="expression" dxfId="1110" priority="100">
      <formula>$I42="GOOD"</formula>
    </cfRule>
  </conditionalFormatting>
  <conditionalFormatting sqref="H43">
    <cfRule type="expression" dxfId="1109" priority="95" stopIfTrue="1">
      <formula>$G$4&lt;&gt;"PRACTICE"</formula>
    </cfRule>
    <cfRule type="expression" dxfId="1108" priority="96">
      <formula>AND($A43="clikt",$I43&lt;&gt;"GOOD")</formula>
    </cfRule>
    <cfRule type="expression" dxfId="1107" priority="97">
      <formula>$I43="GOOD"</formula>
    </cfRule>
  </conditionalFormatting>
  <conditionalFormatting sqref="H44">
    <cfRule type="expression" dxfId="1106" priority="92" stopIfTrue="1">
      <formula>$G$4&lt;&gt;"PRACTICE"</formula>
    </cfRule>
    <cfRule type="expression" dxfId="1105" priority="93">
      <formula>AND($A44="clikt",$I44&lt;&gt;"GOOD")</formula>
    </cfRule>
    <cfRule type="expression" dxfId="1104" priority="94">
      <formula>$I44="GOOD"</formula>
    </cfRule>
  </conditionalFormatting>
  <conditionalFormatting sqref="H45">
    <cfRule type="expression" dxfId="1103" priority="89" stopIfTrue="1">
      <formula>$G$4&lt;&gt;"PRACTICE"</formula>
    </cfRule>
    <cfRule type="expression" dxfId="1102" priority="90">
      <formula>AND($A45="clikt",$I45&lt;&gt;"GOOD")</formula>
    </cfRule>
    <cfRule type="expression" dxfId="1101" priority="91">
      <formula>$I45="GOOD"</formula>
    </cfRule>
  </conditionalFormatting>
  <conditionalFormatting sqref="H46">
    <cfRule type="expression" dxfId="1100" priority="86" stopIfTrue="1">
      <formula>$G$4&lt;&gt;"PRACTICE"</formula>
    </cfRule>
    <cfRule type="expression" dxfId="1099" priority="87">
      <formula>AND($A46="clikt",$I46&lt;&gt;"GOOD")</formula>
    </cfRule>
    <cfRule type="expression" dxfId="1098" priority="88">
      <formula>$I46="GOOD"</formula>
    </cfRule>
  </conditionalFormatting>
  <conditionalFormatting sqref="P47">
    <cfRule type="expression" dxfId="1097" priority="83">
      <formula>AND($N$4="TEST",$M$47&gt;0)</formula>
    </cfRule>
  </conditionalFormatting>
  <conditionalFormatting sqref="I7">
    <cfRule type="expression" dxfId="1096" priority="81" stopIfTrue="1">
      <formula>"$O$4=""TEST"""</formula>
    </cfRule>
    <cfRule type="expression" dxfId="1095" priority="82">
      <formula>"And($O$4&lt;&gt;""TEST"",J7=""GOOD"")"</formula>
    </cfRule>
  </conditionalFormatting>
  <conditionalFormatting sqref="I46">
    <cfRule type="expression" dxfId="1094" priority="1" stopIfTrue="1">
      <formula>"$O$4=""TEST"""</formula>
    </cfRule>
    <cfRule type="expression" dxfId="1093" priority="2">
      <formula>"And($O$4&lt;&gt;""TEST"",J7=""GOOD"")"</formula>
    </cfRule>
  </conditionalFormatting>
  <conditionalFormatting sqref="I8">
    <cfRule type="expression" dxfId="1092" priority="77" stopIfTrue="1">
      <formula>"$O$4=""TEST"""</formula>
    </cfRule>
    <cfRule type="expression" dxfId="1091" priority="78">
      <formula>"And($O$4&lt;&gt;""TEST"",J7=""GOOD"")"</formula>
    </cfRule>
  </conditionalFormatting>
  <conditionalFormatting sqref="I9">
    <cfRule type="expression" dxfId="1090" priority="75" stopIfTrue="1">
      <formula>"$O$4=""TEST"""</formula>
    </cfRule>
    <cfRule type="expression" dxfId="1089" priority="76">
      <formula>"And($O$4&lt;&gt;""TEST"",J7=""GOOD"")"</formula>
    </cfRule>
  </conditionalFormatting>
  <conditionalFormatting sqref="I10">
    <cfRule type="expression" dxfId="1088" priority="73" stopIfTrue="1">
      <formula>"$O$4=""TEST"""</formula>
    </cfRule>
    <cfRule type="expression" dxfId="1087" priority="74">
      <formula>"And($O$4&lt;&gt;""TEST"",J7=""GOOD"")"</formula>
    </cfRule>
  </conditionalFormatting>
  <conditionalFormatting sqref="I11">
    <cfRule type="expression" dxfId="1086" priority="71" stopIfTrue="1">
      <formula>"$O$4=""TEST"""</formula>
    </cfRule>
    <cfRule type="expression" dxfId="1085" priority="72">
      <formula>"And($O$4&lt;&gt;""TEST"",J7=""GOOD"")"</formula>
    </cfRule>
  </conditionalFormatting>
  <conditionalFormatting sqref="I12">
    <cfRule type="expression" dxfId="1084" priority="69" stopIfTrue="1">
      <formula>"$O$4=""TEST"""</formula>
    </cfRule>
    <cfRule type="expression" dxfId="1083" priority="70">
      <formula>"And($O$4&lt;&gt;""TEST"",J7=""GOOD"")"</formula>
    </cfRule>
  </conditionalFormatting>
  <conditionalFormatting sqref="I13">
    <cfRule type="expression" dxfId="1082" priority="67" stopIfTrue="1">
      <formula>"$O$4=""TEST"""</formula>
    </cfRule>
    <cfRule type="expression" dxfId="1081" priority="68">
      <formula>"And($O$4&lt;&gt;""TEST"",J7=""GOOD"")"</formula>
    </cfRule>
  </conditionalFormatting>
  <conditionalFormatting sqref="I14">
    <cfRule type="expression" dxfId="1080" priority="65" stopIfTrue="1">
      <formula>"$O$4=""TEST"""</formula>
    </cfRule>
    <cfRule type="expression" dxfId="1079" priority="66">
      <formula>"And($O$4&lt;&gt;""TEST"",J7=""GOOD"")"</formula>
    </cfRule>
  </conditionalFormatting>
  <conditionalFormatting sqref="I15">
    <cfRule type="expression" dxfId="1078" priority="63" stopIfTrue="1">
      <formula>"$O$4=""TEST"""</formula>
    </cfRule>
    <cfRule type="expression" dxfId="1077" priority="64">
      <formula>"And($O$4&lt;&gt;""TEST"",J7=""GOOD"")"</formula>
    </cfRule>
  </conditionalFormatting>
  <conditionalFormatting sqref="I16">
    <cfRule type="expression" dxfId="1076" priority="61" stopIfTrue="1">
      <formula>"$O$4=""TEST"""</formula>
    </cfRule>
    <cfRule type="expression" dxfId="1075" priority="62">
      <formula>"And($O$4&lt;&gt;""TEST"",J7=""GOOD"")"</formula>
    </cfRule>
  </conditionalFormatting>
  <conditionalFormatting sqref="I17">
    <cfRule type="expression" dxfId="1074" priority="59" stopIfTrue="1">
      <formula>"$O$4=""TEST"""</formula>
    </cfRule>
    <cfRule type="expression" dxfId="1073" priority="60">
      <formula>"And($O$4&lt;&gt;""TEST"",J7=""GOOD"")"</formula>
    </cfRule>
  </conditionalFormatting>
  <conditionalFormatting sqref="I18">
    <cfRule type="expression" dxfId="1072" priority="57" stopIfTrue="1">
      <formula>"$O$4=""TEST"""</formula>
    </cfRule>
    <cfRule type="expression" dxfId="1071" priority="58">
      <formula>"And($O$4&lt;&gt;""TEST"",J7=""GOOD"")"</formula>
    </cfRule>
  </conditionalFormatting>
  <conditionalFormatting sqref="I19">
    <cfRule type="expression" dxfId="1070" priority="55" stopIfTrue="1">
      <formula>"$O$4=""TEST"""</formula>
    </cfRule>
    <cfRule type="expression" dxfId="1069" priority="56">
      <formula>"And($O$4&lt;&gt;""TEST"",J7=""GOOD"")"</formula>
    </cfRule>
  </conditionalFormatting>
  <conditionalFormatting sqref="I20">
    <cfRule type="expression" dxfId="1068" priority="53" stopIfTrue="1">
      <formula>"$O$4=""TEST"""</formula>
    </cfRule>
    <cfRule type="expression" dxfId="1067" priority="54">
      <formula>"And($O$4&lt;&gt;""TEST"",J7=""GOOD"")"</formula>
    </cfRule>
  </conditionalFormatting>
  <conditionalFormatting sqref="I21">
    <cfRule type="expression" dxfId="1066" priority="51" stopIfTrue="1">
      <formula>"$O$4=""TEST"""</formula>
    </cfRule>
    <cfRule type="expression" dxfId="1065" priority="52">
      <formula>"And($O$4&lt;&gt;""TEST"",J7=""GOOD"")"</formula>
    </cfRule>
  </conditionalFormatting>
  <conditionalFormatting sqref="I22">
    <cfRule type="expression" dxfId="1064" priority="49" stopIfTrue="1">
      <formula>"$O$4=""TEST"""</formula>
    </cfRule>
    <cfRule type="expression" dxfId="1063" priority="50">
      <formula>"And($O$4&lt;&gt;""TEST"",J7=""GOOD"")"</formula>
    </cfRule>
  </conditionalFormatting>
  <conditionalFormatting sqref="I23">
    <cfRule type="expression" dxfId="1062" priority="47" stopIfTrue="1">
      <formula>"$O$4=""TEST"""</formula>
    </cfRule>
    <cfRule type="expression" dxfId="1061" priority="48">
      <formula>"And($O$4&lt;&gt;""TEST"",J7=""GOOD"")"</formula>
    </cfRule>
  </conditionalFormatting>
  <conditionalFormatting sqref="I24">
    <cfRule type="expression" dxfId="1060" priority="45" stopIfTrue="1">
      <formula>"$O$4=""TEST"""</formula>
    </cfRule>
    <cfRule type="expression" dxfId="1059" priority="46">
      <formula>"And($O$4&lt;&gt;""TEST"",J7=""GOOD"")"</formula>
    </cfRule>
  </conditionalFormatting>
  <conditionalFormatting sqref="I25">
    <cfRule type="expression" dxfId="1058" priority="43" stopIfTrue="1">
      <formula>"$O$4=""TEST"""</formula>
    </cfRule>
    <cfRule type="expression" dxfId="1057" priority="44">
      <formula>"And($O$4&lt;&gt;""TEST"",J7=""GOOD"")"</formula>
    </cfRule>
  </conditionalFormatting>
  <conditionalFormatting sqref="I26">
    <cfRule type="expression" dxfId="1056" priority="41" stopIfTrue="1">
      <formula>"$O$4=""TEST"""</formula>
    </cfRule>
    <cfRule type="expression" dxfId="1055" priority="42">
      <formula>"And($O$4&lt;&gt;""TEST"",J7=""GOOD"")"</formula>
    </cfRule>
  </conditionalFormatting>
  <conditionalFormatting sqref="I27">
    <cfRule type="expression" dxfId="1054" priority="39" stopIfTrue="1">
      <formula>"$O$4=""TEST"""</formula>
    </cfRule>
    <cfRule type="expression" dxfId="1053" priority="40">
      <formula>"And($O$4&lt;&gt;""TEST"",J7=""GOOD"")"</formula>
    </cfRule>
  </conditionalFormatting>
  <conditionalFormatting sqref="I28">
    <cfRule type="expression" dxfId="1052" priority="37" stopIfTrue="1">
      <formula>"$O$4=""TEST"""</formula>
    </cfRule>
    <cfRule type="expression" dxfId="1051" priority="38">
      <formula>"And($O$4&lt;&gt;""TEST"",J7=""GOOD"")"</formula>
    </cfRule>
  </conditionalFormatting>
  <conditionalFormatting sqref="I29">
    <cfRule type="expression" dxfId="1050" priority="35" stopIfTrue="1">
      <formula>"$O$4=""TEST"""</formula>
    </cfRule>
    <cfRule type="expression" dxfId="1049" priority="36">
      <formula>"And($O$4&lt;&gt;""TEST"",J7=""GOOD"")"</formula>
    </cfRule>
  </conditionalFormatting>
  <conditionalFormatting sqref="I30">
    <cfRule type="expression" dxfId="1048" priority="33" stopIfTrue="1">
      <formula>"$O$4=""TEST"""</formula>
    </cfRule>
    <cfRule type="expression" dxfId="1047" priority="34">
      <formula>"And($O$4&lt;&gt;""TEST"",J7=""GOOD"")"</formula>
    </cfRule>
  </conditionalFormatting>
  <conditionalFormatting sqref="I31">
    <cfRule type="expression" dxfId="1046" priority="31" stopIfTrue="1">
      <formula>"$O$4=""TEST"""</formula>
    </cfRule>
    <cfRule type="expression" dxfId="1045" priority="32">
      <formula>"And($O$4&lt;&gt;""TEST"",J7=""GOOD"")"</formula>
    </cfRule>
  </conditionalFormatting>
  <conditionalFormatting sqref="I32">
    <cfRule type="expression" dxfId="1044" priority="29" stopIfTrue="1">
      <formula>"$O$4=""TEST"""</formula>
    </cfRule>
    <cfRule type="expression" dxfId="1043" priority="30">
      <formula>"And($O$4&lt;&gt;""TEST"",J7=""GOOD"")"</formula>
    </cfRule>
  </conditionalFormatting>
  <conditionalFormatting sqref="I33">
    <cfRule type="expression" dxfId="1042" priority="27" stopIfTrue="1">
      <formula>"$O$4=""TEST"""</formula>
    </cfRule>
    <cfRule type="expression" dxfId="1041" priority="28">
      <formula>"And($O$4&lt;&gt;""TEST"",J7=""GOOD"")"</formula>
    </cfRule>
  </conditionalFormatting>
  <conditionalFormatting sqref="I34">
    <cfRule type="expression" dxfId="1040" priority="25" stopIfTrue="1">
      <formula>"$O$4=""TEST"""</formula>
    </cfRule>
    <cfRule type="expression" dxfId="1039" priority="26">
      <formula>"And($O$4&lt;&gt;""TEST"",J7=""GOOD"")"</formula>
    </cfRule>
  </conditionalFormatting>
  <conditionalFormatting sqref="I35">
    <cfRule type="expression" dxfId="1038" priority="23" stopIfTrue="1">
      <formula>"$O$4=""TEST"""</formula>
    </cfRule>
    <cfRule type="expression" dxfId="1037" priority="24">
      <formula>"And($O$4&lt;&gt;""TEST"",J7=""GOOD"")"</formula>
    </cfRule>
  </conditionalFormatting>
  <conditionalFormatting sqref="I36">
    <cfRule type="expression" dxfId="1036" priority="21" stopIfTrue="1">
      <formula>"$O$4=""TEST"""</formula>
    </cfRule>
    <cfRule type="expression" dxfId="1035" priority="22">
      <formula>"And($O$4&lt;&gt;""TEST"",J7=""GOOD"")"</formula>
    </cfRule>
  </conditionalFormatting>
  <conditionalFormatting sqref="I37">
    <cfRule type="expression" dxfId="1034" priority="19" stopIfTrue="1">
      <formula>"$O$4=""TEST"""</formula>
    </cfRule>
    <cfRule type="expression" dxfId="1033" priority="20">
      <formula>"And($O$4&lt;&gt;""TEST"",J7=""GOOD"")"</formula>
    </cfRule>
  </conditionalFormatting>
  <conditionalFormatting sqref="I38">
    <cfRule type="expression" dxfId="1032" priority="17" stopIfTrue="1">
      <formula>"$O$4=""TEST"""</formula>
    </cfRule>
    <cfRule type="expression" dxfId="1031" priority="18">
      <formula>"And($O$4&lt;&gt;""TEST"",J7=""GOOD"")"</formula>
    </cfRule>
  </conditionalFormatting>
  <conditionalFormatting sqref="I39">
    <cfRule type="expression" dxfId="1030" priority="15" stopIfTrue="1">
      <formula>"$O$4=""TEST"""</formula>
    </cfRule>
    <cfRule type="expression" dxfId="1029" priority="16">
      <formula>"And($O$4&lt;&gt;""TEST"",J7=""GOOD"")"</formula>
    </cfRule>
  </conditionalFormatting>
  <conditionalFormatting sqref="I40">
    <cfRule type="expression" dxfId="1028" priority="13" stopIfTrue="1">
      <formula>"$O$4=""TEST"""</formula>
    </cfRule>
    <cfRule type="expression" dxfId="1027" priority="14">
      <formula>"And($O$4&lt;&gt;""TEST"",J7=""GOOD"")"</formula>
    </cfRule>
  </conditionalFormatting>
  <conditionalFormatting sqref="I41">
    <cfRule type="expression" dxfId="1026" priority="11" stopIfTrue="1">
      <formula>"$O$4=""TEST"""</formula>
    </cfRule>
    <cfRule type="expression" dxfId="1025" priority="12">
      <formula>"And($O$4&lt;&gt;""TEST"",J7=""GOOD"")"</formula>
    </cfRule>
  </conditionalFormatting>
  <conditionalFormatting sqref="I42">
    <cfRule type="expression" dxfId="1024" priority="9" stopIfTrue="1">
      <formula>"$O$4=""TEST"""</formula>
    </cfRule>
    <cfRule type="expression" dxfId="1023" priority="10">
      <formula>"And($O$4&lt;&gt;""TEST"",J7=""GOOD"")"</formula>
    </cfRule>
  </conditionalFormatting>
  <conditionalFormatting sqref="I43">
    <cfRule type="expression" dxfId="1022" priority="7" stopIfTrue="1">
      <formula>"$O$4=""TEST"""</formula>
    </cfRule>
    <cfRule type="expression" dxfId="1021" priority="8">
      <formula>"And($O$4&lt;&gt;""TEST"",J7=""GOOD"")"</formula>
    </cfRule>
  </conditionalFormatting>
  <conditionalFormatting sqref="I44">
    <cfRule type="expression" dxfId="1020" priority="5" stopIfTrue="1">
      <formula>"$O$4=""TEST"""</formula>
    </cfRule>
    <cfRule type="expression" dxfId="1019" priority="6">
      <formula>"And($O$4&lt;&gt;""TEST"",J7=""GOOD"")"</formula>
    </cfRule>
  </conditionalFormatting>
  <conditionalFormatting sqref="I45">
    <cfRule type="expression" dxfId="1018" priority="3" stopIfTrue="1">
      <formula>"$O$4=""TEST"""</formula>
    </cfRule>
    <cfRule type="expression" dxfId="1017" priority="4">
      <formula>"And($O$4&lt;&gt;""TEST"",J7=""GOOD"")"</formula>
    </cfRule>
  </conditionalFormatting>
  <hyperlinks>
    <hyperlink ref="N3" r:id="rId1" xr:uid="{4F0E1267-18F9-4FB8-942A-9E04CDF6E2D9}"/>
    <hyperlink ref="K3" r:id="rId2" xr:uid="{E4CF408C-408F-4A33-A0F7-9F581E0D4236}"/>
  </hyperlinks>
  <pageMargins left="0.7" right="0.7" top="0.75" bottom="0.75" header="0.3" footer="0.3"/>
  <pageSetup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49"/>
  <sheetViews>
    <sheetView showGridLines="0" workbookViewId="0">
      <selection activeCell="L2" sqref="L2"/>
    </sheetView>
  </sheetViews>
  <sheetFormatPr defaultRowHeight="14.4"/>
  <cols>
    <col min="1" max="1" width="8.88671875" style="8"/>
    <col min="2" max="3" width="3.77734375" style="18" customWidth="1"/>
    <col min="4" max="4" width="10.6640625" style="18" customWidth="1"/>
    <col min="6" max="6" width="5.109375" style="82" customWidth="1"/>
    <col min="7" max="9" width="10.77734375" style="2" customWidth="1"/>
    <col min="14" max="14" width="10.77734375" customWidth="1"/>
    <col min="15" max="15" width="10.77734375" style="2" customWidth="1"/>
    <col min="16" max="16" width="7.6640625" style="2" customWidth="1"/>
    <col min="17" max="17" width="10.77734375" style="2" customWidth="1"/>
    <col min="18" max="18" width="5.33203125" customWidth="1"/>
  </cols>
  <sheetData>
    <row r="1" spans="1:21" ht="16.8">
      <c r="A1" s="60" t="str">
        <f>[1]!wwsSetup("useHTTPS", TRUE)</f>
        <v>useHTTPS = "True"</v>
      </c>
      <c r="D1" s="28"/>
      <c r="E1" s="4"/>
      <c r="F1" s="4"/>
      <c r="G1" s="7"/>
      <c r="H1" s="7"/>
      <c r="I1" s="7"/>
      <c r="J1" s="3"/>
      <c r="K1" s="3"/>
      <c r="L1" s="3"/>
      <c r="M1" s="3"/>
      <c r="N1" s="3"/>
      <c r="O1" s="7"/>
      <c r="P1" s="81"/>
      <c r="Q1" s="80"/>
      <c r="R1" s="5"/>
      <c r="U1" t="s">
        <v>63</v>
      </c>
    </row>
    <row r="2" spans="1:21" s="27" customFormat="1" ht="15.6" customHeight="1">
      <c r="A2" s="23"/>
      <c r="B2" s="24"/>
      <c r="C2" s="124" t="s">
        <v>199</v>
      </c>
      <c r="D2" s="124"/>
      <c r="E2" s="124"/>
      <c r="F2" s="123" t="s">
        <v>191</v>
      </c>
      <c r="G2" s="123"/>
      <c r="H2" s="123"/>
      <c r="I2" s="123"/>
      <c r="J2" s="103"/>
      <c r="K2" s="103"/>
      <c r="L2" s="106" t="s">
        <v>204</v>
      </c>
      <c r="M2" s="99" t="s">
        <v>61</v>
      </c>
      <c r="O2" s="111" t="s">
        <v>203</v>
      </c>
      <c r="P2" s="91" t="s">
        <v>186</v>
      </c>
      <c r="U2" s="27" t="s">
        <v>64</v>
      </c>
    </row>
    <row r="3" spans="1:21" ht="18">
      <c r="C3" s="15"/>
      <c r="D3" s="125" t="s">
        <v>197</v>
      </c>
      <c r="E3" s="125"/>
      <c r="F3" s="125"/>
      <c r="G3" s="125"/>
      <c r="H3" s="105"/>
      <c r="I3" s="105"/>
      <c r="M3" s="34"/>
      <c r="N3" s="34"/>
      <c r="U3" t="str">
        <f>[1]!wwsSetup("metatags", "NAME OF AUDIO FILE.txt")</f>
        <v>metatags = "NAME OF AUDIO FILE.txt"</v>
      </c>
    </row>
    <row r="4" spans="1:21" s="110" customFormat="1" ht="52.2" customHeight="1">
      <c r="A4" s="112"/>
      <c r="B4" s="113"/>
      <c r="C4" s="113"/>
      <c r="D4" s="113"/>
      <c r="E4" s="135" t="s">
        <v>57</v>
      </c>
      <c r="F4" s="114"/>
      <c r="G4" s="138" t="str">
        <f>[1]!wwsCheckbox("PRACTICE",4,TRUE)</f>
        <v>PRACTICE</v>
      </c>
      <c r="H4" s="138"/>
      <c r="I4" s="115"/>
      <c r="K4" s="116"/>
      <c r="N4" s="137" t="str">
        <f>[1]!wwsCheckbox("TEST",4,FALSE)</f>
        <v>TEST</v>
      </c>
      <c r="O4" s="137"/>
      <c r="P4" s="115"/>
      <c r="Q4" s="115"/>
    </row>
    <row r="5" spans="1:21" ht="25.2" customHeight="1">
      <c r="E5" s="135"/>
      <c r="M5" s="63" t="s">
        <v>56</v>
      </c>
      <c r="N5" s="136" t="str">
        <f>[1]!wwsInput()</f>
        <v/>
      </c>
      <c r="O5" s="136"/>
      <c r="P5" s="136"/>
      <c r="Q5" s="136"/>
      <c r="R5" s="35"/>
      <c r="S5" s="35"/>
    </row>
    <row r="6" spans="1:21">
      <c r="E6" s="47" t="s">
        <v>51</v>
      </c>
      <c r="G6" s="127" t="s">
        <v>52</v>
      </c>
      <c r="H6" s="127"/>
      <c r="I6" s="62"/>
      <c r="N6" s="134" t="s">
        <v>52</v>
      </c>
      <c r="O6" s="134"/>
      <c r="P6" s="62"/>
      <c r="Q6" s="62"/>
      <c r="S6" s="18"/>
      <c r="T6" s="18"/>
      <c r="U6" s="18"/>
    </row>
    <row r="7" spans="1:21" s="10" customFormat="1" ht="25.05" customHeight="1">
      <c r="A7" s="75" t="str">
        <f>IF(OR(G7&lt;&gt;"",H7&lt;&gt;""),"clikt","")</f>
        <v>clikt</v>
      </c>
      <c r="B7" s="84" t="s">
        <v>6</v>
      </c>
      <c r="C7" s="84" t="s">
        <v>15</v>
      </c>
      <c r="D7" s="29"/>
      <c r="E7" s="83" t="s">
        <v>15</v>
      </c>
      <c r="F7" s="52">
        <v>1</v>
      </c>
      <c r="G7" s="14" t="str">
        <f>[1]!wwsCheckbox($B7,7,FALSE)</f>
        <v>bad</v>
      </c>
      <c r="H7" s="14" t="str">
        <f>[1]!wwsCheckbox($C7,7,FALSE)</f>
        <v>bed</v>
      </c>
      <c r="I7" s="10" t="str">
        <f>IF(OR(E7=G7,E7=H7),IF($G$4="PRACTICE","GOOD"," ")," ")</f>
        <v>GOOD</v>
      </c>
      <c r="K7" s="13"/>
      <c r="M7" s="9">
        <v>1</v>
      </c>
      <c r="N7" s="14" t="str">
        <f>[1]!wwsCheckbox($C7,107,FALSE)</f>
        <v>bed</v>
      </c>
      <c r="O7" s="14" t="str">
        <f>[1]!wwsCheckbox($B7,107,FALSE)</f>
        <v>bad</v>
      </c>
      <c r="P7" s="13">
        <f>IF(OR($N7=$E7,$O7=$E7),1,0)</f>
        <v>1</v>
      </c>
      <c r="Q7" s="19"/>
      <c r="R7" s="90"/>
      <c r="S7" s="19"/>
    </row>
    <row r="8" spans="1:21" s="10" customFormat="1" ht="25.05" customHeight="1">
      <c r="A8" s="75" t="str">
        <f t="shared" ref="A8:A46" si="0">IF(OR(G8&lt;&gt;"",H8&lt;&gt;""),"clikt","")</f>
        <v>clikt</v>
      </c>
      <c r="B8" s="84" t="s">
        <v>9</v>
      </c>
      <c r="C8" s="84" t="s">
        <v>28</v>
      </c>
      <c r="D8" s="29"/>
      <c r="E8" s="83" t="s">
        <v>9</v>
      </c>
      <c r="F8" s="52">
        <v>2</v>
      </c>
      <c r="G8" s="14" t="str">
        <f>[1]!wwsCheckbox($B8,8,FALSE)</f>
        <v>ban</v>
      </c>
      <c r="H8" s="14" t="str">
        <f>[1]!wwsCheckbox($C8,8,FALSE)</f>
        <v>bin</v>
      </c>
      <c r="I8" s="10" t="str">
        <f t="shared" ref="I8:I46" si="1">IF(OR(E8=G8,E8=H8),IF($G$4="PRACTICE","GOOD"," ")," ")</f>
        <v>GOOD</v>
      </c>
      <c r="M8" s="9">
        <f>1+M7</f>
        <v>2</v>
      </c>
      <c r="N8" s="14" t="str">
        <f>[1]!wwsCheckbox($C8,108,FALSE)</f>
        <v>bin</v>
      </c>
      <c r="O8" s="14" t="str">
        <f>[1]!wwsCheckbox($B8,108,FALSE)</f>
        <v>ban</v>
      </c>
      <c r="P8" s="13">
        <f t="shared" ref="P8:P46" si="2">IF(OR($N8=$E8,$O8=$E8),1,0)</f>
        <v>1</v>
      </c>
      <c r="Q8" s="19"/>
      <c r="R8" s="90"/>
      <c r="S8" s="21"/>
    </row>
    <row r="9" spans="1:21" s="10" customFormat="1" ht="25.05" customHeight="1">
      <c r="A9" s="75" t="str">
        <f t="shared" si="0"/>
        <v>clikt</v>
      </c>
      <c r="B9" s="84" t="s">
        <v>0</v>
      </c>
      <c r="C9" s="84" t="s">
        <v>37</v>
      </c>
      <c r="D9" s="29"/>
      <c r="E9" s="83" t="s">
        <v>0</v>
      </c>
      <c r="F9" s="52">
        <v>3</v>
      </c>
      <c r="G9" s="14" t="str">
        <f>[1]!wwsCheckbox($B9,9,FALSE)</f>
        <v>bat</v>
      </c>
      <c r="H9" s="14" t="str">
        <f>[1]!wwsCheckbox($C9,9,FALSE)</f>
        <v>bot</v>
      </c>
      <c r="I9" s="10" t="str">
        <f t="shared" si="1"/>
        <v>GOOD</v>
      </c>
      <c r="M9" s="9">
        <f t="shared" ref="M9:M46" si="3">1+M8</f>
        <v>3</v>
      </c>
      <c r="N9" s="14" t="str">
        <f>[1]!wwsCheckbox($C9,109,FALSE)</f>
        <v>bot</v>
      </c>
      <c r="O9" s="14" t="str">
        <f>[1]!wwsCheckbox($B9,109,FALSE)</f>
        <v>bat</v>
      </c>
      <c r="P9" s="13">
        <f t="shared" si="2"/>
        <v>1</v>
      </c>
      <c r="Q9" s="22"/>
      <c r="R9" s="90"/>
      <c r="S9" s="22"/>
    </row>
    <row r="10" spans="1:21" s="10" customFormat="1" ht="25.05" customHeight="1">
      <c r="A10" s="75" t="str">
        <f t="shared" si="0"/>
        <v>clikt</v>
      </c>
      <c r="B10" s="84" t="s">
        <v>15</v>
      </c>
      <c r="C10" s="84" t="s">
        <v>25</v>
      </c>
      <c r="D10" s="29"/>
      <c r="E10" s="83" t="s">
        <v>25</v>
      </c>
      <c r="F10" s="52">
        <v>4</v>
      </c>
      <c r="G10" s="14" t="str">
        <f>[1]!wwsCheckbox($B10,10,FALSE)</f>
        <v>bed</v>
      </c>
      <c r="H10" s="14" t="str">
        <f>[1]!wwsCheckbox($C10,10,FALSE)</f>
        <v>bid</v>
      </c>
      <c r="I10" s="10" t="str">
        <f t="shared" si="1"/>
        <v>GOOD</v>
      </c>
      <c r="M10" s="9">
        <f t="shared" si="3"/>
        <v>4</v>
      </c>
      <c r="N10" s="14" t="str">
        <f>[1]!wwsCheckbox($C10,110,FALSE)</f>
        <v>bid</v>
      </c>
      <c r="O10" s="14" t="str">
        <f>[1]!wwsCheckbox($B10,110,FALSE)</f>
        <v>bed</v>
      </c>
      <c r="P10" s="13">
        <f t="shared" si="2"/>
        <v>1</v>
      </c>
      <c r="Q10" s="22"/>
      <c r="R10" s="90"/>
      <c r="S10" s="22"/>
    </row>
    <row r="11" spans="1:21" s="10" customFormat="1" ht="25.05" customHeight="1">
      <c r="A11" s="75" t="str">
        <f t="shared" si="0"/>
        <v>clikt</v>
      </c>
      <c r="B11" s="84" t="s">
        <v>15</v>
      </c>
      <c r="C11" s="84" t="s">
        <v>43</v>
      </c>
      <c r="D11" s="29"/>
      <c r="E11" s="83" t="s">
        <v>43</v>
      </c>
      <c r="F11" s="52">
        <v>5</v>
      </c>
      <c r="G11" s="14" t="str">
        <f>[1]!wwsCheckbox($B11,11,FALSE)</f>
        <v>bed</v>
      </c>
      <c r="H11" s="14" t="str">
        <f>[1]!wwsCheckbox($C11,11,FALSE)</f>
        <v>bud</v>
      </c>
      <c r="I11" s="10" t="str">
        <f t="shared" si="1"/>
        <v>GOOD</v>
      </c>
      <c r="M11" s="9">
        <f t="shared" si="3"/>
        <v>5</v>
      </c>
      <c r="N11" s="14" t="str">
        <f>[1]!wwsCheckbox($C11,111,FALSE)</f>
        <v>bud</v>
      </c>
      <c r="O11" s="14" t="str">
        <f>[1]!wwsCheckbox($B11,111,FALSE)</f>
        <v>bed</v>
      </c>
      <c r="P11" s="13">
        <f t="shared" si="2"/>
        <v>1</v>
      </c>
      <c r="R11" s="90"/>
    </row>
    <row r="12" spans="1:21" s="10" customFormat="1" ht="25.05" customHeight="1">
      <c r="A12" s="75" t="str">
        <f t="shared" si="0"/>
        <v>clikt</v>
      </c>
      <c r="B12" s="84" t="s">
        <v>28</v>
      </c>
      <c r="C12" s="84" t="s">
        <v>44</v>
      </c>
      <c r="D12" s="29"/>
      <c r="E12" s="83" t="s">
        <v>28</v>
      </c>
      <c r="F12" s="52">
        <v>6</v>
      </c>
      <c r="G12" s="14" t="str">
        <f>[1]!wwsCheckbox($B12,12,FALSE)</f>
        <v>bin</v>
      </c>
      <c r="H12" s="14" t="str">
        <f>[1]!wwsCheckbox($C12,12,FALSE)</f>
        <v>bun</v>
      </c>
      <c r="I12" s="10" t="str">
        <f t="shared" si="1"/>
        <v>GOOD</v>
      </c>
      <c r="M12" s="9">
        <f t="shared" si="3"/>
        <v>6</v>
      </c>
      <c r="N12" s="14" t="str">
        <f>[1]!wwsCheckbox($C12,112,FALSE)</f>
        <v>bun</v>
      </c>
      <c r="O12" s="14" t="str">
        <f>[1]!wwsCheckbox($B12,112,FALSE)</f>
        <v>bin</v>
      </c>
      <c r="P12" s="13">
        <f t="shared" si="2"/>
        <v>1</v>
      </c>
    </row>
    <row r="13" spans="1:21" s="10" customFormat="1" ht="25.05" customHeight="1">
      <c r="A13" s="75" t="str">
        <f t="shared" si="0"/>
        <v>clikt</v>
      </c>
      <c r="B13" s="84" t="s">
        <v>31</v>
      </c>
      <c r="C13" s="84" t="s">
        <v>0</v>
      </c>
      <c r="D13" s="29"/>
      <c r="E13" s="83" t="s">
        <v>31</v>
      </c>
      <c r="F13" s="52">
        <v>7</v>
      </c>
      <c r="G13" s="14" t="str">
        <f>[1]!wwsCheckbox($B13,13,FALSE)</f>
        <v>bit</v>
      </c>
      <c r="H13" s="14" t="str">
        <f>[1]!wwsCheckbox($C13,13,FALSE)</f>
        <v>bat</v>
      </c>
      <c r="I13" s="10" t="str">
        <f t="shared" si="1"/>
        <v>GOOD</v>
      </c>
      <c r="M13" s="9">
        <f t="shared" si="3"/>
        <v>7</v>
      </c>
      <c r="N13" s="14" t="str">
        <f>[1]!wwsCheckbox($C13,113,FALSE)</f>
        <v>bat</v>
      </c>
      <c r="O13" s="14" t="str">
        <f>[1]!wwsCheckbox($B13,113,FALSE)</f>
        <v>bit</v>
      </c>
      <c r="P13" s="13">
        <f t="shared" si="2"/>
        <v>1</v>
      </c>
    </row>
    <row r="14" spans="1:21" s="10" customFormat="1" ht="25.05" customHeight="1">
      <c r="A14" s="75" t="str">
        <f t="shared" si="0"/>
        <v>clikt</v>
      </c>
      <c r="B14" s="84" t="s">
        <v>35</v>
      </c>
      <c r="C14" s="84" t="s">
        <v>29</v>
      </c>
      <c r="D14" s="29"/>
      <c r="E14" s="83" t="s">
        <v>35</v>
      </c>
      <c r="F14" s="52">
        <v>8</v>
      </c>
      <c r="G14" s="14" t="str">
        <f>[1]!wwsCheckbox($B14,14,FALSE)</f>
        <v>bob</v>
      </c>
      <c r="H14" s="14" t="str">
        <f>[1]!wwsCheckbox($C14,14,FALSE)</f>
        <v>bib</v>
      </c>
      <c r="I14" s="10" t="str">
        <f t="shared" si="1"/>
        <v>GOOD</v>
      </c>
      <c r="M14" s="9">
        <f t="shared" si="3"/>
        <v>8</v>
      </c>
      <c r="N14" s="14" t="str">
        <f>[1]!wwsCheckbox($C14,114,FALSE)</f>
        <v>bib</v>
      </c>
      <c r="O14" s="14" t="str">
        <f>[1]!wwsCheckbox($B14,114,FALSE)</f>
        <v>bob</v>
      </c>
      <c r="P14" s="13">
        <f t="shared" si="2"/>
        <v>1</v>
      </c>
    </row>
    <row r="15" spans="1:21" s="10" customFormat="1" ht="25.05" customHeight="1">
      <c r="A15" s="75" t="str">
        <f t="shared" si="0"/>
        <v>clikt</v>
      </c>
      <c r="B15" s="84" t="s">
        <v>44</v>
      </c>
      <c r="C15" s="84" t="s">
        <v>28</v>
      </c>
      <c r="D15" s="29"/>
      <c r="E15" s="83" t="s">
        <v>28</v>
      </c>
      <c r="F15" s="52">
        <v>9</v>
      </c>
      <c r="G15" s="14" t="str">
        <f>[1]!wwsCheckbox($B15,15,FALSE)</f>
        <v>bun</v>
      </c>
      <c r="H15" s="14" t="str">
        <f>[1]!wwsCheckbox($C15,15,FALSE)</f>
        <v>bin</v>
      </c>
      <c r="I15" s="10" t="str">
        <f t="shared" si="1"/>
        <v>GOOD</v>
      </c>
      <c r="M15" s="9">
        <f t="shared" si="3"/>
        <v>9</v>
      </c>
      <c r="N15" s="14" t="str">
        <f>[1]!wwsCheckbox($C15,115,FALSE)</f>
        <v>bin</v>
      </c>
      <c r="O15" s="14" t="str">
        <f>[1]!wwsCheckbox($B15,115,FALSE)</f>
        <v>bun</v>
      </c>
      <c r="P15" s="13">
        <f t="shared" si="2"/>
        <v>1</v>
      </c>
    </row>
    <row r="16" spans="1:21" s="10" customFormat="1" ht="25.05" customHeight="1">
      <c r="A16" s="75" t="str">
        <f t="shared" si="0"/>
        <v>clikt</v>
      </c>
      <c r="B16" s="84" t="s">
        <v>47</v>
      </c>
      <c r="C16" s="84" t="s">
        <v>20</v>
      </c>
      <c r="D16" s="29"/>
      <c r="E16" s="83" t="s">
        <v>20</v>
      </c>
      <c r="F16" s="52">
        <v>10</v>
      </c>
      <c r="G16" s="14" t="str">
        <f>[1]!wwsCheckbox($B16,16,FALSE)</f>
        <v>but</v>
      </c>
      <c r="H16" s="14" t="str">
        <f>[1]!wwsCheckbox($C16,16,FALSE)</f>
        <v>bet</v>
      </c>
      <c r="I16" s="10" t="str">
        <f t="shared" si="1"/>
        <v>GOOD</v>
      </c>
      <c r="M16" s="9">
        <f t="shared" si="3"/>
        <v>10</v>
      </c>
      <c r="N16" s="14" t="str">
        <f>[1]!wwsCheckbox($C16,116,FALSE)</f>
        <v>bet</v>
      </c>
      <c r="O16" s="14" t="str">
        <f>[1]!wwsCheckbox($B16,116,FALSE)</f>
        <v>but</v>
      </c>
      <c r="P16" s="13">
        <f t="shared" si="2"/>
        <v>1</v>
      </c>
    </row>
    <row r="17" spans="1:17" s="10" customFormat="1" ht="25.05" customHeight="1">
      <c r="A17" s="75" t="str">
        <f t="shared" si="0"/>
        <v>clikt</v>
      </c>
      <c r="B17" s="84" t="s">
        <v>4</v>
      </c>
      <c r="C17" s="84" t="s">
        <v>177</v>
      </c>
      <c r="D17" s="29"/>
      <c r="E17" s="83" t="s">
        <v>4</v>
      </c>
      <c r="F17" s="52">
        <f t="shared" ref="F17:F46" si="4">1+F16</f>
        <v>11</v>
      </c>
      <c r="G17" s="14" t="str">
        <f>[1]!wwsCheckbox($B17,17,FALSE)</f>
        <v>dad</v>
      </c>
      <c r="H17" s="14" t="str">
        <f>[1]!wwsCheckbox($C17,17,FALSE)</f>
        <v>did</v>
      </c>
      <c r="I17" s="10" t="str">
        <f t="shared" si="1"/>
        <v>GOOD</v>
      </c>
      <c r="M17" s="9">
        <f t="shared" si="3"/>
        <v>11</v>
      </c>
      <c r="N17" s="14" t="str">
        <f>[1]!wwsCheckbox($C17,117,FALSE)</f>
        <v>did</v>
      </c>
      <c r="O17" s="14" t="str">
        <f>[1]!wwsCheckbox($B17,117,FALSE)</f>
        <v>dad</v>
      </c>
      <c r="P17" s="13">
        <f t="shared" si="2"/>
        <v>1</v>
      </c>
    </row>
    <row r="18" spans="1:17" s="10" customFormat="1" ht="25.05" customHeight="1">
      <c r="A18" s="75" t="str">
        <f t="shared" si="0"/>
        <v>clikt</v>
      </c>
      <c r="B18" s="84" t="s">
        <v>4</v>
      </c>
      <c r="C18" s="84" t="s">
        <v>178</v>
      </c>
      <c r="D18" s="29"/>
      <c r="E18" s="83" t="s">
        <v>178</v>
      </c>
      <c r="F18" s="52">
        <f t="shared" si="4"/>
        <v>12</v>
      </c>
      <c r="G18" s="14" t="str">
        <f>[1]!wwsCheckbox($B18,18,FALSE)</f>
        <v>dad</v>
      </c>
      <c r="H18" s="14" t="str">
        <f>[1]!wwsCheckbox($C18,18,FALSE)</f>
        <v>dud</v>
      </c>
      <c r="I18" s="10" t="str">
        <f t="shared" si="1"/>
        <v>GOOD</v>
      </c>
      <c r="M18" s="9">
        <f t="shared" si="3"/>
        <v>12</v>
      </c>
      <c r="N18" s="14" t="str">
        <f>[1]!wwsCheckbox($C18,118,FALSE)</f>
        <v>dud</v>
      </c>
      <c r="O18" s="14" t="str">
        <f>[1]!wwsCheckbox($B18,118,FALSE)</f>
        <v>dad</v>
      </c>
      <c r="P18" s="13">
        <f t="shared" si="2"/>
        <v>1</v>
      </c>
    </row>
    <row r="19" spans="1:17" s="10" customFormat="1" ht="25.05" customHeight="1">
      <c r="A19" s="75" t="str">
        <f t="shared" si="0"/>
        <v>clikt</v>
      </c>
      <c r="B19" s="84" t="s">
        <v>16</v>
      </c>
      <c r="C19" s="84" t="s">
        <v>26</v>
      </c>
      <c r="D19" s="29"/>
      <c r="E19" s="83" t="s">
        <v>16</v>
      </c>
      <c r="F19" s="52">
        <f t="shared" si="4"/>
        <v>13</v>
      </c>
      <c r="G19" s="14" t="str">
        <f>[1]!wwsCheckbox($B19,19,FALSE)</f>
        <v>den</v>
      </c>
      <c r="H19" s="14" t="str">
        <f>[1]!wwsCheckbox($C19,19,FALSE)</f>
        <v>din</v>
      </c>
      <c r="I19" s="10" t="str">
        <f t="shared" si="1"/>
        <v>GOOD</v>
      </c>
      <c r="M19" s="9">
        <f t="shared" si="3"/>
        <v>13</v>
      </c>
      <c r="N19" s="14" t="str">
        <f>[1]!wwsCheckbox($C19,119,FALSE)</f>
        <v>din</v>
      </c>
      <c r="O19" s="14" t="str">
        <f>[1]!wwsCheckbox($B19,119,FALSE)</f>
        <v>den</v>
      </c>
      <c r="P19" s="13">
        <f t="shared" si="2"/>
        <v>1</v>
      </c>
    </row>
    <row r="20" spans="1:17" s="10" customFormat="1" ht="25.05" customHeight="1">
      <c r="A20" s="75" t="str">
        <f t="shared" si="0"/>
        <v>clikt</v>
      </c>
      <c r="B20" s="84" t="s">
        <v>179</v>
      </c>
      <c r="C20" s="84" t="s">
        <v>16</v>
      </c>
      <c r="D20" s="29"/>
      <c r="E20" s="83" t="s">
        <v>16</v>
      </c>
      <c r="F20" s="52">
        <f t="shared" si="4"/>
        <v>14</v>
      </c>
      <c r="G20" s="14" t="str">
        <f>[1]!wwsCheckbox($B20,20,FALSE)</f>
        <v>don</v>
      </c>
      <c r="H20" s="14" t="str">
        <f>[1]!wwsCheckbox($C20,20,FALSE)</f>
        <v>den</v>
      </c>
      <c r="I20" s="10" t="str">
        <f t="shared" si="1"/>
        <v>GOOD</v>
      </c>
      <c r="M20" s="9">
        <f t="shared" si="3"/>
        <v>14</v>
      </c>
      <c r="N20" s="14" t="str">
        <f>[1]!wwsCheckbox($C20,120,FALSE)</f>
        <v>den</v>
      </c>
      <c r="O20" s="14" t="str">
        <f>[1]!wwsCheckbox($B20,120,FALSE)</f>
        <v>don</v>
      </c>
      <c r="P20" s="13">
        <f t="shared" si="2"/>
        <v>1</v>
      </c>
    </row>
    <row r="21" spans="1:17" s="10" customFormat="1" ht="25.05" customHeight="1">
      <c r="A21" s="75" t="str">
        <f t="shared" si="0"/>
        <v>clikt</v>
      </c>
      <c r="B21" s="84" t="s">
        <v>178</v>
      </c>
      <c r="C21" s="84" t="s">
        <v>177</v>
      </c>
      <c r="D21" s="29"/>
      <c r="E21" s="83" t="s">
        <v>178</v>
      </c>
      <c r="F21" s="52">
        <f t="shared" si="4"/>
        <v>15</v>
      </c>
      <c r="G21" s="14" t="str">
        <f>[1]!wwsCheckbox($B21,21,FALSE)</f>
        <v>dud</v>
      </c>
      <c r="H21" s="14" t="str">
        <f>[1]!wwsCheckbox($C21,21,FALSE)</f>
        <v>did</v>
      </c>
      <c r="I21" s="10" t="str">
        <f t="shared" si="1"/>
        <v>GOOD</v>
      </c>
      <c r="M21" s="9">
        <f t="shared" si="3"/>
        <v>15</v>
      </c>
      <c r="N21" s="14" t="str">
        <f>[1]!wwsCheckbox($C21,121,FALSE)</f>
        <v>did</v>
      </c>
      <c r="O21" s="14" t="str">
        <f>[1]!wwsCheckbox($B21,121,FALSE)</f>
        <v>dud</v>
      </c>
      <c r="P21" s="13">
        <f t="shared" si="2"/>
        <v>1</v>
      </c>
    </row>
    <row r="22" spans="1:17" s="10" customFormat="1" ht="25.05" customHeight="1">
      <c r="A22" s="75" t="str">
        <f t="shared" si="0"/>
        <v>clikt</v>
      </c>
      <c r="B22" s="84" t="s">
        <v>8</v>
      </c>
      <c r="C22" s="84" t="s">
        <v>34</v>
      </c>
      <c r="D22" s="17"/>
      <c r="E22" s="83" t="s">
        <v>8</v>
      </c>
      <c r="F22" s="52">
        <f t="shared" si="4"/>
        <v>16</v>
      </c>
      <c r="G22" s="14" t="str">
        <f>[1]!wwsCheckbox($B22,22,FALSE)</f>
        <v>map</v>
      </c>
      <c r="H22" s="14" t="str">
        <f>[1]!wwsCheckbox($C22,22,FALSE)</f>
        <v>mop</v>
      </c>
      <c r="I22" s="10" t="str">
        <f t="shared" si="1"/>
        <v>GOOD</v>
      </c>
      <c r="J22" s="32"/>
      <c r="K22" s="32"/>
      <c r="L22" s="32"/>
      <c r="M22" s="9">
        <f t="shared" si="3"/>
        <v>16</v>
      </c>
      <c r="N22" s="14" t="str">
        <f>[1]!wwsCheckbox($C22,122,FALSE)</f>
        <v>mop</v>
      </c>
      <c r="O22" s="14" t="str">
        <f>[1]!wwsCheckbox($B22,122,FALSE)</f>
        <v>map</v>
      </c>
      <c r="P22" s="13">
        <f t="shared" si="2"/>
        <v>1</v>
      </c>
      <c r="Q22" s="33"/>
    </row>
    <row r="23" spans="1:17" s="10" customFormat="1" ht="25.05" customHeight="1">
      <c r="A23" s="75" t="str">
        <f t="shared" si="0"/>
        <v>clikt</v>
      </c>
      <c r="B23" s="84" t="s">
        <v>180</v>
      </c>
      <c r="C23" s="84" t="s">
        <v>21</v>
      </c>
      <c r="D23" s="17"/>
      <c r="E23" s="83" t="s">
        <v>21</v>
      </c>
      <c r="F23" s="52">
        <f t="shared" si="4"/>
        <v>17</v>
      </c>
      <c r="G23" s="14" t="str">
        <f>[1]!wwsCheckbox($B23,23,FALSE)</f>
        <v>mat</v>
      </c>
      <c r="H23" s="14" t="str">
        <f>[1]!wwsCheckbox($C23,23,FALSE)</f>
        <v>met</v>
      </c>
      <c r="I23" s="10" t="str">
        <f t="shared" si="1"/>
        <v>GOOD</v>
      </c>
      <c r="J23" s="32"/>
      <c r="K23" s="32"/>
      <c r="L23" s="32"/>
      <c r="M23" s="9">
        <f t="shared" si="3"/>
        <v>17</v>
      </c>
      <c r="N23" s="14" t="str">
        <f>[1]!wwsCheckbox($C23,123,FALSE)</f>
        <v>met</v>
      </c>
      <c r="O23" s="14" t="str">
        <f>[1]!wwsCheckbox($B23,123,FALSE)</f>
        <v>mat</v>
      </c>
      <c r="P23" s="13">
        <f t="shared" si="2"/>
        <v>1</v>
      </c>
      <c r="Q23" s="32"/>
    </row>
    <row r="24" spans="1:17" s="10" customFormat="1" ht="25.05" customHeight="1">
      <c r="A24" s="75" t="str">
        <f t="shared" si="0"/>
        <v>clikt</v>
      </c>
      <c r="B24" s="84" t="s">
        <v>17</v>
      </c>
      <c r="C24" s="84" t="s">
        <v>10</v>
      </c>
      <c r="D24" s="17"/>
      <c r="E24" s="83" t="s">
        <v>10</v>
      </c>
      <c r="F24" s="52">
        <f t="shared" si="4"/>
        <v>18</v>
      </c>
      <c r="G24" s="14" t="str">
        <f>[1]!wwsCheckbox($B24,24,FALSE)</f>
        <v>men</v>
      </c>
      <c r="H24" s="14" t="str">
        <f>[1]!wwsCheckbox($C24,24,FALSE)</f>
        <v>man</v>
      </c>
      <c r="I24" s="10" t="str">
        <f t="shared" si="1"/>
        <v>GOOD</v>
      </c>
      <c r="J24" s="32"/>
      <c r="K24" s="32"/>
      <c r="L24" s="32"/>
      <c r="M24" s="9">
        <f t="shared" si="3"/>
        <v>18</v>
      </c>
      <c r="N24" s="14" t="str">
        <f>[1]!wwsCheckbox($C24,124,FALSE)</f>
        <v>man</v>
      </c>
      <c r="O24" s="14" t="str">
        <f>[1]!wwsCheckbox($B24,124,FALSE)</f>
        <v>men</v>
      </c>
      <c r="P24" s="13">
        <f t="shared" si="2"/>
        <v>1</v>
      </c>
      <c r="Q24" s="32"/>
    </row>
    <row r="25" spans="1:17" s="10" customFormat="1" ht="25.05" customHeight="1">
      <c r="A25" s="75" t="str">
        <f t="shared" si="0"/>
        <v>clikt</v>
      </c>
      <c r="B25" s="84" t="s">
        <v>60</v>
      </c>
      <c r="C25" s="84" t="s">
        <v>42</v>
      </c>
      <c r="D25" s="17"/>
      <c r="E25" s="83" t="s">
        <v>60</v>
      </c>
      <c r="F25" s="52">
        <f t="shared" si="4"/>
        <v>19</v>
      </c>
      <c r="G25" s="14" t="str">
        <f>[1]!wwsCheckbox($B25,25,FALSE)</f>
        <v>mod</v>
      </c>
      <c r="H25" s="14" t="str">
        <f>[1]!wwsCheckbox($C25,25,FALSE)</f>
        <v>mud</v>
      </c>
      <c r="I25" s="10" t="str">
        <f t="shared" si="1"/>
        <v>GOOD</v>
      </c>
      <c r="J25" s="32"/>
      <c r="K25" s="32"/>
      <c r="L25" s="32"/>
      <c r="M25" s="9">
        <f t="shared" si="3"/>
        <v>19</v>
      </c>
      <c r="N25" s="14" t="str">
        <f>[1]!wwsCheckbox($C25,125,FALSE)</f>
        <v>mud</v>
      </c>
      <c r="O25" s="14" t="str">
        <f>[1]!wwsCheckbox($B25,125,FALSE)</f>
        <v>mod</v>
      </c>
      <c r="P25" s="13">
        <f t="shared" si="2"/>
        <v>1</v>
      </c>
      <c r="Q25" s="32"/>
    </row>
    <row r="26" spans="1:17" s="10" customFormat="1" ht="25.05" customHeight="1">
      <c r="A26" s="75" t="str">
        <f t="shared" si="0"/>
        <v>clikt</v>
      </c>
      <c r="B26" s="84" t="s">
        <v>42</v>
      </c>
      <c r="C26" s="84" t="s">
        <v>3</v>
      </c>
      <c r="D26" s="17"/>
      <c r="E26" s="83" t="s">
        <v>3</v>
      </c>
      <c r="F26" s="52">
        <f t="shared" si="4"/>
        <v>20</v>
      </c>
      <c r="G26" s="14" t="str">
        <f>[1]!wwsCheckbox($B26,26,FALSE)</f>
        <v>mud</v>
      </c>
      <c r="H26" s="14" t="str">
        <f>[1]!wwsCheckbox($C26,26,FALSE)</f>
        <v>mad</v>
      </c>
      <c r="I26" s="10" t="str">
        <f t="shared" si="1"/>
        <v>GOOD</v>
      </c>
      <c r="J26" s="32"/>
      <c r="K26" s="32"/>
      <c r="L26" s="32"/>
      <c r="M26" s="9">
        <f t="shared" si="3"/>
        <v>20</v>
      </c>
      <c r="N26" s="14" t="str">
        <f>[1]!wwsCheckbox($C26,126,FALSE)</f>
        <v>mad</v>
      </c>
      <c r="O26" s="14" t="str">
        <f>[1]!wwsCheckbox($B26,126,FALSE)</f>
        <v>mud</v>
      </c>
      <c r="P26" s="13">
        <f t="shared" si="2"/>
        <v>1</v>
      </c>
      <c r="Q26" s="32"/>
    </row>
    <row r="27" spans="1:17" s="10" customFormat="1" ht="25.05" customHeight="1">
      <c r="A27" s="75" t="str">
        <f t="shared" si="0"/>
        <v>clikt</v>
      </c>
      <c r="B27" s="84" t="s">
        <v>12</v>
      </c>
      <c r="C27" s="84" t="s">
        <v>46</v>
      </c>
      <c r="D27" s="17"/>
      <c r="E27" s="83" t="s">
        <v>12</v>
      </c>
      <c r="F27" s="52">
        <f t="shared" si="4"/>
        <v>21</v>
      </c>
      <c r="G27" s="14" t="str">
        <f>[1]!wwsCheckbox($B27,27,FALSE)</f>
        <v>nab</v>
      </c>
      <c r="H27" s="14" t="str">
        <f>[1]!wwsCheckbox($C27,27,FALSE)</f>
        <v>nub</v>
      </c>
      <c r="I27" s="10" t="str">
        <f t="shared" si="1"/>
        <v>GOOD</v>
      </c>
      <c r="J27" s="32"/>
      <c r="K27" s="32"/>
      <c r="L27" s="32"/>
      <c r="M27" s="9">
        <f t="shared" si="3"/>
        <v>21</v>
      </c>
      <c r="N27" s="14" t="str">
        <f>[1]!wwsCheckbox($C27,207,FALSE)</f>
        <v>nub</v>
      </c>
      <c r="O27" s="14" t="str">
        <f>[1]!wwsCheckbox($B27,207,FALSE)</f>
        <v>nab</v>
      </c>
      <c r="P27" s="13">
        <f t="shared" si="2"/>
        <v>1</v>
      </c>
      <c r="Q27" s="32"/>
    </row>
    <row r="28" spans="1:17" s="10" customFormat="1" ht="25.05" customHeight="1">
      <c r="A28" s="75" t="str">
        <f t="shared" si="0"/>
        <v>clikt</v>
      </c>
      <c r="B28" s="84" t="s">
        <v>22</v>
      </c>
      <c r="C28" s="84" t="s">
        <v>41</v>
      </c>
      <c r="D28" s="17"/>
      <c r="E28" s="83" t="s">
        <v>41</v>
      </c>
      <c r="F28" s="52">
        <f t="shared" si="4"/>
        <v>22</v>
      </c>
      <c r="G28" s="14" t="str">
        <f>[1]!wwsCheckbox($B28,28,FALSE)</f>
        <v>net</v>
      </c>
      <c r="H28" s="14" t="str">
        <f>[1]!wwsCheckbox($C28,28,FALSE)</f>
        <v>not</v>
      </c>
      <c r="I28" s="10" t="str">
        <f t="shared" si="1"/>
        <v>GOOD</v>
      </c>
      <c r="J28" s="32"/>
      <c r="K28" s="32"/>
      <c r="L28" s="31"/>
      <c r="M28" s="9">
        <f t="shared" si="3"/>
        <v>22</v>
      </c>
      <c r="N28" s="14" t="str">
        <f>[1]!wwsCheckbox($C28,208,FALSE)</f>
        <v>not</v>
      </c>
      <c r="O28" s="14" t="str">
        <f>[1]!wwsCheckbox($B28,208,FALSE)</f>
        <v>net</v>
      </c>
      <c r="P28" s="13">
        <f t="shared" si="2"/>
        <v>1</v>
      </c>
      <c r="Q28" s="32"/>
    </row>
    <row r="29" spans="1:17" s="10" customFormat="1" ht="25.05" customHeight="1">
      <c r="A29" s="75" t="str">
        <f t="shared" si="0"/>
        <v>clikt</v>
      </c>
      <c r="B29" s="84" t="s">
        <v>59</v>
      </c>
      <c r="C29" s="84" t="s">
        <v>46</v>
      </c>
      <c r="D29" s="17"/>
      <c r="E29" s="83" t="s">
        <v>59</v>
      </c>
      <c r="F29" s="52">
        <f t="shared" si="4"/>
        <v>23</v>
      </c>
      <c r="G29" s="14" t="str">
        <f>[1]!wwsCheckbox($B29,29,FALSE)</f>
        <v>nib</v>
      </c>
      <c r="H29" s="14" t="str">
        <f>[1]!wwsCheckbox($C29,29,FALSE)</f>
        <v>nub</v>
      </c>
      <c r="I29" s="10" t="str">
        <f t="shared" si="1"/>
        <v>GOOD</v>
      </c>
      <c r="J29" s="32"/>
      <c r="K29" s="32"/>
      <c r="L29" s="32"/>
      <c r="M29" s="9">
        <f t="shared" si="3"/>
        <v>23</v>
      </c>
      <c r="N29" s="14" t="str">
        <f>[1]!wwsCheckbox($C29,209,FALSE)</f>
        <v>nub</v>
      </c>
      <c r="O29" s="14" t="str">
        <f>[1]!wwsCheckbox($B29,209,FALSE)</f>
        <v>nib</v>
      </c>
      <c r="P29" s="13">
        <f t="shared" si="2"/>
        <v>1</v>
      </c>
      <c r="Q29" s="32"/>
    </row>
    <row r="30" spans="1:17" s="10" customFormat="1" ht="25.05" customHeight="1">
      <c r="A30" s="75" t="str">
        <f t="shared" si="0"/>
        <v>clikt</v>
      </c>
      <c r="B30" s="84" t="s">
        <v>32</v>
      </c>
      <c r="C30" s="84" t="s">
        <v>1</v>
      </c>
      <c r="D30" s="17"/>
      <c r="E30" s="83" t="s">
        <v>32</v>
      </c>
      <c r="F30" s="52">
        <f t="shared" si="4"/>
        <v>24</v>
      </c>
      <c r="G30" s="14" t="str">
        <f>[1]!wwsCheckbox($B30,30,FALSE)</f>
        <v>nip</v>
      </c>
      <c r="H30" s="14" t="str">
        <f>[1]!wwsCheckbox($C30,30,FALSE)</f>
        <v>nap</v>
      </c>
      <c r="I30" s="10" t="str">
        <f t="shared" si="1"/>
        <v>GOOD</v>
      </c>
      <c r="J30" s="32"/>
      <c r="K30" s="32"/>
      <c r="L30" s="32"/>
      <c r="M30" s="9">
        <f t="shared" si="3"/>
        <v>24</v>
      </c>
      <c r="N30" s="14" t="str">
        <f>[1]!wwsCheckbox($C30,210,FALSE)</f>
        <v>nap</v>
      </c>
      <c r="O30" s="14" t="str">
        <f>[1]!wwsCheckbox($B30,210,FALSE)</f>
        <v>nip</v>
      </c>
      <c r="P30" s="13">
        <f t="shared" si="2"/>
        <v>1</v>
      </c>
      <c r="Q30" s="32"/>
    </row>
    <row r="31" spans="1:17" s="10" customFormat="1" ht="25.05" customHeight="1">
      <c r="A31" s="75" t="str">
        <f t="shared" si="0"/>
        <v>clikt</v>
      </c>
      <c r="B31" s="84" t="s">
        <v>41</v>
      </c>
      <c r="C31" s="84" t="s">
        <v>22</v>
      </c>
      <c r="D31" s="17"/>
      <c r="E31" s="83" t="s">
        <v>22</v>
      </c>
      <c r="F31" s="52">
        <f t="shared" si="4"/>
        <v>25</v>
      </c>
      <c r="G31" s="14" t="str">
        <f>[1]!wwsCheckbox($B31,31,FALSE)</f>
        <v>not</v>
      </c>
      <c r="H31" s="14" t="str">
        <f>[1]!wwsCheckbox($C31,31,FALSE)</f>
        <v>net</v>
      </c>
      <c r="I31" s="10" t="str">
        <f t="shared" si="1"/>
        <v>GOOD</v>
      </c>
      <c r="J31" s="32"/>
      <c r="K31" s="32"/>
      <c r="L31" s="32"/>
      <c r="M31" s="9">
        <f t="shared" si="3"/>
        <v>25</v>
      </c>
      <c r="N31" s="14" t="str">
        <f>[1]!wwsCheckbox($C31,211,FALSE)</f>
        <v>net</v>
      </c>
      <c r="O31" s="14" t="str">
        <f>[1]!wwsCheckbox($B31,211,FALSE)</f>
        <v>not</v>
      </c>
      <c r="P31" s="13">
        <f t="shared" si="2"/>
        <v>1</v>
      </c>
      <c r="Q31" s="32"/>
    </row>
    <row r="32" spans="1:17" ht="25.05" customHeight="1">
      <c r="A32" s="75" t="str">
        <f t="shared" si="0"/>
        <v>clikt</v>
      </c>
      <c r="B32" s="84" t="s">
        <v>50</v>
      </c>
      <c r="C32" s="84" t="s">
        <v>41</v>
      </c>
      <c r="E32" s="83" t="s">
        <v>50</v>
      </c>
      <c r="F32" s="52">
        <f t="shared" si="4"/>
        <v>26</v>
      </c>
      <c r="G32" s="14" t="str">
        <f>[1]!wwsCheckbox($B32,32,FALSE)</f>
        <v>nut</v>
      </c>
      <c r="H32" s="14" t="str">
        <f>[1]!wwsCheckbox($C32,32,FALSE)</f>
        <v>not</v>
      </c>
      <c r="I32" s="10" t="str">
        <f t="shared" si="1"/>
        <v>GOOD</v>
      </c>
      <c r="J32" s="34"/>
      <c r="K32" s="34"/>
      <c r="L32" s="34"/>
      <c r="M32" s="9">
        <f t="shared" si="3"/>
        <v>26</v>
      </c>
      <c r="N32" s="14" t="str">
        <f>[1]!wwsCheckbox($C32,212,FALSE)</f>
        <v>not</v>
      </c>
      <c r="O32" s="14" t="str">
        <f>[1]!wwsCheckbox($B32,212,FALSE)</f>
        <v>nut</v>
      </c>
      <c r="P32" s="13">
        <f t="shared" si="2"/>
        <v>1</v>
      </c>
      <c r="Q32" s="34"/>
    </row>
    <row r="33" spans="1:20" ht="25.05" customHeight="1">
      <c r="A33" s="75" t="str">
        <f t="shared" si="0"/>
        <v>clikt</v>
      </c>
      <c r="B33" s="84" t="s">
        <v>18</v>
      </c>
      <c r="C33" s="84" t="s">
        <v>48</v>
      </c>
      <c r="E33" s="83" t="s">
        <v>18</v>
      </c>
      <c r="F33" s="52">
        <f t="shared" si="4"/>
        <v>27</v>
      </c>
      <c r="G33" s="14" t="str">
        <f>[1]!wwsCheckbox($B33,33,FALSE)</f>
        <v>pen</v>
      </c>
      <c r="H33" s="14" t="str">
        <f>[1]!wwsCheckbox($C33,33,FALSE)</f>
        <v>pun</v>
      </c>
      <c r="I33" s="10" t="str">
        <f t="shared" si="1"/>
        <v>GOOD</v>
      </c>
      <c r="M33" s="9">
        <f t="shared" si="3"/>
        <v>27</v>
      </c>
      <c r="N33" s="14" t="str">
        <f>[1]!wwsCheckbox($C33,213,FALSE)</f>
        <v>pun</v>
      </c>
      <c r="O33" s="14" t="str">
        <f>[1]!wwsCheckbox($B33,213,FALSE)</f>
        <v>pen</v>
      </c>
      <c r="P33" s="13">
        <f t="shared" si="2"/>
        <v>1</v>
      </c>
      <c r="Q33"/>
    </row>
    <row r="34" spans="1:20" ht="25.05" customHeight="1">
      <c r="A34" s="75" t="str">
        <f t="shared" si="0"/>
        <v>clikt</v>
      </c>
      <c r="B34" s="84" t="s">
        <v>68</v>
      </c>
      <c r="C34" s="84" t="s">
        <v>36</v>
      </c>
      <c r="E34" s="83" t="s">
        <v>68</v>
      </c>
      <c r="F34" s="52">
        <f t="shared" si="4"/>
        <v>28</v>
      </c>
      <c r="G34" s="14" t="str">
        <f>[1]!wwsCheckbox($B34,34,FALSE)</f>
        <v>pep</v>
      </c>
      <c r="H34" s="14" t="str">
        <f>[1]!wwsCheckbox($C34,34,FALSE)</f>
        <v>pop</v>
      </c>
      <c r="I34" s="10" t="str">
        <f t="shared" si="1"/>
        <v>GOOD</v>
      </c>
      <c r="M34" s="9">
        <f t="shared" si="3"/>
        <v>28</v>
      </c>
      <c r="N34" s="14" t="str">
        <f>[1]!wwsCheckbox($C34,214,FALSE)</f>
        <v>pop</v>
      </c>
      <c r="O34" s="14" t="str">
        <f>[1]!wwsCheckbox($B34,214,FALSE)</f>
        <v>pep</v>
      </c>
      <c r="P34" s="13">
        <f t="shared" si="2"/>
        <v>1</v>
      </c>
      <c r="Q34"/>
    </row>
    <row r="35" spans="1:20" ht="25.05" customHeight="1">
      <c r="A35" s="75" t="str">
        <f t="shared" si="0"/>
        <v>clikt</v>
      </c>
      <c r="B35" s="84" t="s">
        <v>23</v>
      </c>
      <c r="C35" s="84" t="s">
        <v>13</v>
      </c>
      <c r="E35" s="83" t="s">
        <v>13</v>
      </c>
      <c r="F35" s="52">
        <f t="shared" si="4"/>
        <v>29</v>
      </c>
      <c r="G35" s="14" t="str">
        <f>[1]!wwsCheckbox($B35,35,FALSE)</f>
        <v>pet</v>
      </c>
      <c r="H35" s="14" t="str">
        <f>[1]!wwsCheckbox($C35,35,FALSE)</f>
        <v>pat</v>
      </c>
      <c r="I35" s="10" t="str">
        <f t="shared" si="1"/>
        <v>GOOD</v>
      </c>
      <c r="M35" s="9">
        <f t="shared" si="3"/>
        <v>29</v>
      </c>
      <c r="N35" s="14" t="str">
        <f>[1]!wwsCheckbox($C35,215,FALSE)</f>
        <v>pat</v>
      </c>
      <c r="O35" s="14" t="str">
        <f>[1]!wwsCheckbox($B35,215,FALSE)</f>
        <v>pet</v>
      </c>
      <c r="P35" s="13">
        <f t="shared" si="2"/>
        <v>1</v>
      </c>
      <c r="Q35"/>
    </row>
    <row r="36" spans="1:20" ht="25.05" customHeight="1">
      <c r="A36" s="75" t="str">
        <f t="shared" si="0"/>
        <v>clikt</v>
      </c>
      <c r="B36" s="84" t="s">
        <v>33</v>
      </c>
      <c r="C36" s="84" t="s">
        <v>18</v>
      </c>
      <c r="E36" s="83" t="s">
        <v>33</v>
      </c>
      <c r="F36" s="52">
        <f t="shared" si="4"/>
        <v>30</v>
      </c>
      <c r="G36" s="14" t="str">
        <f>[1]!wwsCheckbox($B36,36,FALSE)</f>
        <v>pin</v>
      </c>
      <c r="H36" s="14" t="str">
        <f>[1]!wwsCheckbox($C36,36,FALSE)</f>
        <v>pen</v>
      </c>
      <c r="I36" s="10" t="str">
        <f t="shared" si="1"/>
        <v>GOOD</v>
      </c>
      <c r="M36" s="9">
        <f t="shared" si="3"/>
        <v>30</v>
      </c>
      <c r="N36" s="14" t="str">
        <f>[1]!wwsCheckbox($C36,216,FALSE)</f>
        <v>pen</v>
      </c>
      <c r="O36" s="14" t="str">
        <f>[1]!wwsCheckbox($B36,216,FALSE)</f>
        <v>pin</v>
      </c>
      <c r="P36" s="13">
        <f t="shared" si="2"/>
        <v>1</v>
      </c>
      <c r="Q36"/>
    </row>
    <row r="37" spans="1:20" ht="25.05" customHeight="1">
      <c r="A37" s="75" t="str">
        <f t="shared" si="0"/>
        <v>clikt</v>
      </c>
      <c r="B37" s="84" t="s">
        <v>30</v>
      </c>
      <c r="C37" s="84" t="s">
        <v>39</v>
      </c>
      <c r="E37" s="83" t="s">
        <v>30</v>
      </c>
      <c r="F37" s="52">
        <f t="shared" si="4"/>
        <v>31</v>
      </c>
      <c r="G37" s="14" t="str">
        <f>[1]!wwsCheckbox($B37,37,FALSE)</f>
        <v>pit</v>
      </c>
      <c r="H37" s="14" t="str">
        <f>[1]!wwsCheckbox($C37,37,FALSE)</f>
        <v>pot</v>
      </c>
      <c r="I37" s="10" t="str">
        <f t="shared" si="1"/>
        <v>GOOD</v>
      </c>
      <c r="M37" s="9">
        <f t="shared" si="3"/>
        <v>31</v>
      </c>
      <c r="N37" s="14" t="str">
        <f>[1]!wwsCheckbox($C37,217,FALSE)</f>
        <v>pot</v>
      </c>
      <c r="O37" s="14" t="str">
        <f>[1]!wwsCheckbox($B37,217,FALSE)</f>
        <v>pit</v>
      </c>
      <c r="P37" s="13">
        <f t="shared" si="2"/>
        <v>1</v>
      </c>
      <c r="Q37"/>
    </row>
    <row r="38" spans="1:20" ht="25.05" customHeight="1">
      <c r="A38" s="75" t="str">
        <f t="shared" si="0"/>
        <v>clikt</v>
      </c>
      <c r="B38" s="84" t="s">
        <v>40</v>
      </c>
      <c r="C38" s="84" t="s">
        <v>11</v>
      </c>
      <c r="E38" s="83" t="s">
        <v>11</v>
      </c>
      <c r="F38" s="52">
        <f t="shared" si="4"/>
        <v>32</v>
      </c>
      <c r="G38" s="14" t="str">
        <f>[1]!wwsCheckbox($B38,38,FALSE)</f>
        <v>pod</v>
      </c>
      <c r="H38" s="14" t="str">
        <f>[1]!wwsCheckbox($C38,38,FALSE)</f>
        <v>pad</v>
      </c>
      <c r="I38" s="10" t="str">
        <f t="shared" si="1"/>
        <v>GOOD</v>
      </c>
      <c r="M38" s="9">
        <f t="shared" si="3"/>
        <v>32</v>
      </c>
      <c r="N38" s="14" t="str">
        <f>[1]!wwsCheckbox($C38,218,FALSE)</f>
        <v>pad</v>
      </c>
      <c r="O38" s="14" t="str">
        <f>[1]!wwsCheckbox($B38,218,FALSE)</f>
        <v>pod</v>
      </c>
      <c r="P38" s="13">
        <f t="shared" si="2"/>
        <v>1</v>
      </c>
      <c r="Q38"/>
    </row>
    <row r="39" spans="1:20" ht="25.05" customHeight="1">
      <c r="A39" s="75" t="str">
        <f t="shared" si="0"/>
        <v>clikt</v>
      </c>
      <c r="B39" s="84" t="s">
        <v>36</v>
      </c>
      <c r="C39" s="84" t="s">
        <v>58</v>
      </c>
      <c r="E39" s="83" t="s">
        <v>36</v>
      </c>
      <c r="F39" s="52">
        <f t="shared" si="4"/>
        <v>33</v>
      </c>
      <c r="G39" s="14" t="str">
        <f>[1]!wwsCheckbox($B39,39,FALSE)</f>
        <v>pop</v>
      </c>
      <c r="H39" s="14" t="str">
        <f>[1]!wwsCheckbox($C39,39,FALSE)</f>
        <v>pup</v>
      </c>
      <c r="I39" s="10" t="str">
        <f t="shared" si="1"/>
        <v>GOOD</v>
      </c>
      <c r="M39" s="9">
        <f t="shared" si="3"/>
        <v>33</v>
      </c>
      <c r="N39" s="14" t="str">
        <f>[1]!wwsCheckbox($C39,219,FALSE)</f>
        <v>pup</v>
      </c>
      <c r="O39" s="14" t="str">
        <f>[1]!wwsCheckbox($B39,219,FALSE)</f>
        <v>pop</v>
      </c>
      <c r="P39" s="13">
        <f t="shared" si="2"/>
        <v>1</v>
      </c>
      <c r="Q39"/>
    </row>
    <row r="40" spans="1:20" ht="25.05" customHeight="1">
      <c r="A40" s="75" t="str">
        <f t="shared" si="0"/>
        <v>clikt</v>
      </c>
      <c r="B40" s="84" t="s">
        <v>39</v>
      </c>
      <c r="C40" s="84" t="s">
        <v>30</v>
      </c>
      <c r="E40" s="83" t="s">
        <v>39</v>
      </c>
      <c r="F40" s="52">
        <f t="shared" si="4"/>
        <v>34</v>
      </c>
      <c r="G40" s="14" t="str">
        <f>[1]!wwsCheckbox($B40,40,FALSE)</f>
        <v>pot</v>
      </c>
      <c r="H40" s="14" t="str">
        <f>[1]!wwsCheckbox($C40,40,FALSE)</f>
        <v>pit</v>
      </c>
      <c r="I40" s="10" t="str">
        <f t="shared" si="1"/>
        <v>GOOD</v>
      </c>
      <c r="M40" s="9">
        <f t="shared" si="3"/>
        <v>34</v>
      </c>
      <c r="N40" s="14" t="str">
        <f>[1]!wwsCheckbox($C40,220,FALSE)</f>
        <v>pit</v>
      </c>
      <c r="O40" s="14" t="str">
        <f>[1]!wwsCheckbox($B40,220,FALSE)</f>
        <v>pot</v>
      </c>
      <c r="P40" s="13">
        <f t="shared" si="2"/>
        <v>1</v>
      </c>
      <c r="Q40"/>
    </row>
    <row r="41" spans="1:20" ht="25.05" customHeight="1">
      <c r="A41" s="75" t="str">
        <f t="shared" si="0"/>
        <v>clikt</v>
      </c>
      <c r="B41" s="84" t="s">
        <v>48</v>
      </c>
      <c r="C41" s="84" t="s">
        <v>18</v>
      </c>
      <c r="E41" s="83" t="s">
        <v>48</v>
      </c>
      <c r="F41" s="52">
        <f t="shared" si="4"/>
        <v>35</v>
      </c>
      <c r="G41" s="14" t="str">
        <f>[1]!wwsCheckbox($B41,41,FALSE)</f>
        <v>pun</v>
      </c>
      <c r="H41" s="14" t="str">
        <f>[1]!wwsCheckbox($C41,41,FALSE)</f>
        <v>pen</v>
      </c>
      <c r="I41" s="10" t="str">
        <f t="shared" si="1"/>
        <v>GOOD</v>
      </c>
      <c r="M41" s="9">
        <f t="shared" si="3"/>
        <v>35</v>
      </c>
      <c r="N41" s="14" t="str">
        <f>[1]!wwsCheckbox($C41,221,FALSE)</f>
        <v>pen</v>
      </c>
      <c r="O41" s="14" t="str">
        <f>[1]!wwsCheckbox($B41,221,FALSE)</f>
        <v>pun</v>
      </c>
      <c r="P41" s="13">
        <f t="shared" si="2"/>
        <v>1</v>
      </c>
      <c r="Q41"/>
    </row>
    <row r="42" spans="1:20" ht="25.05" customHeight="1">
      <c r="A42" s="75" t="str">
        <f t="shared" si="0"/>
        <v>clikt</v>
      </c>
      <c r="B42" s="84" t="s">
        <v>58</v>
      </c>
      <c r="C42" s="84" t="s">
        <v>36</v>
      </c>
      <c r="E42" s="83" t="s">
        <v>36</v>
      </c>
      <c r="F42" s="52">
        <f t="shared" si="4"/>
        <v>36</v>
      </c>
      <c r="G42" s="14" t="str">
        <f>[1]!wwsCheckbox($B42,42,FALSE)</f>
        <v>pup</v>
      </c>
      <c r="H42" s="14" t="str">
        <f>[1]!wwsCheckbox($C42,42,FALSE)</f>
        <v>pop</v>
      </c>
      <c r="I42" s="10" t="str">
        <f t="shared" si="1"/>
        <v>GOOD</v>
      </c>
      <c r="M42" s="9">
        <f t="shared" si="3"/>
        <v>36</v>
      </c>
      <c r="N42" s="14" t="str">
        <f>[1]!wwsCheckbox($C42,222,FALSE)</f>
        <v>pop</v>
      </c>
      <c r="O42" s="14" t="str">
        <f>[1]!wwsCheckbox($B42,222,FALSE)</f>
        <v>pup</v>
      </c>
      <c r="P42" s="13">
        <f t="shared" si="2"/>
        <v>1</v>
      </c>
      <c r="Q42"/>
    </row>
    <row r="43" spans="1:20" ht="25.05" customHeight="1">
      <c r="A43" s="75" t="str">
        <f t="shared" si="0"/>
        <v>clikt</v>
      </c>
      <c r="B43" s="84" t="s">
        <v>24</v>
      </c>
      <c r="C43" s="84" t="s">
        <v>19</v>
      </c>
      <c r="E43" s="83" t="s">
        <v>19</v>
      </c>
      <c r="F43" s="52">
        <f t="shared" si="4"/>
        <v>37</v>
      </c>
      <c r="G43" s="14" t="str">
        <f>[1]!wwsCheckbox($B43,43,FALSE)</f>
        <v>tin</v>
      </c>
      <c r="H43" s="14" t="str">
        <f>[1]!wwsCheckbox($C43,43,FALSE)</f>
        <v>ten</v>
      </c>
      <c r="I43" s="10" t="str">
        <f t="shared" si="1"/>
        <v>GOOD</v>
      </c>
      <c r="M43" s="9">
        <f t="shared" si="3"/>
        <v>37</v>
      </c>
      <c r="N43" s="14" t="str">
        <f>[1]!wwsCheckbox($C43,223,FALSE)</f>
        <v>ten</v>
      </c>
      <c r="O43" s="14" t="str">
        <f>[1]!wwsCheckbox($B43,223,FALSE)</f>
        <v>tin</v>
      </c>
      <c r="P43" s="13">
        <f t="shared" si="2"/>
        <v>1</v>
      </c>
      <c r="Q43"/>
    </row>
    <row r="44" spans="1:20" ht="25.05" customHeight="1">
      <c r="A44" s="75" t="str">
        <f t="shared" si="0"/>
        <v>clikt</v>
      </c>
      <c r="B44" s="84" t="s">
        <v>27</v>
      </c>
      <c r="C44" s="84" t="s">
        <v>38</v>
      </c>
      <c r="E44" s="83" t="s">
        <v>27</v>
      </c>
      <c r="F44" s="52">
        <f t="shared" si="4"/>
        <v>38</v>
      </c>
      <c r="G44" s="14" t="str">
        <f>[1]!wwsCheckbox($B44,44,FALSE)</f>
        <v>tip</v>
      </c>
      <c r="H44" s="14" t="str">
        <f>[1]!wwsCheckbox($C44,44,FALSE)</f>
        <v>top</v>
      </c>
      <c r="I44" s="10" t="str">
        <f t="shared" si="1"/>
        <v>GOOD</v>
      </c>
      <c r="M44" s="9">
        <f t="shared" si="3"/>
        <v>38</v>
      </c>
      <c r="N44" s="14" t="str">
        <f>[1]!wwsCheckbox($C44,224,FALSE)</f>
        <v>top</v>
      </c>
      <c r="O44" s="14" t="str">
        <f>[1]!wwsCheckbox($B44,224,FALSE)</f>
        <v>tip</v>
      </c>
      <c r="P44" s="13">
        <f t="shared" si="2"/>
        <v>1</v>
      </c>
      <c r="Q44"/>
    </row>
    <row r="45" spans="1:20" ht="25.05" customHeight="1">
      <c r="A45" s="75" t="str">
        <f t="shared" si="0"/>
        <v>clikt</v>
      </c>
      <c r="B45" s="84" t="s">
        <v>38</v>
      </c>
      <c r="C45" s="84" t="s">
        <v>2</v>
      </c>
      <c r="E45" s="83" t="s">
        <v>38</v>
      </c>
      <c r="F45" s="52">
        <f t="shared" si="4"/>
        <v>39</v>
      </c>
      <c r="G45" s="14" t="str">
        <f>[1]!wwsCheckbox($B45,45,FALSE)</f>
        <v>top</v>
      </c>
      <c r="H45" s="14" t="str">
        <f>[1]!wwsCheckbox($C45,45,FALSE)</f>
        <v>tap</v>
      </c>
      <c r="I45" s="10" t="str">
        <f t="shared" si="1"/>
        <v>GOOD</v>
      </c>
      <c r="M45" s="9">
        <f t="shared" si="3"/>
        <v>39</v>
      </c>
      <c r="N45" s="14" t="str">
        <f>[1]!wwsCheckbox($C45,225,FALSE)</f>
        <v>tap</v>
      </c>
      <c r="O45" s="14" t="str">
        <f>[1]!wwsCheckbox($B45,225,FALSE)</f>
        <v>top</v>
      </c>
      <c r="P45" s="13">
        <f t="shared" si="2"/>
        <v>1</v>
      </c>
      <c r="Q45"/>
    </row>
    <row r="46" spans="1:20" ht="25.05" customHeight="1">
      <c r="A46" s="75" t="str">
        <f t="shared" si="0"/>
        <v>clikt</v>
      </c>
      <c r="B46" s="84" t="s">
        <v>45</v>
      </c>
      <c r="C46" s="84" t="s">
        <v>5</v>
      </c>
      <c r="E46" s="83" t="s">
        <v>5</v>
      </c>
      <c r="F46" s="52">
        <f t="shared" si="4"/>
        <v>40</v>
      </c>
      <c r="G46" s="14" t="str">
        <f>[1]!wwsCheckbox($B46,46,FALSE)</f>
        <v>tub</v>
      </c>
      <c r="H46" s="14" t="str">
        <f>[1]!wwsCheckbox($C46,46,FALSE)</f>
        <v>tab</v>
      </c>
      <c r="I46" s="10" t="str">
        <f t="shared" si="1"/>
        <v>GOOD</v>
      </c>
      <c r="M46" s="9">
        <f t="shared" si="3"/>
        <v>40</v>
      </c>
      <c r="N46" s="14" t="str">
        <f>[1]!wwsCheckbox($C46,226,FALSE)</f>
        <v>tab</v>
      </c>
      <c r="O46" s="14" t="str">
        <f>[1]!wwsCheckbox($B46,226,FALSE)</f>
        <v>tub</v>
      </c>
      <c r="P46" s="13">
        <f t="shared" si="2"/>
        <v>1</v>
      </c>
      <c r="Q46"/>
    </row>
    <row r="47" spans="1:20" ht="17.399999999999999">
      <c r="A47" s="85"/>
      <c r="E47" s="85"/>
      <c r="M47" s="49">
        <f>SUM(N47:O47)</f>
        <v>2</v>
      </c>
      <c r="N47" s="83">
        <f>IF(OR(N45=C45,N46=C46),1,0)</f>
        <v>1</v>
      </c>
      <c r="O47" s="83">
        <f>IF(OR(O45=B45,O46=B46),1,0)</f>
        <v>1</v>
      </c>
      <c r="P47" s="107">
        <f>SUM(P7:P46)/40</f>
        <v>1</v>
      </c>
      <c r="Q47" s="82"/>
      <c r="R47" s="6"/>
      <c r="T47" s="117"/>
    </row>
    <row r="48" spans="1:20">
      <c r="A48" s="85"/>
      <c r="E48" s="85"/>
      <c r="N48" s="6"/>
      <c r="O48" s="82"/>
      <c r="P48" s="82"/>
      <c r="Q48" s="82"/>
      <c r="R48" s="6"/>
    </row>
    <row r="49" spans="20:20">
      <c r="T49" t="s">
        <v>55</v>
      </c>
    </row>
  </sheetData>
  <mergeCells count="9">
    <mergeCell ref="C2:E2"/>
    <mergeCell ref="F2:I2"/>
    <mergeCell ref="D3:G3"/>
    <mergeCell ref="N6:O6"/>
    <mergeCell ref="G6:H6"/>
    <mergeCell ref="E4:E5"/>
    <mergeCell ref="N5:Q5"/>
    <mergeCell ref="N4:O4"/>
    <mergeCell ref="G4:H4"/>
  </mergeCells>
  <conditionalFormatting sqref="M7">
    <cfRule type="cellIs" priority="1891" operator="between">
      <formula>1</formula>
      <formula>2</formula>
    </cfRule>
    <cfRule type="cellIs" dxfId="1016" priority="1892" operator="equal">
      <formula>"""GOOD"""</formula>
    </cfRule>
  </conditionalFormatting>
  <conditionalFormatting sqref="K4">
    <cfRule type="cellIs" dxfId="1015" priority="1896" operator="equal">
      <formula>"""GOOD"""</formula>
    </cfRule>
  </conditionalFormatting>
  <conditionalFormatting sqref="T8">
    <cfRule type="cellIs" dxfId="1014" priority="1895" operator="equal">
      <formula>87</formula>
    </cfRule>
  </conditionalFormatting>
  <conditionalFormatting sqref="E7">
    <cfRule type="expression" dxfId="1013" priority="1079">
      <formula>OR($N7&lt;&gt;"",#REF!&lt;&gt;"",$O7&lt;&gt;"")</formula>
    </cfRule>
  </conditionalFormatting>
  <conditionalFormatting sqref="E8">
    <cfRule type="expression" dxfId="1012" priority="1040">
      <formula>OR($N8&lt;&gt;"",#REF!&lt;&gt;"",$O8&lt;&gt;"")</formula>
    </cfRule>
  </conditionalFormatting>
  <conditionalFormatting sqref="E9">
    <cfRule type="expression" dxfId="1011" priority="1039">
      <formula>OR($N9&lt;&gt;"",#REF!&lt;&gt;"",$O9&lt;&gt;"")</formula>
    </cfRule>
  </conditionalFormatting>
  <conditionalFormatting sqref="E10">
    <cfRule type="expression" dxfId="1010" priority="1038">
      <formula>OR($N10&lt;&gt;"",#REF!&lt;&gt;"",$O10&lt;&gt;"")</formula>
    </cfRule>
  </conditionalFormatting>
  <conditionalFormatting sqref="E11">
    <cfRule type="expression" dxfId="1009" priority="1037">
      <formula>OR($N11&lt;&gt;"",#REF!&lt;&gt;"",$O11&lt;&gt;"")</formula>
    </cfRule>
  </conditionalFormatting>
  <conditionalFormatting sqref="E12">
    <cfRule type="expression" dxfId="1008" priority="1036">
      <formula>OR($N12&lt;&gt;"",#REF!&lt;&gt;"",$O12&lt;&gt;"")</formula>
    </cfRule>
  </conditionalFormatting>
  <conditionalFormatting sqref="E13">
    <cfRule type="expression" dxfId="1007" priority="1035">
      <formula>OR($N13&lt;&gt;"",#REF!&lt;&gt;"",$O13&lt;&gt;"")</formula>
    </cfRule>
  </conditionalFormatting>
  <conditionalFormatting sqref="E14">
    <cfRule type="expression" dxfId="1006" priority="1034">
      <formula>OR($N14&lt;&gt;"",#REF!&lt;&gt;"",$O14&lt;&gt;"")</formula>
    </cfRule>
  </conditionalFormatting>
  <conditionalFormatting sqref="E15">
    <cfRule type="expression" dxfId="1005" priority="1033">
      <formula>OR($N15&lt;&gt;"",#REF!&lt;&gt;"",$O15&lt;&gt;"")</formula>
    </cfRule>
  </conditionalFormatting>
  <conditionalFormatting sqref="E16">
    <cfRule type="expression" dxfId="1004" priority="1032">
      <formula>OR($N16&lt;&gt;"",#REF!&lt;&gt;"",$O16&lt;&gt;"")</formula>
    </cfRule>
  </conditionalFormatting>
  <conditionalFormatting sqref="E17">
    <cfRule type="expression" dxfId="1003" priority="1031">
      <formula>OR($N17&lt;&gt;"",#REF!&lt;&gt;"",$O17&lt;&gt;"")</formula>
    </cfRule>
  </conditionalFormatting>
  <conditionalFormatting sqref="E18">
    <cfRule type="expression" dxfId="1002" priority="1030">
      <formula>OR($N18&lt;&gt;"",#REF!&lt;&gt;"",$O18&lt;&gt;"")</formula>
    </cfRule>
  </conditionalFormatting>
  <conditionalFormatting sqref="E19">
    <cfRule type="expression" dxfId="1001" priority="1029">
      <formula>OR($N19&lt;&gt;"",#REF!&lt;&gt;"",$O19&lt;&gt;"")</formula>
    </cfRule>
  </conditionalFormatting>
  <conditionalFormatting sqref="E20">
    <cfRule type="expression" dxfId="1000" priority="1028">
      <formula>OR($N20&lt;&gt;"",#REF!&lt;&gt;"",$O20&lt;&gt;"")</formula>
    </cfRule>
  </conditionalFormatting>
  <conditionalFormatting sqref="E21">
    <cfRule type="expression" dxfId="999" priority="1027">
      <formula>OR($N21&lt;&gt;"",#REF!&lt;&gt;"",$O21&lt;&gt;"")</formula>
    </cfRule>
  </conditionalFormatting>
  <conditionalFormatting sqref="E22">
    <cfRule type="expression" dxfId="998" priority="1026">
      <formula>OR($N22&lt;&gt;"",#REF!&lt;&gt;"",$O22&lt;&gt;"")</formula>
    </cfRule>
  </conditionalFormatting>
  <conditionalFormatting sqref="E23">
    <cfRule type="expression" dxfId="997" priority="1025">
      <formula>OR($N23&lt;&gt;"",#REF!&lt;&gt;"",$O23&lt;&gt;"")</formula>
    </cfRule>
  </conditionalFormatting>
  <conditionalFormatting sqref="E24">
    <cfRule type="expression" dxfId="996" priority="1024">
      <formula>OR($N24&lt;&gt;"",#REF!&lt;&gt;"",$O24&lt;&gt;"")</formula>
    </cfRule>
  </conditionalFormatting>
  <conditionalFormatting sqref="E25">
    <cfRule type="expression" dxfId="995" priority="1023">
      <formula>OR($N25&lt;&gt;"",#REF!&lt;&gt;"",$O25&lt;&gt;"")</formula>
    </cfRule>
  </conditionalFormatting>
  <conditionalFormatting sqref="E26">
    <cfRule type="expression" dxfId="994" priority="1022">
      <formula>OR($N26&lt;&gt;"",#REF!&lt;&gt;"",$O26&lt;&gt;"")</formula>
    </cfRule>
  </conditionalFormatting>
  <conditionalFormatting sqref="E27">
    <cfRule type="expression" dxfId="993" priority="1021">
      <formula>OR($N27&lt;&gt;"",#REF!&lt;&gt;"",$O27&lt;&gt;"")</formula>
    </cfRule>
  </conditionalFormatting>
  <conditionalFormatting sqref="E28">
    <cfRule type="expression" dxfId="992" priority="1020">
      <formula>OR($N28&lt;&gt;"",#REF!&lt;&gt;"",$O28&lt;&gt;"")</formula>
    </cfRule>
  </conditionalFormatting>
  <conditionalFormatting sqref="E29">
    <cfRule type="expression" dxfId="991" priority="1019">
      <formula>OR($N29&lt;&gt;"",#REF!&lt;&gt;"",$O29&lt;&gt;"")</formula>
    </cfRule>
  </conditionalFormatting>
  <conditionalFormatting sqref="E30">
    <cfRule type="expression" dxfId="990" priority="1018">
      <formula>OR($N30&lt;&gt;"",#REF!&lt;&gt;"",$O30&lt;&gt;"")</formula>
    </cfRule>
  </conditionalFormatting>
  <conditionalFormatting sqref="E31">
    <cfRule type="expression" dxfId="989" priority="1017">
      <formula>OR($N31&lt;&gt;"",#REF!&lt;&gt;"",$O31&lt;&gt;"")</formula>
    </cfRule>
  </conditionalFormatting>
  <conditionalFormatting sqref="E32">
    <cfRule type="expression" dxfId="988" priority="1016">
      <formula>OR($N32&lt;&gt;"",#REF!&lt;&gt;"",$O32&lt;&gt;"")</formula>
    </cfRule>
  </conditionalFormatting>
  <conditionalFormatting sqref="E33">
    <cfRule type="expression" dxfId="987" priority="1015">
      <formula>OR($N33&lt;&gt;"",#REF!&lt;&gt;"",$O33&lt;&gt;"")</formula>
    </cfRule>
  </conditionalFormatting>
  <conditionalFormatting sqref="E34">
    <cfRule type="expression" dxfId="986" priority="1014">
      <formula>OR($N34&lt;&gt;"",#REF!&lt;&gt;"",$O34&lt;&gt;"")</formula>
    </cfRule>
  </conditionalFormatting>
  <conditionalFormatting sqref="E35">
    <cfRule type="expression" dxfId="985" priority="1013">
      <formula>OR($N35&lt;&gt;"",#REF!&lt;&gt;"",$O35&lt;&gt;"")</formula>
    </cfRule>
  </conditionalFormatting>
  <conditionalFormatting sqref="E36">
    <cfRule type="expression" dxfId="984" priority="1012">
      <formula>OR($N36&lt;&gt;"",#REF!&lt;&gt;"",$O36&lt;&gt;"")</formula>
    </cfRule>
  </conditionalFormatting>
  <conditionalFormatting sqref="E37">
    <cfRule type="expression" dxfId="983" priority="1011">
      <formula>OR($N37&lt;&gt;"",#REF!&lt;&gt;"",$O37&lt;&gt;"")</formula>
    </cfRule>
  </conditionalFormatting>
  <conditionalFormatting sqref="E38">
    <cfRule type="expression" dxfId="982" priority="1010">
      <formula>OR($N38&lt;&gt;"",#REF!&lt;&gt;"",$O38&lt;&gt;"")</formula>
    </cfRule>
  </conditionalFormatting>
  <conditionalFormatting sqref="E39">
    <cfRule type="expression" dxfId="981" priority="1009">
      <formula>OR($N39&lt;&gt;"",#REF!&lt;&gt;"",$O39&lt;&gt;"")</formula>
    </cfRule>
  </conditionalFormatting>
  <conditionalFormatting sqref="E40">
    <cfRule type="expression" dxfId="980" priority="1008">
      <formula>OR($N40&lt;&gt;"",#REF!&lt;&gt;"",$O40&lt;&gt;"")</formula>
    </cfRule>
  </conditionalFormatting>
  <conditionalFormatting sqref="E41">
    <cfRule type="expression" dxfId="979" priority="1007">
      <formula>OR($N41&lt;&gt;"",#REF!&lt;&gt;"",$O41&lt;&gt;"")</formula>
    </cfRule>
  </conditionalFormatting>
  <conditionalFormatting sqref="E42">
    <cfRule type="expression" dxfId="978" priority="1006">
      <formula>OR($N42&lt;&gt;"",#REF!&lt;&gt;"",$O42&lt;&gt;"")</formula>
    </cfRule>
  </conditionalFormatting>
  <conditionalFormatting sqref="E43">
    <cfRule type="expression" dxfId="977" priority="1005">
      <formula>OR($N43&lt;&gt;"",#REF!&lt;&gt;"",$O43&lt;&gt;"")</formula>
    </cfRule>
  </conditionalFormatting>
  <conditionalFormatting sqref="E44">
    <cfRule type="expression" dxfId="976" priority="1004">
      <formula>OR($N44&lt;&gt;"",#REF!&lt;&gt;"",$O44&lt;&gt;"")</formula>
    </cfRule>
  </conditionalFormatting>
  <conditionalFormatting sqref="E45">
    <cfRule type="expression" dxfId="975" priority="1003">
      <formula>OR($N45&lt;&gt;"",#REF!&lt;&gt;"",$O45&lt;&gt;"")</formula>
    </cfRule>
  </conditionalFormatting>
  <conditionalFormatting sqref="E46">
    <cfRule type="expression" dxfId="974" priority="1002">
      <formula>OR($N46&lt;&gt;"",#REF!&lt;&gt;"",$O46&lt;&gt;"")</formula>
    </cfRule>
  </conditionalFormatting>
  <conditionalFormatting sqref="N9">
    <cfRule type="expression" dxfId="973" priority="411">
      <formula>OR($N9&lt;&gt;"",$O9&lt;&gt;"")</formula>
    </cfRule>
  </conditionalFormatting>
  <conditionalFormatting sqref="N10">
    <cfRule type="expression" dxfId="972" priority="410">
      <formula>OR($N10&lt;&gt;"",$O10&lt;&gt;"")</formula>
    </cfRule>
  </conditionalFormatting>
  <conditionalFormatting sqref="N11">
    <cfRule type="expression" dxfId="971" priority="409">
      <formula>OR($N11&lt;&gt;"",$O11&lt;&gt;"")</formula>
    </cfRule>
  </conditionalFormatting>
  <conditionalFormatting sqref="N12">
    <cfRule type="expression" dxfId="970" priority="408">
      <formula>OR($N12&lt;&gt;"",$O12&lt;&gt;"")</formula>
    </cfRule>
  </conditionalFormatting>
  <conditionalFormatting sqref="N13">
    <cfRule type="expression" dxfId="969" priority="407">
      <formula>OR($N13&lt;&gt;"",$O13&lt;&gt;"")</formula>
    </cfRule>
  </conditionalFormatting>
  <conditionalFormatting sqref="N14">
    <cfRule type="expression" dxfId="968" priority="406">
      <formula>OR($N14&lt;&gt;"",$O14&lt;&gt;"")</formula>
    </cfRule>
  </conditionalFormatting>
  <conditionalFormatting sqref="N15">
    <cfRule type="expression" dxfId="967" priority="405">
      <formula>OR($N15&lt;&gt;"",$O15&lt;&gt;"")</formula>
    </cfRule>
  </conditionalFormatting>
  <conditionalFormatting sqref="N16">
    <cfRule type="expression" dxfId="966" priority="404">
      <formula>OR($N16&lt;&gt;"",$O16&lt;&gt;"")</formula>
    </cfRule>
  </conditionalFormatting>
  <conditionalFormatting sqref="N17">
    <cfRule type="expression" dxfId="965" priority="403">
      <formula>OR($N17&lt;&gt;"",$O17&lt;&gt;"")</formula>
    </cfRule>
  </conditionalFormatting>
  <conditionalFormatting sqref="N18">
    <cfRule type="expression" dxfId="964" priority="402">
      <formula>OR($N18&lt;&gt;"",$O18&lt;&gt;"")</formula>
    </cfRule>
  </conditionalFormatting>
  <conditionalFormatting sqref="N19">
    <cfRule type="expression" dxfId="963" priority="401">
      <formula>OR($N19&lt;&gt;"",$O19&lt;&gt;"")</formula>
    </cfRule>
  </conditionalFormatting>
  <conditionalFormatting sqref="N20">
    <cfRule type="expression" dxfId="962" priority="400">
      <formula>OR($N20&lt;&gt;"",$O20&lt;&gt;"")</formula>
    </cfRule>
  </conditionalFormatting>
  <conditionalFormatting sqref="N21">
    <cfRule type="expression" dxfId="961" priority="399">
      <formula>OR($N21&lt;&gt;"",$O21&lt;&gt;"")</formula>
    </cfRule>
  </conditionalFormatting>
  <conditionalFormatting sqref="N22">
    <cfRule type="expression" dxfId="960" priority="398">
      <formula>OR($N22&lt;&gt;"",$O22&lt;&gt;"")</formula>
    </cfRule>
  </conditionalFormatting>
  <conditionalFormatting sqref="N23">
    <cfRule type="expression" dxfId="959" priority="397">
      <formula>OR($N23&lt;&gt;"",$O23&lt;&gt;"")</formula>
    </cfRule>
  </conditionalFormatting>
  <conditionalFormatting sqref="N24">
    <cfRule type="expression" dxfId="958" priority="396">
      <formula>OR($N24&lt;&gt;"",$O24&lt;&gt;"")</formula>
    </cfRule>
  </conditionalFormatting>
  <conditionalFormatting sqref="N25">
    <cfRule type="expression" dxfId="957" priority="395">
      <formula>OR($N25&lt;&gt;"",$O25&lt;&gt;"")</formula>
    </cfRule>
  </conditionalFormatting>
  <conditionalFormatting sqref="N26">
    <cfRule type="expression" dxfId="956" priority="394">
      <formula>OR($N26&lt;&gt;"",$O26&lt;&gt;"")</formula>
    </cfRule>
  </conditionalFormatting>
  <conditionalFormatting sqref="N27">
    <cfRule type="expression" dxfId="955" priority="393">
      <formula>OR($N27&lt;&gt;"",$O27&lt;&gt;"")</formula>
    </cfRule>
  </conditionalFormatting>
  <conditionalFormatting sqref="N28">
    <cfRule type="expression" dxfId="954" priority="392">
      <formula>OR($N28&lt;&gt;"",$O28&lt;&gt;"")</formula>
    </cfRule>
  </conditionalFormatting>
  <conditionalFormatting sqref="N29">
    <cfRule type="expression" dxfId="953" priority="391">
      <formula>OR($N29&lt;&gt;"",$O29&lt;&gt;"")</formula>
    </cfRule>
  </conditionalFormatting>
  <conditionalFormatting sqref="N30">
    <cfRule type="expression" dxfId="952" priority="390">
      <formula>OR($N30&lt;&gt;"",$O30&lt;&gt;"")</formula>
    </cfRule>
  </conditionalFormatting>
  <conditionalFormatting sqref="N31">
    <cfRule type="expression" dxfId="951" priority="389">
      <formula>OR($N31&lt;&gt;"",$O31&lt;&gt;"")</formula>
    </cfRule>
  </conditionalFormatting>
  <conditionalFormatting sqref="N32">
    <cfRule type="expression" dxfId="950" priority="388">
      <formula>OR($N32&lt;&gt;"",$O32&lt;&gt;"")</formula>
    </cfRule>
  </conditionalFormatting>
  <conditionalFormatting sqref="N33">
    <cfRule type="expression" dxfId="949" priority="387">
      <formula>OR($N33&lt;&gt;"",$O33&lt;&gt;"")</formula>
    </cfRule>
  </conditionalFormatting>
  <conditionalFormatting sqref="N34">
    <cfRule type="expression" dxfId="948" priority="386">
      <formula>OR($N34&lt;&gt;"",$O34&lt;&gt;"")</formula>
    </cfRule>
  </conditionalFormatting>
  <conditionalFormatting sqref="N35">
    <cfRule type="expression" dxfId="947" priority="385">
      <formula>OR($N35&lt;&gt;"",$O35&lt;&gt;"")</formula>
    </cfRule>
  </conditionalFormatting>
  <conditionalFormatting sqref="N36">
    <cfRule type="expression" dxfId="946" priority="384">
      <formula>OR($N36&lt;&gt;"",$O36&lt;&gt;"")</formula>
    </cfRule>
  </conditionalFormatting>
  <conditionalFormatting sqref="N37">
    <cfRule type="expression" dxfId="945" priority="383">
      <formula>OR($N37&lt;&gt;"",$O37&lt;&gt;"")</formula>
    </cfRule>
  </conditionalFormatting>
  <conditionalFormatting sqref="N38">
    <cfRule type="expression" dxfId="944" priority="382">
      <formula>OR($N38&lt;&gt;"",$O38&lt;&gt;"")</formula>
    </cfRule>
  </conditionalFormatting>
  <conditionalFormatting sqref="N39">
    <cfRule type="expression" dxfId="943" priority="381">
      <formula>OR($N39&lt;&gt;"",$O39&lt;&gt;"")</formula>
    </cfRule>
  </conditionalFormatting>
  <conditionalFormatting sqref="N40">
    <cfRule type="expression" dxfId="942" priority="380">
      <formula>OR($N40&lt;&gt;"",$O40&lt;&gt;"")</formula>
    </cfRule>
  </conditionalFormatting>
  <conditionalFormatting sqref="N41">
    <cfRule type="expression" dxfId="941" priority="379">
      <formula>OR($N41&lt;&gt;"",$O41&lt;&gt;"")</formula>
    </cfRule>
  </conditionalFormatting>
  <conditionalFormatting sqref="N42">
    <cfRule type="expression" dxfId="940" priority="378">
      <formula>OR($N42&lt;&gt;"",$O42&lt;&gt;"")</formula>
    </cfRule>
  </conditionalFormatting>
  <conditionalFormatting sqref="N43">
    <cfRule type="expression" dxfId="939" priority="377">
      <formula>OR($N43&lt;&gt;"",$O43&lt;&gt;"")</formula>
    </cfRule>
  </conditionalFormatting>
  <conditionalFormatting sqref="N44">
    <cfRule type="expression" dxfId="938" priority="376">
      <formula>OR($N44&lt;&gt;"",$O44&lt;&gt;"")</formula>
    </cfRule>
  </conditionalFormatting>
  <conditionalFormatting sqref="N45">
    <cfRule type="expression" dxfId="937" priority="375">
      <formula>OR($N45&lt;&gt;"",$O45&lt;&gt;"")</formula>
    </cfRule>
  </conditionalFormatting>
  <conditionalFormatting sqref="O9">
    <cfRule type="expression" dxfId="936" priority="373">
      <formula>OR($N9&lt;&gt;"",$O9&lt;&gt;"")</formula>
    </cfRule>
  </conditionalFormatting>
  <conditionalFormatting sqref="O10">
    <cfRule type="expression" dxfId="935" priority="372">
      <formula>OR($N10&lt;&gt;"",$O10&lt;&gt;"")</formula>
    </cfRule>
  </conditionalFormatting>
  <conditionalFormatting sqref="O11">
    <cfRule type="expression" dxfId="934" priority="371">
      <formula>OR($N11&lt;&gt;"",$O11&lt;&gt;"")</formula>
    </cfRule>
  </conditionalFormatting>
  <conditionalFormatting sqref="O12">
    <cfRule type="expression" dxfId="933" priority="370">
      <formula>OR($N12&lt;&gt;"",$O12&lt;&gt;"")</formula>
    </cfRule>
  </conditionalFormatting>
  <conditionalFormatting sqref="O13">
    <cfRule type="expression" dxfId="932" priority="369">
      <formula>OR($N13&lt;&gt;"",$O13&lt;&gt;"")</formula>
    </cfRule>
  </conditionalFormatting>
  <conditionalFormatting sqref="O14">
    <cfRule type="expression" dxfId="931" priority="368">
      <formula>OR($N14&lt;&gt;"",$O14&lt;&gt;"")</formula>
    </cfRule>
  </conditionalFormatting>
  <conditionalFormatting sqref="O15">
    <cfRule type="expression" dxfId="930" priority="367">
      <formula>OR($N15&lt;&gt;"",$O15&lt;&gt;"")</formula>
    </cfRule>
  </conditionalFormatting>
  <conditionalFormatting sqref="O16">
    <cfRule type="expression" dxfId="929" priority="366">
      <formula>OR($N16&lt;&gt;"",$O16&lt;&gt;"")</formula>
    </cfRule>
  </conditionalFormatting>
  <conditionalFormatting sqref="O17">
    <cfRule type="expression" dxfId="928" priority="365">
      <formula>OR($N17&lt;&gt;"",$O17&lt;&gt;"")</formula>
    </cfRule>
  </conditionalFormatting>
  <conditionalFormatting sqref="O18">
    <cfRule type="expression" dxfId="927" priority="364">
      <formula>OR($N18&lt;&gt;"",$O18&lt;&gt;"")</formula>
    </cfRule>
  </conditionalFormatting>
  <conditionalFormatting sqref="O19">
    <cfRule type="expression" dxfId="926" priority="363">
      <formula>OR($N19&lt;&gt;"",$O19&lt;&gt;"")</formula>
    </cfRule>
  </conditionalFormatting>
  <conditionalFormatting sqref="O20">
    <cfRule type="expression" dxfId="925" priority="362">
      <formula>OR($N20&lt;&gt;"",$O20&lt;&gt;"")</formula>
    </cfRule>
  </conditionalFormatting>
  <conditionalFormatting sqref="O21">
    <cfRule type="expression" dxfId="924" priority="361">
      <formula>OR($N21&lt;&gt;"",$O21&lt;&gt;"")</formula>
    </cfRule>
  </conditionalFormatting>
  <conditionalFormatting sqref="O22">
    <cfRule type="expression" dxfId="923" priority="360">
      <formula>OR($N22&lt;&gt;"",$O22&lt;&gt;"")</formula>
    </cfRule>
  </conditionalFormatting>
  <conditionalFormatting sqref="O23">
    <cfRule type="expression" dxfId="922" priority="359">
      <formula>OR($N23&lt;&gt;"",$O23&lt;&gt;"")</formula>
    </cfRule>
  </conditionalFormatting>
  <conditionalFormatting sqref="O24">
    <cfRule type="expression" dxfId="921" priority="358">
      <formula>OR($N24&lt;&gt;"",$O24&lt;&gt;"")</formula>
    </cfRule>
  </conditionalFormatting>
  <conditionalFormatting sqref="O25">
    <cfRule type="expression" dxfId="920" priority="357">
      <formula>OR($N25&lt;&gt;"",$O25&lt;&gt;"")</formula>
    </cfRule>
  </conditionalFormatting>
  <conditionalFormatting sqref="O26">
    <cfRule type="expression" dxfId="919" priority="356">
      <formula>OR($N26&lt;&gt;"",$O26&lt;&gt;"")</formula>
    </cfRule>
  </conditionalFormatting>
  <conditionalFormatting sqref="O27">
    <cfRule type="expression" dxfId="918" priority="355">
      <formula>OR($N27&lt;&gt;"",$O27&lt;&gt;"")</formula>
    </cfRule>
  </conditionalFormatting>
  <conditionalFormatting sqref="O28">
    <cfRule type="expression" dxfId="917" priority="354">
      <formula>OR($N28&lt;&gt;"",$O28&lt;&gt;"")</formula>
    </cfRule>
  </conditionalFormatting>
  <conditionalFormatting sqref="O29">
    <cfRule type="expression" dxfId="916" priority="353">
      <formula>OR($N29&lt;&gt;"",$O29&lt;&gt;"")</formula>
    </cfRule>
  </conditionalFormatting>
  <conditionalFormatting sqref="O30">
    <cfRule type="expression" dxfId="915" priority="352">
      <formula>OR($N30&lt;&gt;"",$O30&lt;&gt;"")</formula>
    </cfRule>
  </conditionalFormatting>
  <conditionalFormatting sqref="O31">
    <cfRule type="expression" dxfId="914" priority="351">
      <formula>OR($N31&lt;&gt;"",$O31&lt;&gt;"")</formula>
    </cfRule>
  </conditionalFormatting>
  <conditionalFormatting sqref="O32">
    <cfRule type="expression" dxfId="913" priority="350">
      <formula>OR($N32&lt;&gt;"",$O32&lt;&gt;"")</formula>
    </cfRule>
  </conditionalFormatting>
  <conditionalFormatting sqref="O33">
    <cfRule type="expression" dxfId="912" priority="349">
      <formula>OR($N33&lt;&gt;"",$O33&lt;&gt;"")</formula>
    </cfRule>
  </conditionalFormatting>
  <conditionalFormatting sqref="O34">
    <cfRule type="expression" dxfId="911" priority="348">
      <formula>OR($N34&lt;&gt;"",$O34&lt;&gt;"")</formula>
    </cfRule>
  </conditionalFormatting>
  <conditionalFormatting sqref="O35">
    <cfRule type="expression" dxfId="910" priority="347">
      <formula>OR($N35&lt;&gt;"",$O35&lt;&gt;"")</formula>
    </cfRule>
  </conditionalFormatting>
  <conditionalFormatting sqref="O36">
    <cfRule type="expression" dxfId="909" priority="346">
      <formula>OR($N36&lt;&gt;"",$O36&lt;&gt;"")</formula>
    </cfRule>
  </conditionalFormatting>
  <conditionalFormatting sqref="O37">
    <cfRule type="expression" dxfId="908" priority="345">
      <formula>OR($N37&lt;&gt;"",$O37&lt;&gt;"")</formula>
    </cfRule>
  </conditionalFormatting>
  <conditionalFormatting sqref="O38">
    <cfRule type="expression" dxfId="907" priority="344">
      <formula>OR($N38&lt;&gt;"",$O38&lt;&gt;"")</formula>
    </cfRule>
  </conditionalFormatting>
  <conditionalFormatting sqref="O39">
    <cfRule type="expression" dxfId="906" priority="343">
      <formula>OR($N39&lt;&gt;"",$O39&lt;&gt;"")</formula>
    </cfRule>
  </conditionalFormatting>
  <conditionalFormatting sqref="O40">
    <cfRule type="expression" dxfId="905" priority="342">
      <formula>OR($N40&lt;&gt;"",$O40&lt;&gt;"")</formula>
    </cfRule>
  </conditionalFormatting>
  <conditionalFormatting sqref="O41">
    <cfRule type="expression" dxfId="904" priority="341">
      <formula>OR($N41&lt;&gt;"",$O41&lt;&gt;"")</formula>
    </cfRule>
  </conditionalFormatting>
  <conditionalFormatting sqref="O42">
    <cfRule type="expression" dxfId="903" priority="340">
      <formula>OR($N42&lt;&gt;"",$O42&lt;&gt;"")</formula>
    </cfRule>
  </conditionalFormatting>
  <conditionalFormatting sqref="O43">
    <cfRule type="expression" dxfId="902" priority="339">
      <formula>OR($N43&lt;&gt;"",$O43&lt;&gt;"")</formula>
    </cfRule>
  </conditionalFormatting>
  <conditionalFormatting sqref="O44">
    <cfRule type="expression" dxfId="901" priority="338">
      <formula>OR($N44&lt;&gt;"",$O44&lt;&gt;"")</formula>
    </cfRule>
  </conditionalFormatting>
  <conditionalFormatting sqref="O45">
    <cfRule type="expression" dxfId="900" priority="337">
      <formula>OR($N45&lt;&gt;"",$O45&lt;&gt;"")</formula>
    </cfRule>
  </conditionalFormatting>
  <conditionalFormatting sqref="G7">
    <cfRule type="expression" dxfId="899" priority="333" stopIfTrue="1">
      <formula>$G$4&lt;&gt;"PRACTICE"</formula>
    </cfRule>
    <cfRule type="expression" dxfId="898" priority="334">
      <formula>AND($A7="clikt",$I7&lt;&gt;"GOOD")</formula>
    </cfRule>
    <cfRule type="expression" dxfId="897" priority="335">
      <formula>$I7="GOOD"</formula>
    </cfRule>
  </conditionalFormatting>
  <conditionalFormatting sqref="H7">
    <cfRule type="expression" dxfId="896" priority="330" stopIfTrue="1">
      <formula>$G$4&lt;&gt;"PRACTICE"</formula>
    </cfRule>
    <cfRule type="expression" dxfId="895" priority="331">
      <formula>AND($A7="clikt",$I7&lt;&gt;"GOOD")</formula>
    </cfRule>
    <cfRule type="expression" dxfId="894" priority="332">
      <formula>$I7="GOOD"</formula>
    </cfRule>
  </conditionalFormatting>
  <conditionalFormatting sqref="G8">
    <cfRule type="expression" dxfId="893" priority="327" stopIfTrue="1">
      <formula>$G$4&lt;&gt;"PRACTICE"</formula>
    </cfRule>
    <cfRule type="expression" dxfId="892" priority="328">
      <formula>AND($A8="clikt",$I8&lt;&gt;"GOOD")</formula>
    </cfRule>
    <cfRule type="expression" dxfId="891" priority="329">
      <formula>$I8="GOOD"</formula>
    </cfRule>
  </conditionalFormatting>
  <conditionalFormatting sqref="H8">
    <cfRule type="expression" dxfId="890" priority="324" stopIfTrue="1">
      <formula>$G$4&lt;&gt;"PRACTICE"</formula>
    </cfRule>
    <cfRule type="expression" dxfId="889" priority="325">
      <formula>AND($A8="clikt",$I8&lt;&gt;"GOOD")</formula>
    </cfRule>
    <cfRule type="expression" dxfId="888" priority="326">
      <formula>$I8="GOOD"</formula>
    </cfRule>
  </conditionalFormatting>
  <conditionalFormatting sqref="N7">
    <cfRule type="expression" dxfId="887" priority="323">
      <formula>OR($N7&lt;&gt;"",$O7&lt;&gt;"")</formula>
    </cfRule>
  </conditionalFormatting>
  <conditionalFormatting sqref="O7">
    <cfRule type="expression" dxfId="886" priority="322">
      <formula>OR($N7&lt;&gt;"",$O7&lt;&gt;"")</formula>
    </cfRule>
  </conditionalFormatting>
  <conditionalFormatting sqref="N8">
    <cfRule type="expression" dxfId="885" priority="321">
      <formula>OR($N8&lt;&gt;"",$O8&lt;&gt;"")</formula>
    </cfRule>
  </conditionalFormatting>
  <conditionalFormatting sqref="O8">
    <cfRule type="expression" dxfId="884" priority="320">
      <formula>OR($N8&lt;&gt;"",$O8&lt;&gt;"")</formula>
    </cfRule>
  </conditionalFormatting>
  <conditionalFormatting sqref="G9">
    <cfRule type="expression" dxfId="883" priority="316" stopIfTrue="1">
      <formula>$G$4&lt;&gt;"PRACTICE"</formula>
    </cfRule>
    <cfRule type="expression" dxfId="882" priority="317">
      <formula>AND($A9="clikt",$I9&lt;&gt;"GOOD")</formula>
    </cfRule>
    <cfRule type="expression" dxfId="881" priority="318">
      <formula>$I9="GOOD"</formula>
    </cfRule>
  </conditionalFormatting>
  <conditionalFormatting sqref="G10">
    <cfRule type="expression" dxfId="880" priority="313" stopIfTrue="1">
      <formula>$G$4&lt;&gt;"PRACTICE"</formula>
    </cfRule>
    <cfRule type="expression" dxfId="879" priority="314">
      <formula>AND($A10="clikt",$I10&lt;&gt;"GOOD")</formula>
    </cfRule>
    <cfRule type="expression" dxfId="878" priority="315">
      <formula>$I10="GOOD"</formula>
    </cfRule>
  </conditionalFormatting>
  <conditionalFormatting sqref="G11">
    <cfRule type="expression" dxfId="877" priority="310" stopIfTrue="1">
      <formula>$G$4&lt;&gt;"PRACTICE"</formula>
    </cfRule>
    <cfRule type="expression" dxfId="876" priority="311">
      <formula>AND($A11="clikt",$I11&lt;&gt;"GOOD")</formula>
    </cfRule>
    <cfRule type="expression" dxfId="875" priority="312">
      <formula>$I11="GOOD"</formula>
    </cfRule>
  </conditionalFormatting>
  <conditionalFormatting sqref="G12">
    <cfRule type="expression" dxfId="874" priority="307" stopIfTrue="1">
      <formula>$G$4&lt;&gt;"PRACTICE"</formula>
    </cfRule>
    <cfRule type="expression" dxfId="873" priority="308">
      <formula>AND($A12="clikt",$I12&lt;&gt;"GOOD")</formula>
    </cfRule>
    <cfRule type="expression" dxfId="872" priority="309">
      <formula>$I12="GOOD"</formula>
    </cfRule>
  </conditionalFormatting>
  <conditionalFormatting sqref="G13">
    <cfRule type="expression" dxfId="871" priority="304" stopIfTrue="1">
      <formula>$G$4&lt;&gt;"PRACTICE"</formula>
    </cfRule>
    <cfRule type="expression" dxfId="870" priority="305">
      <formula>AND($A13="clikt",$I13&lt;&gt;"GOOD")</formula>
    </cfRule>
    <cfRule type="expression" dxfId="869" priority="306">
      <formula>$I13="GOOD"</formula>
    </cfRule>
  </conditionalFormatting>
  <conditionalFormatting sqref="G14">
    <cfRule type="expression" dxfId="868" priority="301" stopIfTrue="1">
      <formula>$G$4&lt;&gt;"PRACTICE"</formula>
    </cfRule>
    <cfRule type="expression" dxfId="867" priority="302">
      <formula>AND($A14="clikt",$I14&lt;&gt;"GOOD")</formula>
    </cfRule>
    <cfRule type="expression" dxfId="866" priority="303">
      <formula>$I14="GOOD"</formula>
    </cfRule>
  </conditionalFormatting>
  <conditionalFormatting sqref="G15">
    <cfRule type="expression" dxfId="865" priority="298" stopIfTrue="1">
      <formula>$G$4&lt;&gt;"PRACTICE"</formula>
    </cfRule>
    <cfRule type="expression" dxfId="864" priority="299">
      <formula>AND($A15="clikt",$I15&lt;&gt;"GOOD")</formula>
    </cfRule>
    <cfRule type="expression" dxfId="863" priority="300">
      <formula>$I15="GOOD"</formula>
    </cfRule>
  </conditionalFormatting>
  <conditionalFormatting sqref="G16">
    <cfRule type="expression" dxfId="862" priority="295" stopIfTrue="1">
      <formula>$G$4&lt;&gt;"PRACTICE"</formula>
    </cfRule>
    <cfRule type="expression" dxfId="861" priority="296">
      <formula>AND($A16="clikt",$I16&lt;&gt;"GOOD")</formula>
    </cfRule>
    <cfRule type="expression" dxfId="860" priority="297">
      <formula>$I16="GOOD"</formula>
    </cfRule>
  </conditionalFormatting>
  <conditionalFormatting sqref="G17">
    <cfRule type="expression" dxfId="859" priority="292" stopIfTrue="1">
      <formula>$G$4&lt;&gt;"PRACTICE"</formula>
    </cfRule>
    <cfRule type="expression" dxfId="858" priority="293">
      <formula>AND($A17="clikt",$I17&lt;&gt;"GOOD")</formula>
    </cfRule>
    <cfRule type="expression" dxfId="857" priority="294">
      <formula>$I17="GOOD"</formula>
    </cfRule>
  </conditionalFormatting>
  <conditionalFormatting sqref="G18">
    <cfRule type="expression" dxfId="856" priority="289" stopIfTrue="1">
      <formula>$G$4&lt;&gt;"PRACTICE"</formula>
    </cfRule>
    <cfRule type="expression" dxfId="855" priority="290">
      <formula>AND($A18="clikt",$I18&lt;&gt;"GOOD")</formula>
    </cfRule>
    <cfRule type="expression" dxfId="854" priority="291">
      <formula>$I18="GOOD"</formula>
    </cfRule>
  </conditionalFormatting>
  <conditionalFormatting sqref="G19">
    <cfRule type="expression" dxfId="853" priority="286" stopIfTrue="1">
      <formula>$G$4&lt;&gt;"PRACTICE"</formula>
    </cfRule>
    <cfRule type="expression" dxfId="852" priority="287">
      <formula>AND($A19="clikt",$I19&lt;&gt;"GOOD")</formula>
    </cfRule>
    <cfRule type="expression" dxfId="851" priority="288">
      <formula>$I19="GOOD"</formula>
    </cfRule>
  </conditionalFormatting>
  <conditionalFormatting sqref="G20">
    <cfRule type="expression" dxfId="850" priority="283" stopIfTrue="1">
      <formula>$G$4&lt;&gt;"PRACTICE"</formula>
    </cfRule>
    <cfRule type="expression" dxfId="849" priority="284">
      <formula>AND($A20="clikt",$I20&lt;&gt;"GOOD")</formula>
    </cfRule>
    <cfRule type="expression" dxfId="848" priority="285">
      <formula>$I20="GOOD"</formula>
    </cfRule>
  </conditionalFormatting>
  <conditionalFormatting sqref="G21">
    <cfRule type="expression" dxfId="847" priority="280" stopIfTrue="1">
      <formula>$G$4&lt;&gt;"PRACTICE"</formula>
    </cfRule>
    <cfRule type="expression" dxfId="846" priority="281">
      <formula>AND($A21="clikt",$I21&lt;&gt;"GOOD")</formula>
    </cfRule>
    <cfRule type="expression" dxfId="845" priority="282">
      <formula>$I21="GOOD"</formula>
    </cfRule>
  </conditionalFormatting>
  <conditionalFormatting sqref="G22">
    <cfRule type="expression" dxfId="844" priority="277" stopIfTrue="1">
      <formula>$G$4&lt;&gt;"PRACTICE"</formula>
    </cfRule>
    <cfRule type="expression" dxfId="843" priority="278">
      <formula>AND($A22="clikt",$I22&lt;&gt;"GOOD")</formula>
    </cfRule>
    <cfRule type="expression" dxfId="842" priority="279">
      <formula>$I22="GOOD"</formula>
    </cfRule>
  </conditionalFormatting>
  <conditionalFormatting sqref="G23">
    <cfRule type="expression" dxfId="841" priority="274" stopIfTrue="1">
      <formula>$G$4&lt;&gt;"PRACTICE"</formula>
    </cfRule>
    <cfRule type="expression" dxfId="840" priority="275">
      <formula>AND($A23="clikt",$I23&lt;&gt;"GOOD")</formula>
    </cfRule>
    <cfRule type="expression" dxfId="839" priority="276">
      <formula>$I23="GOOD"</formula>
    </cfRule>
  </conditionalFormatting>
  <conditionalFormatting sqref="G24">
    <cfRule type="expression" dxfId="838" priority="271" stopIfTrue="1">
      <formula>$G$4&lt;&gt;"PRACTICE"</formula>
    </cfRule>
    <cfRule type="expression" dxfId="837" priority="272">
      <formula>AND($A24="clikt",$I24&lt;&gt;"GOOD")</formula>
    </cfRule>
    <cfRule type="expression" dxfId="836" priority="273">
      <formula>$I24="GOOD"</formula>
    </cfRule>
  </conditionalFormatting>
  <conditionalFormatting sqref="G25">
    <cfRule type="expression" dxfId="835" priority="268" stopIfTrue="1">
      <formula>$G$4&lt;&gt;"PRACTICE"</formula>
    </cfRule>
    <cfRule type="expression" dxfId="834" priority="269">
      <formula>AND($A25="clikt",$I25&lt;&gt;"GOOD")</formula>
    </cfRule>
    <cfRule type="expression" dxfId="833" priority="270">
      <formula>$I25="GOOD"</formula>
    </cfRule>
  </conditionalFormatting>
  <conditionalFormatting sqref="G26">
    <cfRule type="expression" dxfId="832" priority="265" stopIfTrue="1">
      <formula>$G$4&lt;&gt;"PRACTICE"</formula>
    </cfRule>
    <cfRule type="expression" dxfId="831" priority="266">
      <formula>AND($A26="clikt",$I26&lt;&gt;"GOOD")</formula>
    </cfRule>
    <cfRule type="expression" dxfId="830" priority="267">
      <formula>$I26="GOOD"</formula>
    </cfRule>
  </conditionalFormatting>
  <conditionalFormatting sqref="G27">
    <cfRule type="expression" dxfId="829" priority="262" stopIfTrue="1">
      <formula>$G$4&lt;&gt;"PRACTICE"</formula>
    </cfRule>
    <cfRule type="expression" dxfId="828" priority="263">
      <formula>AND($A27="clikt",$I27&lt;&gt;"GOOD")</formula>
    </cfRule>
    <cfRule type="expression" dxfId="827" priority="264">
      <formula>$I27="GOOD"</formula>
    </cfRule>
  </conditionalFormatting>
  <conditionalFormatting sqref="G28">
    <cfRule type="expression" dxfId="826" priority="259" stopIfTrue="1">
      <formula>$G$4&lt;&gt;"PRACTICE"</formula>
    </cfRule>
    <cfRule type="expression" dxfId="825" priority="260">
      <formula>AND($A28="clikt",$I28&lt;&gt;"GOOD")</formula>
    </cfRule>
    <cfRule type="expression" dxfId="824" priority="261">
      <formula>$I28="GOOD"</formula>
    </cfRule>
  </conditionalFormatting>
  <conditionalFormatting sqref="G29">
    <cfRule type="expression" dxfId="823" priority="256" stopIfTrue="1">
      <formula>$G$4&lt;&gt;"PRACTICE"</formula>
    </cfRule>
    <cfRule type="expression" dxfId="822" priority="257">
      <formula>AND($A29="clikt",$I29&lt;&gt;"GOOD")</formula>
    </cfRule>
    <cfRule type="expression" dxfId="821" priority="258">
      <formula>$I29="GOOD"</formula>
    </cfRule>
  </conditionalFormatting>
  <conditionalFormatting sqref="G30">
    <cfRule type="expression" dxfId="820" priority="253" stopIfTrue="1">
      <formula>$G$4&lt;&gt;"PRACTICE"</formula>
    </cfRule>
    <cfRule type="expression" dxfId="819" priority="254">
      <formula>AND($A30="clikt",$I30&lt;&gt;"GOOD")</formula>
    </cfRule>
    <cfRule type="expression" dxfId="818" priority="255">
      <formula>$I30="GOOD"</formula>
    </cfRule>
  </conditionalFormatting>
  <conditionalFormatting sqref="G31">
    <cfRule type="expression" dxfId="817" priority="250" stopIfTrue="1">
      <formula>$G$4&lt;&gt;"PRACTICE"</formula>
    </cfRule>
    <cfRule type="expression" dxfId="816" priority="251">
      <formula>AND($A31="clikt",$I31&lt;&gt;"GOOD")</formula>
    </cfRule>
    <cfRule type="expression" dxfId="815" priority="252">
      <formula>$I31="GOOD"</formula>
    </cfRule>
  </conditionalFormatting>
  <conditionalFormatting sqref="G32">
    <cfRule type="expression" dxfId="814" priority="247" stopIfTrue="1">
      <formula>$G$4&lt;&gt;"PRACTICE"</formula>
    </cfRule>
    <cfRule type="expression" dxfId="813" priority="248">
      <formula>AND($A32="clikt",$I32&lt;&gt;"GOOD")</formula>
    </cfRule>
    <cfRule type="expression" dxfId="812" priority="249">
      <formula>$I32="GOOD"</formula>
    </cfRule>
  </conditionalFormatting>
  <conditionalFormatting sqref="G33">
    <cfRule type="expression" dxfId="811" priority="244" stopIfTrue="1">
      <formula>$G$4&lt;&gt;"PRACTICE"</formula>
    </cfRule>
    <cfRule type="expression" dxfId="810" priority="245">
      <formula>AND($A33="clikt",$I33&lt;&gt;"GOOD")</formula>
    </cfRule>
    <cfRule type="expression" dxfId="809" priority="246">
      <formula>$I33="GOOD"</formula>
    </cfRule>
  </conditionalFormatting>
  <conditionalFormatting sqref="G34">
    <cfRule type="expression" dxfId="808" priority="241" stopIfTrue="1">
      <formula>$G$4&lt;&gt;"PRACTICE"</formula>
    </cfRule>
    <cfRule type="expression" dxfId="807" priority="242">
      <formula>AND($A34="clikt",$I34&lt;&gt;"GOOD")</formula>
    </cfRule>
    <cfRule type="expression" dxfId="806" priority="243">
      <formula>$I34="GOOD"</formula>
    </cfRule>
  </conditionalFormatting>
  <conditionalFormatting sqref="G35">
    <cfRule type="expression" dxfId="805" priority="238" stopIfTrue="1">
      <formula>$G$4&lt;&gt;"PRACTICE"</formula>
    </cfRule>
    <cfRule type="expression" dxfId="804" priority="239">
      <formula>AND($A35="clikt",$I35&lt;&gt;"GOOD")</formula>
    </cfRule>
    <cfRule type="expression" dxfId="803" priority="240">
      <formula>$I35="GOOD"</formula>
    </cfRule>
  </conditionalFormatting>
  <conditionalFormatting sqref="G36">
    <cfRule type="expression" dxfId="802" priority="235" stopIfTrue="1">
      <formula>$G$4&lt;&gt;"PRACTICE"</formula>
    </cfRule>
    <cfRule type="expression" dxfId="801" priority="236">
      <formula>AND($A36="clikt",$I36&lt;&gt;"GOOD")</formula>
    </cfRule>
    <cfRule type="expression" dxfId="800" priority="237">
      <formula>$I36="GOOD"</formula>
    </cfRule>
  </conditionalFormatting>
  <conditionalFormatting sqref="G37">
    <cfRule type="expression" dxfId="799" priority="232" stopIfTrue="1">
      <formula>$G$4&lt;&gt;"PRACTICE"</formula>
    </cfRule>
    <cfRule type="expression" dxfId="798" priority="233">
      <formula>AND($A37="clikt",$I37&lt;&gt;"GOOD")</formula>
    </cfRule>
    <cfRule type="expression" dxfId="797" priority="234">
      <formula>$I37="GOOD"</formula>
    </cfRule>
  </conditionalFormatting>
  <conditionalFormatting sqref="G38">
    <cfRule type="expression" dxfId="796" priority="229" stopIfTrue="1">
      <formula>$G$4&lt;&gt;"PRACTICE"</formula>
    </cfRule>
    <cfRule type="expression" dxfId="795" priority="230">
      <formula>AND($A38="clikt",$I38&lt;&gt;"GOOD")</formula>
    </cfRule>
    <cfRule type="expression" dxfId="794" priority="231">
      <formula>$I38="GOOD"</formula>
    </cfRule>
  </conditionalFormatting>
  <conditionalFormatting sqref="G39">
    <cfRule type="expression" dxfId="793" priority="226" stopIfTrue="1">
      <formula>$G$4&lt;&gt;"PRACTICE"</formula>
    </cfRule>
    <cfRule type="expression" dxfId="792" priority="227">
      <formula>AND($A39="clikt",$I39&lt;&gt;"GOOD")</formula>
    </cfRule>
    <cfRule type="expression" dxfId="791" priority="228">
      <formula>$I39="GOOD"</formula>
    </cfRule>
  </conditionalFormatting>
  <conditionalFormatting sqref="G40">
    <cfRule type="expression" dxfId="790" priority="223" stopIfTrue="1">
      <formula>$G$4&lt;&gt;"PRACTICE"</formula>
    </cfRule>
    <cfRule type="expression" dxfId="789" priority="224">
      <formula>AND($A40="clikt",$I40&lt;&gt;"GOOD")</formula>
    </cfRule>
    <cfRule type="expression" dxfId="788" priority="225">
      <formula>$I40="GOOD"</formula>
    </cfRule>
  </conditionalFormatting>
  <conditionalFormatting sqref="G41">
    <cfRule type="expression" dxfId="787" priority="220" stopIfTrue="1">
      <formula>$G$4&lt;&gt;"PRACTICE"</formula>
    </cfRule>
    <cfRule type="expression" dxfId="786" priority="221">
      <formula>AND($A41="clikt",$I41&lt;&gt;"GOOD")</formula>
    </cfRule>
    <cfRule type="expression" dxfId="785" priority="222">
      <formula>$I41="GOOD"</formula>
    </cfRule>
  </conditionalFormatting>
  <conditionalFormatting sqref="G42">
    <cfRule type="expression" dxfId="784" priority="217" stopIfTrue="1">
      <formula>$G$4&lt;&gt;"PRACTICE"</formula>
    </cfRule>
    <cfRule type="expression" dxfId="783" priority="218">
      <formula>AND($A42="clikt",$I42&lt;&gt;"GOOD")</formula>
    </cfRule>
    <cfRule type="expression" dxfId="782" priority="219">
      <formula>$I42="GOOD"</formula>
    </cfRule>
  </conditionalFormatting>
  <conditionalFormatting sqref="G43">
    <cfRule type="expression" dxfId="781" priority="214" stopIfTrue="1">
      <formula>$G$4&lt;&gt;"PRACTICE"</formula>
    </cfRule>
    <cfRule type="expression" dxfId="780" priority="215">
      <formula>AND($A43="clikt",$I43&lt;&gt;"GOOD")</formula>
    </cfRule>
    <cfRule type="expression" dxfId="779" priority="216">
      <formula>$I43="GOOD"</formula>
    </cfRule>
  </conditionalFormatting>
  <conditionalFormatting sqref="G44">
    <cfRule type="expression" dxfId="778" priority="211" stopIfTrue="1">
      <formula>$G$4&lt;&gt;"PRACTICE"</formula>
    </cfRule>
    <cfRule type="expression" dxfId="777" priority="212">
      <formula>AND($A44="clikt",$I44&lt;&gt;"GOOD")</formula>
    </cfRule>
    <cfRule type="expression" dxfId="776" priority="213">
      <formula>$I44="GOOD"</formula>
    </cfRule>
  </conditionalFormatting>
  <conditionalFormatting sqref="G45">
    <cfRule type="expression" dxfId="775" priority="208" stopIfTrue="1">
      <formula>$G$4&lt;&gt;"PRACTICE"</formula>
    </cfRule>
    <cfRule type="expression" dxfId="774" priority="209">
      <formula>AND($A45="clikt",$I45&lt;&gt;"GOOD")</formula>
    </cfRule>
    <cfRule type="expression" dxfId="773" priority="210">
      <formula>$I45="GOOD"</formula>
    </cfRule>
  </conditionalFormatting>
  <conditionalFormatting sqref="G46">
    <cfRule type="expression" dxfId="772" priority="205" stopIfTrue="1">
      <formula>$G$4&lt;&gt;"PRACTICE"</formula>
    </cfRule>
    <cfRule type="expression" dxfId="771" priority="206">
      <formula>AND($A46="clikt",$I46&lt;&gt;"GOOD")</formula>
    </cfRule>
    <cfRule type="expression" dxfId="770" priority="207">
      <formula>$I46="GOOD"</formula>
    </cfRule>
  </conditionalFormatting>
  <conditionalFormatting sqref="H9">
    <cfRule type="expression" dxfId="769" priority="202" stopIfTrue="1">
      <formula>$G$4&lt;&gt;"PRACTICE"</formula>
    </cfRule>
    <cfRule type="expression" dxfId="768" priority="203">
      <formula>AND($A9="clikt",$I9&lt;&gt;"GOOD")</formula>
    </cfRule>
    <cfRule type="expression" dxfId="767" priority="204">
      <formula>$I9="GOOD"</formula>
    </cfRule>
  </conditionalFormatting>
  <conditionalFormatting sqref="H10">
    <cfRule type="expression" dxfId="766" priority="199" stopIfTrue="1">
      <formula>$G$4&lt;&gt;"PRACTICE"</formula>
    </cfRule>
    <cfRule type="expression" dxfId="765" priority="200">
      <formula>AND($A10="clikt",$I10&lt;&gt;"GOOD")</formula>
    </cfRule>
    <cfRule type="expression" dxfId="764" priority="201">
      <formula>$I10="GOOD"</formula>
    </cfRule>
  </conditionalFormatting>
  <conditionalFormatting sqref="H11">
    <cfRule type="expression" dxfId="763" priority="196" stopIfTrue="1">
      <formula>$G$4&lt;&gt;"PRACTICE"</formula>
    </cfRule>
    <cfRule type="expression" dxfId="762" priority="197">
      <formula>AND($A11="clikt",$I11&lt;&gt;"GOOD")</formula>
    </cfRule>
    <cfRule type="expression" dxfId="761" priority="198">
      <formula>$I11="GOOD"</formula>
    </cfRule>
  </conditionalFormatting>
  <conditionalFormatting sqref="H12">
    <cfRule type="expression" dxfId="760" priority="193" stopIfTrue="1">
      <formula>$G$4&lt;&gt;"PRACTICE"</formula>
    </cfRule>
    <cfRule type="expression" dxfId="759" priority="194">
      <formula>AND($A12="clikt",$I12&lt;&gt;"GOOD")</formula>
    </cfRule>
    <cfRule type="expression" dxfId="758" priority="195">
      <formula>$I12="GOOD"</formula>
    </cfRule>
  </conditionalFormatting>
  <conditionalFormatting sqref="H13">
    <cfRule type="expression" dxfId="757" priority="190" stopIfTrue="1">
      <formula>$G$4&lt;&gt;"PRACTICE"</formula>
    </cfRule>
    <cfRule type="expression" dxfId="756" priority="191">
      <formula>AND($A13="clikt",$I13&lt;&gt;"GOOD")</formula>
    </cfRule>
    <cfRule type="expression" dxfId="755" priority="192">
      <formula>$I13="GOOD"</formula>
    </cfRule>
  </conditionalFormatting>
  <conditionalFormatting sqref="H14">
    <cfRule type="expression" dxfId="754" priority="187" stopIfTrue="1">
      <formula>$G$4&lt;&gt;"PRACTICE"</formula>
    </cfRule>
    <cfRule type="expression" dxfId="753" priority="188">
      <formula>AND($A14="clikt",$I14&lt;&gt;"GOOD")</formula>
    </cfRule>
    <cfRule type="expression" dxfId="752" priority="189">
      <formula>$I14="GOOD"</formula>
    </cfRule>
  </conditionalFormatting>
  <conditionalFormatting sqref="H15">
    <cfRule type="expression" dxfId="751" priority="184" stopIfTrue="1">
      <formula>$G$4&lt;&gt;"PRACTICE"</formula>
    </cfRule>
    <cfRule type="expression" dxfId="750" priority="185">
      <formula>AND($A15="clikt",$I15&lt;&gt;"GOOD")</formula>
    </cfRule>
    <cfRule type="expression" dxfId="749" priority="186">
      <formula>$I15="GOOD"</formula>
    </cfRule>
  </conditionalFormatting>
  <conditionalFormatting sqref="H16">
    <cfRule type="expression" dxfId="748" priority="181" stopIfTrue="1">
      <formula>$G$4&lt;&gt;"PRACTICE"</formula>
    </cfRule>
    <cfRule type="expression" dxfId="747" priority="182">
      <formula>AND($A16="clikt",$I16&lt;&gt;"GOOD")</formula>
    </cfRule>
    <cfRule type="expression" dxfId="746" priority="183">
      <formula>$I16="GOOD"</formula>
    </cfRule>
  </conditionalFormatting>
  <conditionalFormatting sqref="H17">
    <cfRule type="expression" dxfId="745" priority="178" stopIfTrue="1">
      <formula>$G$4&lt;&gt;"PRACTICE"</formula>
    </cfRule>
    <cfRule type="expression" dxfId="744" priority="179">
      <formula>AND($A17="clikt",$I17&lt;&gt;"GOOD")</formula>
    </cfRule>
    <cfRule type="expression" dxfId="743" priority="180">
      <formula>$I17="GOOD"</formula>
    </cfRule>
  </conditionalFormatting>
  <conditionalFormatting sqref="H18">
    <cfRule type="expression" dxfId="742" priority="175" stopIfTrue="1">
      <formula>$G$4&lt;&gt;"PRACTICE"</formula>
    </cfRule>
    <cfRule type="expression" dxfId="741" priority="176">
      <formula>AND($A18="clikt",$I18&lt;&gt;"GOOD")</formula>
    </cfRule>
    <cfRule type="expression" dxfId="740" priority="177">
      <formula>$I18="GOOD"</formula>
    </cfRule>
  </conditionalFormatting>
  <conditionalFormatting sqref="H19">
    <cfRule type="expression" dxfId="739" priority="172" stopIfTrue="1">
      <formula>$G$4&lt;&gt;"PRACTICE"</formula>
    </cfRule>
    <cfRule type="expression" dxfId="738" priority="173">
      <formula>AND($A19="clikt",$I19&lt;&gt;"GOOD")</formula>
    </cfRule>
    <cfRule type="expression" dxfId="737" priority="174">
      <formula>$I19="GOOD"</formula>
    </cfRule>
  </conditionalFormatting>
  <conditionalFormatting sqref="H20">
    <cfRule type="expression" dxfId="736" priority="169" stopIfTrue="1">
      <formula>$G$4&lt;&gt;"PRACTICE"</formula>
    </cfRule>
    <cfRule type="expression" dxfId="735" priority="170">
      <formula>AND($A20="clikt",$I20&lt;&gt;"GOOD")</formula>
    </cfRule>
    <cfRule type="expression" dxfId="734" priority="171">
      <formula>$I20="GOOD"</formula>
    </cfRule>
  </conditionalFormatting>
  <conditionalFormatting sqref="H21">
    <cfRule type="expression" dxfId="733" priority="166" stopIfTrue="1">
      <formula>$G$4&lt;&gt;"PRACTICE"</formula>
    </cfRule>
    <cfRule type="expression" dxfId="732" priority="167">
      <formula>AND($A21="clikt",$I21&lt;&gt;"GOOD")</formula>
    </cfRule>
    <cfRule type="expression" dxfId="731" priority="168">
      <formula>$I21="GOOD"</formula>
    </cfRule>
  </conditionalFormatting>
  <conditionalFormatting sqref="H22">
    <cfRule type="expression" dxfId="730" priority="163" stopIfTrue="1">
      <formula>$G$4&lt;&gt;"PRACTICE"</formula>
    </cfRule>
    <cfRule type="expression" dxfId="729" priority="164">
      <formula>AND($A22="clikt",$I22&lt;&gt;"GOOD")</formula>
    </cfRule>
    <cfRule type="expression" dxfId="728" priority="165">
      <formula>$I22="GOOD"</formula>
    </cfRule>
  </conditionalFormatting>
  <conditionalFormatting sqref="H23">
    <cfRule type="expression" dxfId="727" priority="160" stopIfTrue="1">
      <formula>$G$4&lt;&gt;"PRACTICE"</formula>
    </cfRule>
    <cfRule type="expression" dxfId="726" priority="161">
      <formula>AND($A23="clikt",$I23&lt;&gt;"GOOD")</formula>
    </cfRule>
    <cfRule type="expression" dxfId="725" priority="162">
      <formula>$I23="GOOD"</formula>
    </cfRule>
  </conditionalFormatting>
  <conditionalFormatting sqref="H24">
    <cfRule type="expression" dxfId="724" priority="157" stopIfTrue="1">
      <formula>$G$4&lt;&gt;"PRACTICE"</formula>
    </cfRule>
    <cfRule type="expression" dxfId="723" priority="158">
      <formula>AND($A24="clikt",$I24&lt;&gt;"GOOD")</formula>
    </cfRule>
    <cfRule type="expression" dxfId="722" priority="159">
      <formula>$I24="GOOD"</formula>
    </cfRule>
  </conditionalFormatting>
  <conditionalFormatting sqref="H25">
    <cfRule type="expression" dxfId="721" priority="154" stopIfTrue="1">
      <formula>$G$4&lt;&gt;"PRACTICE"</formula>
    </cfRule>
    <cfRule type="expression" dxfId="720" priority="155">
      <formula>AND($A25="clikt",$I25&lt;&gt;"GOOD")</formula>
    </cfRule>
    <cfRule type="expression" dxfId="719" priority="156">
      <formula>$I25="GOOD"</formula>
    </cfRule>
  </conditionalFormatting>
  <conditionalFormatting sqref="H26">
    <cfRule type="expression" dxfId="718" priority="151" stopIfTrue="1">
      <formula>$G$4&lt;&gt;"PRACTICE"</formula>
    </cfRule>
    <cfRule type="expression" dxfId="717" priority="152">
      <formula>AND($A26="clikt",$I26&lt;&gt;"GOOD")</formula>
    </cfRule>
    <cfRule type="expression" dxfId="716" priority="153">
      <formula>$I26="GOOD"</formula>
    </cfRule>
  </conditionalFormatting>
  <conditionalFormatting sqref="H27">
    <cfRule type="expression" dxfId="715" priority="148" stopIfTrue="1">
      <formula>$G$4&lt;&gt;"PRACTICE"</formula>
    </cfRule>
    <cfRule type="expression" dxfId="714" priority="149">
      <formula>AND($A27="clikt",$I27&lt;&gt;"GOOD")</formula>
    </cfRule>
    <cfRule type="expression" dxfId="713" priority="150">
      <formula>$I27="GOOD"</formula>
    </cfRule>
  </conditionalFormatting>
  <conditionalFormatting sqref="H28">
    <cfRule type="expression" dxfId="712" priority="145" stopIfTrue="1">
      <formula>$G$4&lt;&gt;"PRACTICE"</formula>
    </cfRule>
    <cfRule type="expression" dxfId="711" priority="146">
      <formula>AND($A28="clikt",$I28&lt;&gt;"GOOD")</formula>
    </cfRule>
    <cfRule type="expression" dxfId="710" priority="147">
      <formula>$I28="GOOD"</formula>
    </cfRule>
  </conditionalFormatting>
  <conditionalFormatting sqref="H29">
    <cfRule type="expression" dxfId="709" priority="142" stopIfTrue="1">
      <formula>$G$4&lt;&gt;"PRACTICE"</formula>
    </cfRule>
    <cfRule type="expression" dxfId="708" priority="143">
      <formula>AND($A29="clikt",$I29&lt;&gt;"GOOD")</formula>
    </cfRule>
    <cfRule type="expression" dxfId="707" priority="144">
      <formula>$I29="GOOD"</formula>
    </cfRule>
  </conditionalFormatting>
  <conditionalFormatting sqref="H30">
    <cfRule type="expression" dxfId="706" priority="139" stopIfTrue="1">
      <formula>$G$4&lt;&gt;"PRACTICE"</formula>
    </cfRule>
    <cfRule type="expression" dxfId="705" priority="140">
      <formula>AND($A30="clikt",$I30&lt;&gt;"GOOD")</formula>
    </cfRule>
    <cfRule type="expression" dxfId="704" priority="141">
      <formula>$I30="GOOD"</formula>
    </cfRule>
  </conditionalFormatting>
  <conditionalFormatting sqref="H31">
    <cfRule type="expression" dxfId="703" priority="136" stopIfTrue="1">
      <formula>$G$4&lt;&gt;"PRACTICE"</formula>
    </cfRule>
    <cfRule type="expression" dxfId="702" priority="137">
      <formula>AND($A31="clikt",$I31&lt;&gt;"GOOD")</formula>
    </cfRule>
    <cfRule type="expression" dxfId="701" priority="138">
      <formula>$I31="GOOD"</formula>
    </cfRule>
  </conditionalFormatting>
  <conditionalFormatting sqref="H32">
    <cfRule type="expression" dxfId="700" priority="133" stopIfTrue="1">
      <formula>$G$4&lt;&gt;"PRACTICE"</formula>
    </cfRule>
    <cfRule type="expression" dxfId="699" priority="134">
      <formula>AND($A32="clikt",$I32&lt;&gt;"GOOD")</formula>
    </cfRule>
    <cfRule type="expression" dxfId="698" priority="135">
      <formula>$I32="GOOD"</formula>
    </cfRule>
  </conditionalFormatting>
  <conditionalFormatting sqref="H33">
    <cfRule type="expression" dxfId="697" priority="130" stopIfTrue="1">
      <formula>$G$4&lt;&gt;"PRACTICE"</formula>
    </cfRule>
    <cfRule type="expression" dxfId="696" priority="131">
      <formula>AND($A33="clikt",$I33&lt;&gt;"GOOD")</formula>
    </cfRule>
    <cfRule type="expression" dxfId="695" priority="132">
      <formula>$I33="GOOD"</formula>
    </cfRule>
  </conditionalFormatting>
  <conditionalFormatting sqref="H34">
    <cfRule type="expression" dxfId="694" priority="127" stopIfTrue="1">
      <formula>$G$4&lt;&gt;"PRACTICE"</formula>
    </cfRule>
    <cfRule type="expression" dxfId="693" priority="128">
      <formula>AND($A34="clikt",$I34&lt;&gt;"GOOD")</formula>
    </cfRule>
    <cfRule type="expression" dxfId="692" priority="129">
      <formula>$I34="GOOD"</formula>
    </cfRule>
  </conditionalFormatting>
  <conditionalFormatting sqref="H35">
    <cfRule type="expression" dxfId="691" priority="124" stopIfTrue="1">
      <formula>$G$4&lt;&gt;"PRACTICE"</formula>
    </cfRule>
    <cfRule type="expression" dxfId="690" priority="125">
      <formula>AND($A35="clikt",$I35&lt;&gt;"GOOD")</formula>
    </cfRule>
    <cfRule type="expression" dxfId="689" priority="126">
      <formula>$I35="GOOD"</formula>
    </cfRule>
  </conditionalFormatting>
  <conditionalFormatting sqref="H36">
    <cfRule type="expression" dxfId="688" priority="121" stopIfTrue="1">
      <formula>$G$4&lt;&gt;"PRACTICE"</formula>
    </cfRule>
    <cfRule type="expression" dxfId="687" priority="122">
      <formula>AND($A36="clikt",$I36&lt;&gt;"GOOD")</formula>
    </cfRule>
    <cfRule type="expression" dxfId="686" priority="123">
      <formula>$I36="GOOD"</formula>
    </cfRule>
  </conditionalFormatting>
  <conditionalFormatting sqref="H37">
    <cfRule type="expression" dxfId="685" priority="118" stopIfTrue="1">
      <formula>$G$4&lt;&gt;"PRACTICE"</formula>
    </cfRule>
    <cfRule type="expression" dxfId="684" priority="119">
      <formula>AND($A37="clikt",$I37&lt;&gt;"GOOD")</formula>
    </cfRule>
    <cfRule type="expression" dxfId="683" priority="120">
      <formula>$I37="GOOD"</formula>
    </cfRule>
  </conditionalFormatting>
  <conditionalFormatting sqref="H38">
    <cfRule type="expression" dxfId="682" priority="115" stopIfTrue="1">
      <formula>$G$4&lt;&gt;"PRACTICE"</formula>
    </cfRule>
    <cfRule type="expression" dxfId="681" priority="116">
      <formula>AND($A38="clikt",$I38&lt;&gt;"GOOD")</formula>
    </cfRule>
    <cfRule type="expression" dxfId="680" priority="117">
      <formula>$I38="GOOD"</formula>
    </cfRule>
  </conditionalFormatting>
  <conditionalFormatting sqref="H39">
    <cfRule type="expression" dxfId="679" priority="112" stopIfTrue="1">
      <formula>$G$4&lt;&gt;"PRACTICE"</formula>
    </cfRule>
    <cfRule type="expression" dxfId="678" priority="113">
      <formula>AND($A39="clikt",$I39&lt;&gt;"GOOD")</formula>
    </cfRule>
    <cfRule type="expression" dxfId="677" priority="114">
      <formula>$I39="GOOD"</formula>
    </cfRule>
  </conditionalFormatting>
  <conditionalFormatting sqref="H40">
    <cfRule type="expression" dxfId="676" priority="109" stopIfTrue="1">
      <formula>$G$4&lt;&gt;"PRACTICE"</formula>
    </cfRule>
    <cfRule type="expression" dxfId="675" priority="110">
      <formula>AND($A40="clikt",$I40&lt;&gt;"GOOD")</formula>
    </cfRule>
    <cfRule type="expression" dxfId="674" priority="111">
      <formula>$I40="GOOD"</formula>
    </cfRule>
  </conditionalFormatting>
  <conditionalFormatting sqref="H41">
    <cfRule type="expression" dxfId="673" priority="106" stopIfTrue="1">
      <formula>$G$4&lt;&gt;"PRACTICE"</formula>
    </cfRule>
    <cfRule type="expression" dxfId="672" priority="107">
      <formula>AND($A41="clikt",$I41&lt;&gt;"GOOD")</formula>
    </cfRule>
    <cfRule type="expression" dxfId="671" priority="108">
      <formula>$I41="GOOD"</formula>
    </cfRule>
  </conditionalFormatting>
  <conditionalFormatting sqref="H42">
    <cfRule type="expression" dxfId="670" priority="103" stopIfTrue="1">
      <formula>$G$4&lt;&gt;"PRACTICE"</formula>
    </cfRule>
    <cfRule type="expression" dxfId="669" priority="104">
      <formula>AND($A42="clikt",$I42&lt;&gt;"GOOD")</formula>
    </cfRule>
    <cfRule type="expression" dxfId="668" priority="105">
      <formula>$I42="GOOD"</formula>
    </cfRule>
  </conditionalFormatting>
  <conditionalFormatting sqref="H43">
    <cfRule type="expression" dxfId="667" priority="100" stopIfTrue="1">
      <formula>$G$4&lt;&gt;"PRACTICE"</formula>
    </cfRule>
    <cfRule type="expression" dxfId="666" priority="101">
      <formula>AND($A43="clikt",$I43&lt;&gt;"GOOD")</formula>
    </cfRule>
    <cfRule type="expression" dxfId="665" priority="102">
      <formula>$I43="GOOD"</formula>
    </cfRule>
  </conditionalFormatting>
  <conditionalFormatting sqref="H44">
    <cfRule type="expression" dxfId="664" priority="97" stopIfTrue="1">
      <formula>$G$4&lt;&gt;"PRACTICE"</formula>
    </cfRule>
    <cfRule type="expression" dxfId="663" priority="98">
      <formula>AND($A44="clikt",$I44&lt;&gt;"GOOD")</formula>
    </cfRule>
    <cfRule type="expression" dxfId="662" priority="99">
      <formula>$I44="GOOD"</formula>
    </cfRule>
  </conditionalFormatting>
  <conditionalFormatting sqref="H45">
    <cfRule type="expression" dxfId="661" priority="94" stopIfTrue="1">
      <formula>$G$4&lt;&gt;"PRACTICE"</formula>
    </cfRule>
    <cfRule type="expression" dxfId="660" priority="95">
      <formula>AND($A45="clikt",$I45&lt;&gt;"GOOD")</formula>
    </cfRule>
    <cfRule type="expression" dxfId="659" priority="96">
      <formula>$I45="GOOD"</formula>
    </cfRule>
  </conditionalFormatting>
  <conditionalFormatting sqref="H46">
    <cfRule type="expression" dxfId="658" priority="91" stopIfTrue="1">
      <formula>$G$4&lt;&gt;"PRACTICE"</formula>
    </cfRule>
    <cfRule type="expression" dxfId="657" priority="92">
      <formula>AND($A46="clikt",$I46&lt;&gt;"GOOD")</formula>
    </cfRule>
    <cfRule type="expression" dxfId="656" priority="93">
      <formula>$I46="GOOD"</formula>
    </cfRule>
  </conditionalFormatting>
  <conditionalFormatting sqref="N46">
    <cfRule type="expression" dxfId="655" priority="88">
      <formula>OR($N46&lt;&gt;"",$O46&lt;&gt;"")</formula>
    </cfRule>
  </conditionalFormatting>
  <conditionalFormatting sqref="O46">
    <cfRule type="expression" dxfId="654" priority="87">
      <formula>OR($N46&lt;&gt;"",$O46&lt;&gt;"")</formula>
    </cfRule>
  </conditionalFormatting>
  <conditionalFormatting sqref="P47">
    <cfRule type="expression" dxfId="653" priority="81">
      <formula>AND($N$4="TEST",$M$47&gt;0)</formula>
    </cfRule>
  </conditionalFormatting>
  <conditionalFormatting sqref="I7">
    <cfRule type="expression" dxfId="652" priority="79" stopIfTrue="1">
      <formula>"$O$4=""TEST"""</formula>
    </cfRule>
    <cfRule type="expression" dxfId="651" priority="80">
      <formula>"And($O$4&lt;&gt;""TEST"",J7=""GOOD"")"</formula>
    </cfRule>
  </conditionalFormatting>
  <conditionalFormatting sqref="I8">
    <cfRule type="expression" dxfId="650" priority="77" stopIfTrue="1">
      <formula>"$O$4=""TEST"""</formula>
    </cfRule>
    <cfRule type="expression" dxfId="649" priority="78">
      <formula>"And($O$4&lt;&gt;""TEST"",J7=""GOOD"")"</formula>
    </cfRule>
  </conditionalFormatting>
  <conditionalFormatting sqref="I9">
    <cfRule type="expression" dxfId="648" priority="75" stopIfTrue="1">
      <formula>"$O$4=""TEST"""</formula>
    </cfRule>
    <cfRule type="expression" dxfId="647" priority="76">
      <formula>"And($O$4&lt;&gt;""TEST"",J7=""GOOD"")"</formula>
    </cfRule>
  </conditionalFormatting>
  <conditionalFormatting sqref="I10">
    <cfRule type="expression" dxfId="646" priority="73" stopIfTrue="1">
      <formula>"$O$4=""TEST"""</formula>
    </cfRule>
    <cfRule type="expression" dxfId="645" priority="74">
      <formula>"And($O$4&lt;&gt;""TEST"",J7=""GOOD"")"</formula>
    </cfRule>
  </conditionalFormatting>
  <conditionalFormatting sqref="I11">
    <cfRule type="expression" dxfId="644" priority="71" stopIfTrue="1">
      <formula>"$O$4=""TEST"""</formula>
    </cfRule>
    <cfRule type="expression" dxfId="643" priority="72">
      <formula>"And($O$4&lt;&gt;""TEST"",J7=""GOOD"")"</formula>
    </cfRule>
  </conditionalFormatting>
  <conditionalFormatting sqref="I12">
    <cfRule type="expression" dxfId="642" priority="69" stopIfTrue="1">
      <formula>"$O$4=""TEST"""</formula>
    </cfRule>
    <cfRule type="expression" dxfId="641" priority="70">
      <formula>"And($O$4&lt;&gt;""TEST"",J7=""GOOD"")"</formula>
    </cfRule>
  </conditionalFormatting>
  <conditionalFormatting sqref="I13">
    <cfRule type="expression" dxfId="640" priority="67" stopIfTrue="1">
      <formula>"$O$4=""TEST"""</formula>
    </cfRule>
    <cfRule type="expression" dxfId="639" priority="68">
      <formula>"And($O$4&lt;&gt;""TEST"",J7=""GOOD"")"</formula>
    </cfRule>
  </conditionalFormatting>
  <conditionalFormatting sqref="I14">
    <cfRule type="expression" dxfId="638" priority="65" stopIfTrue="1">
      <formula>"$O$4=""TEST"""</formula>
    </cfRule>
    <cfRule type="expression" dxfId="637" priority="66">
      <formula>"And($O$4&lt;&gt;""TEST"",J7=""GOOD"")"</formula>
    </cfRule>
  </conditionalFormatting>
  <conditionalFormatting sqref="I15">
    <cfRule type="expression" dxfId="636" priority="63" stopIfTrue="1">
      <formula>"$O$4=""TEST"""</formula>
    </cfRule>
    <cfRule type="expression" dxfId="635" priority="64">
      <formula>"And($O$4&lt;&gt;""TEST"",J7=""GOOD"")"</formula>
    </cfRule>
  </conditionalFormatting>
  <conditionalFormatting sqref="I16">
    <cfRule type="expression" dxfId="634" priority="61" stopIfTrue="1">
      <formula>"$O$4=""TEST"""</formula>
    </cfRule>
    <cfRule type="expression" dxfId="633" priority="62">
      <formula>"And($O$4&lt;&gt;""TEST"",J7=""GOOD"")"</formula>
    </cfRule>
  </conditionalFormatting>
  <conditionalFormatting sqref="I17">
    <cfRule type="expression" dxfId="632" priority="59" stopIfTrue="1">
      <formula>"$O$4=""TEST"""</formula>
    </cfRule>
    <cfRule type="expression" dxfId="631" priority="60">
      <formula>"And($O$4&lt;&gt;""TEST"",J7=""GOOD"")"</formula>
    </cfRule>
  </conditionalFormatting>
  <conditionalFormatting sqref="I18">
    <cfRule type="expression" dxfId="630" priority="57" stopIfTrue="1">
      <formula>"$O$4=""TEST"""</formula>
    </cfRule>
    <cfRule type="expression" dxfId="629" priority="58">
      <formula>"And($O$4&lt;&gt;""TEST"",J7=""GOOD"")"</formula>
    </cfRule>
  </conditionalFormatting>
  <conditionalFormatting sqref="I19">
    <cfRule type="expression" dxfId="628" priority="55" stopIfTrue="1">
      <formula>"$O$4=""TEST"""</formula>
    </cfRule>
    <cfRule type="expression" dxfId="627" priority="56">
      <formula>"And($O$4&lt;&gt;""TEST"",J7=""GOOD"")"</formula>
    </cfRule>
  </conditionalFormatting>
  <conditionalFormatting sqref="I20">
    <cfRule type="expression" dxfId="626" priority="53" stopIfTrue="1">
      <formula>"$O$4=""TEST"""</formula>
    </cfRule>
    <cfRule type="expression" dxfId="625" priority="54">
      <formula>"And($O$4&lt;&gt;""TEST"",J7=""GOOD"")"</formula>
    </cfRule>
  </conditionalFormatting>
  <conditionalFormatting sqref="I21">
    <cfRule type="expression" dxfId="624" priority="51" stopIfTrue="1">
      <formula>"$O$4=""TEST"""</formula>
    </cfRule>
    <cfRule type="expression" dxfId="623" priority="52">
      <formula>"And($O$4&lt;&gt;""TEST"",J7=""GOOD"")"</formula>
    </cfRule>
  </conditionalFormatting>
  <conditionalFormatting sqref="I22">
    <cfRule type="expression" dxfId="622" priority="49" stopIfTrue="1">
      <formula>"$O$4=""TEST"""</formula>
    </cfRule>
    <cfRule type="expression" dxfId="621" priority="50">
      <formula>"And($O$4&lt;&gt;""TEST"",J7=""GOOD"")"</formula>
    </cfRule>
  </conditionalFormatting>
  <conditionalFormatting sqref="I23">
    <cfRule type="expression" dxfId="620" priority="47" stopIfTrue="1">
      <formula>"$O$4=""TEST"""</formula>
    </cfRule>
    <cfRule type="expression" dxfId="619" priority="48">
      <formula>"And($O$4&lt;&gt;""TEST"",J7=""GOOD"")"</formula>
    </cfRule>
  </conditionalFormatting>
  <conditionalFormatting sqref="I24">
    <cfRule type="expression" dxfId="618" priority="45" stopIfTrue="1">
      <formula>"$O$4=""TEST"""</formula>
    </cfRule>
    <cfRule type="expression" dxfId="617" priority="46">
      <formula>"And($O$4&lt;&gt;""TEST"",J7=""GOOD"")"</formula>
    </cfRule>
  </conditionalFormatting>
  <conditionalFormatting sqref="I25">
    <cfRule type="expression" dxfId="616" priority="43" stopIfTrue="1">
      <formula>"$O$4=""TEST"""</formula>
    </cfRule>
    <cfRule type="expression" dxfId="615" priority="44">
      <formula>"And($O$4&lt;&gt;""TEST"",J7=""GOOD"")"</formula>
    </cfRule>
  </conditionalFormatting>
  <conditionalFormatting sqref="I26">
    <cfRule type="expression" dxfId="614" priority="41" stopIfTrue="1">
      <formula>"$O$4=""TEST"""</formula>
    </cfRule>
    <cfRule type="expression" dxfId="613" priority="42">
      <formula>"And($O$4&lt;&gt;""TEST"",J7=""GOOD"")"</formula>
    </cfRule>
  </conditionalFormatting>
  <conditionalFormatting sqref="I27">
    <cfRule type="expression" dxfId="612" priority="39" stopIfTrue="1">
      <formula>"$O$4=""TEST"""</formula>
    </cfRule>
    <cfRule type="expression" dxfId="611" priority="40">
      <formula>"And($O$4&lt;&gt;""TEST"",J7=""GOOD"")"</formula>
    </cfRule>
  </conditionalFormatting>
  <conditionalFormatting sqref="I28">
    <cfRule type="expression" dxfId="610" priority="37" stopIfTrue="1">
      <formula>"$O$4=""TEST"""</formula>
    </cfRule>
    <cfRule type="expression" dxfId="609" priority="38">
      <formula>"And($O$4&lt;&gt;""TEST"",J7=""GOOD"")"</formula>
    </cfRule>
  </conditionalFormatting>
  <conditionalFormatting sqref="I29">
    <cfRule type="expression" dxfId="608" priority="35" stopIfTrue="1">
      <formula>"$O$4=""TEST"""</formula>
    </cfRule>
    <cfRule type="expression" dxfId="607" priority="36">
      <formula>"And($O$4&lt;&gt;""TEST"",J7=""GOOD"")"</formula>
    </cfRule>
  </conditionalFormatting>
  <conditionalFormatting sqref="I30">
    <cfRule type="expression" dxfId="606" priority="33" stopIfTrue="1">
      <formula>"$O$4=""TEST"""</formula>
    </cfRule>
    <cfRule type="expression" dxfId="605" priority="34">
      <formula>"And($O$4&lt;&gt;""TEST"",J7=""GOOD"")"</formula>
    </cfRule>
  </conditionalFormatting>
  <conditionalFormatting sqref="I31">
    <cfRule type="expression" dxfId="604" priority="31" stopIfTrue="1">
      <formula>"$O$4=""TEST"""</formula>
    </cfRule>
    <cfRule type="expression" dxfId="603" priority="32">
      <formula>"And($O$4&lt;&gt;""TEST"",J7=""GOOD"")"</formula>
    </cfRule>
  </conditionalFormatting>
  <conditionalFormatting sqref="I32">
    <cfRule type="expression" dxfId="602" priority="29" stopIfTrue="1">
      <formula>"$O$4=""TEST"""</formula>
    </cfRule>
    <cfRule type="expression" dxfId="601" priority="30">
      <formula>"And($O$4&lt;&gt;""TEST"",J7=""GOOD"")"</formula>
    </cfRule>
  </conditionalFormatting>
  <conditionalFormatting sqref="I33">
    <cfRule type="expression" dxfId="600" priority="27" stopIfTrue="1">
      <formula>"$O$4=""TEST"""</formula>
    </cfRule>
    <cfRule type="expression" dxfId="599" priority="28">
      <formula>"And($O$4&lt;&gt;""TEST"",J7=""GOOD"")"</formula>
    </cfRule>
  </conditionalFormatting>
  <conditionalFormatting sqref="I34">
    <cfRule type="expression" dxfId="598" priority="25" stopIfTrue="1">
      <formula>"$O$4=""TEST"""</formula>
    </cfRule>
    <cfRule type="expression" dxfId="597" priority="26">
      <formula>"And($O$4&lt;&gt;""TEST"",J7=""GOOD"")"</formula>
    </cfRule>
  </conditionalFormatting>
  <conditionalFormatting sqref="I35">
    <cfRule type="expression" dxfId="596" priority="23" stopIfTrue="1">
      <formula>"$O$4=""TEST"""</formula>
    </cfRule>
    <cfRule type="expression" dxfId="595" priority="24">
      <formula>"And($O$4&lt;&gt;""TEST"",J7=""GOOD"")"</formula>
    </cfRule>
  </conditionalFormatting>
  <conditionalFormatting sqref="I36">
    <cfRule type="expression" dxfId="594" priority="21" stopIfTrue="1">
      <formula>"$O$4=""TEST"""</formula>
    </cfRule>
    <cfRule type="expression" dxfId="593" priority="22">
      <formula>"And($O$4&lt;&gt;""TEST"",J7=""GOOD"")"</formula>
    </cfRule>
  </conditionalFormatting>
  <conditionalFormatting sqref="I37">
    <cfRule type="expression" dxfId="592" priority="19" stopIfTrue="1">
      <formula>"$O$4=""TEST"""</formula>
    </cfRule>
    <cfRule type="expression" dxfId="591" priority="20">
      <formula>"And($O$4&lt;&gt;""TEST"",J7=""GOOD"")"</formula>
    </cfRule>
  </conditionalFormatting>
  <conditionalFormatting sqref="I38">
    <cfRule type="expression" dxfId="590" priority="17" stopIfTrue="1">
      <formula>"$O$4=""TEST"""</formula>
    </cfRule>
    <cfRule type="expression" dxfId="589" priority="18">
      <formula>"And($O$4&lt;&gt;""TEST"",J7=""GOOD"")"</formula>
    </cfRule>
  </conditionalFormatting>
  <conditionalFormatting sqref="I39">
    <cfRule type="expression" dxfId="588" priority="15" stopIfTrue="1">
      <formula>"$O$4=""TEST"""</formula>
    </cfRule>
    <cfRule type="expression" dxfId="587" priority="16">
      <formula>"And($O$4&lt;&gt;""TEST"",J7=""GOOD"")"</formula>
    </cfRule>
  </conditionalFormatting>
  <conditionalFormatting sqref="I40">
    <cfRule type="expression" dxfId="586" priority="13" stopIfTrue="1">
      <formula>"$O$4=""TEST"""</formula>
    </cfRule>
    <cfRule type="expression" dxfId="585" priority="14">
      <formula>"And($O$4&lt;&gt;""TEST"",J7=""GOOD"")"</formula>
    </cfRule>
  </conditionalFormatting>
  <conditionalFormatting sqref="I41">
    <cfRule type="expression" dxfId="584" priority="11" stopIfTrue="1">
      <formula>"$O$4=""TEST"""</formula>
    </cfRule>
    <cfRule type="expression" dxfId="583" priority="12">
      <formula>"And($O$4&lt;&gt;""TEST"",J7=""GOOD"")"</formula>
    </cfRule>
  </conditionalFormatting>
  <conditionalFormatting sqref="I42">
    <cfRule type="expression" dxfId="582" priority="9" stopIfTrue="1">
      <formula>"$O$4=""TEST"""</formula>
    </cfRule>
    <cfRule type="expression" dxfId="581" priority="10">
      <formula>"And($O$4&lt;&gt;""TEST"",J7=""GOOD"")"</formula>
    </cfRule>
  </conditionalFormatting>
  <conditionalFormatting sqref="I43">
    <cfRule type="expression" dxfId="580" priority="7" stopIfTrue="1">
      <formula>"$O$4=""TEST"""</formula>
    </cfRule>
    <cfRule type="expression" dxfId="579" priority="8">
      <formula>"And($O$4&lt;&gt;""TEST"",J7=""GOOD"")"</formula>
    </cfRule>
  </conditionalFormatting>
  <conditionalFormatting sqref="I44">
    <cfRule type="expression" dxfId="578" priority="5" stopIfTrue="1">
      <formula>"$O$4=""TEST"""</formula>
    </cfRule>
    <cfRule type="expression" dxfId="577" priority="6">
      <formula>"And($O$4&lt;&gt;""TEST"",J7=""GOOD"")"</formula>
    </cfRule>
  </conditionalFormatting>
  <conditionalFormatting sqref="I45">
    <cfRule type="expression" dxfId="576" priority="3" stopIfTrue="1">
      <formula>"$O$4=""TEST"""</formula>
    </cfRule>
    <cfRule type="expression" dxfId="575" priority="4">
      <formula>"And($O$4&lt;&gt;""TEST"",J7=""GOOD"")"</formula>
    </cfRule>
  </conditionalFormatting>
  <conditionalFormatting sqref="I46">
    <cfRule type="expression" dxfId="574" priority="1" stopIfTrue="1">
      <formula>"$O$4=""TEST"""</formula>
    </cfRule>
    <cfRule type="expression" dxfId="573" priority="2">
      <formula>"And($O$4&lt;&gt;""TEST"",J7=""GOOD"")"</formula>
    </cfRule>
  </conditionalFormatting>
  <hyperlinks>
    <hyperlink ref="P2" r:id="rId1" xr:uid="{D9CED296-DF7C-4FC8-BB44-E9CAB790A451}"/>
    <hyperlink ref="M2" r:id="rId2" xr:uid="{02555D3F-4AFC-4C02-A57E-F086DA11E0AD}"/>
  </hyperlinks>
  <pageMargins left="0.7" right="0.7" top="0.75" bottom="0.75" header="0.3" footer="0.3"/>
  <pageSetup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11270-F5F5-46B9-8385-ED5E36560BAD}">
  <dimension ref="A1:U36"/>
  <sheetViews>
    <sheetView workbookViewId="0"/>
  </sheetViews>
  <sheetFormatPr defaultRowHeight="14.4"/>
  <cols>
    <col min="1" max="1" width="8.88671875" style="8"/>
  </cols>
  <sheetData>
    <row r="1" spans="1:21" ht="16.8">
      <c r="A1" s="60" t="str">
        <f>[1]!wwsSetup("useHTTPS", TRUE)</f>
        <v>useHTTPS = "True"</v>
      </c>
      <c r="B1" s="50"/>
      <c r="C1" s="50"/>
      <c r="D1" s="55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Q1" s="39"/>
      <c r="R1" s="5"/>
      <c r="S1" s="46"/>
      <c r="T1" s="46"/>
      <c r="U1" s="46" t="s">
        <v>63</v>
      </c>
    </row>
    <row r="2" spans="1:21" ht="18">
      <c r="A2" s="23"/>
      <c r="B2" s="56"/>
      <c r="C2" s="56"/>
      <c r="D2" s="56"/>
      <c r="E2" s="25" t="s">
        <v>53</v>
      </c>
      <c r="F2" s="122"/>
      <c r="G2" s="122"/>
      <c r="H2" s="122"/>
      <c r="I2" s="26" t="s">
        <v>54</v>
      </c>
      <c r="J2" s="122"/>
      <c r="K2" s="122"/>
      <c r="L2" s="122"/>
      <c r="M2" s="35"/>
      <c r="N2" s="140" t="s">
        <v>62</v>
      </c>
      <c r="O2" s="140"/>
      <c r="P2" s="38" t="s">
        <v>61</v>
      </c>
      <c r="Q2" s="44"/>
      <c r="R2" s="45"/>
      <c r="S2" s="27"/>
      <c r="T2" s="27"/>
      <c r="U2" s="27" t="s">
        <v>64</v>
      </c>
    </row>
    <row r="3" spans="1:21">
      <c r="B3" s="50"/>
      <c r="C3" s="50"/>
      <c r="D3" s="50"/>
      <c r="E3" s="6"/>
      <c r="F3" s="46"/>
      <c r="G3" s="39"/>
      <c r="H3" s="39"/>
      <c r="I3" s="39"/>
      <c r="J3" s="46"/>
      <c r="K3" s="46"/>
      <c r="L3" s="46"/>
      <c r="M3" s="34"/>
      <c r="N3" s="34"/>
      <c r="O3" s="39"/>
      <c r="P3" s="39"/>
      <c r="Q3" s="39"/>
      <c r="R3" s="46"/>
      <c r="S3" s="46"/>
      <c r="T3" s="46"/>
      <c r="U3" s="46" t="str">
        <f>[1]!wwsSetup("metatags", "NAME OF AUDIO FILE.txt")</f>
        <v>metatags = "NAME OF AUDIO FILE.txt"</v>
      </c>
    </row>
    <row r="4" spans="1:21" ht="17.399999999999999" customHeight="1">
      <c r="B4" s="18"/>
      <c r="C4" s="18"/>
      <c r="D4" s="18"/>
      <c r="E4" s="141" t="s">
        <v>57</v>
      </c>
      <c r="F4" s="8"/>
      <c r="G4" s="126" t="s">
        <v>65</v>
      </c>
      <c r="H4" s="126"/>
      <c r="I4" s="126"/>
      <c r="J4" s="46"/>
      <c r="K4" s="36"/>
      <c r="L4" s="46"/>
      <c r="M4" s="46"/>
      <c r="N4" s="46"/>
      <c r="O4" s="126" t="s">
        <v>66</v>
      </c>
      <c r="P4" s="126"/>
      <c r="Q4" s="126"/>
      <c r="R4" s="46"/>
      <c r="S4" s="46"/>
      <c r="T4" s="46"/>
      <c r="U4" s="46"/>
    </row>
    <row r="5" spans="1:21" ht="18">
      <c r="B5" s="18"/>
      <c r="C5" s="18"/>
      <c r="D5" s="18"/>
      <c r="E5" s="141"/>
      <c r="F5" s="47"/>
      <c r="G5" s="39"/>
      <c r="H5" s="39"/>
      <c r="I5" s="39"/>
      <c r="J5" s="46"/>
      <c r="K5" s="46"/>
      <c r="L5" s="46"/>
      <c r="M5" s="46"/>
      <c r="N5" s="129" t="s">
        <v>56</v>
      </c>
      <c r="O5" s="129"/>
      <c r="P5" s="136" t="str">
        <f>[1]!wwsInput()</f>
        <v/>
      </c>
      <c r="Q5" s="136"/>
      <c r="R5" s="136"/>
      <c r="S5" s="136"/>
      <c r="T5" s="46"/>
      <c r="U5" s="46"/>
    </row>
    <row r="6" spans="1:21">
      <c r="B6" s="18"/>
      <c r="C6" s="18"/>
      <c r="D6" s="18"/>
      <c r="E6" s="57" t="s">
        <v>51</v>
      </c>
      <c r="F6" s="47"/>
      <c r="G6" s="139" t="s">
        <v>52</v>
      </c>
      <c r="H6" s="139"/>
      <c r="I6" s="139"/>
      <c r="J6" s="46"/>
      <c r="K6" s="46"/>
      <c r="L6" s="46"/>
      <c r="M6" s="46"/>
      <c r="N6" s="46"/>
      <c r="O6" s="139" t="s">
        <v>52</v>
      </c>
      <c r="P6" s="139"/>
      <c r="Q6" s="139"/>
      <c r="R6" s="46"/>
      <c r="S6" s="18"/>
      <c r="T6" s="18"/>
      <c r="U6" s="18"/>
    </row>
    <row r="7" spans="1:21" ht="18">
      <c r="A7" s="13" t="str">
        <f>IF(OR(G7&lt;&gt;"",H7&lt;&gt;"",I7&lt;&gt;""),"clikt","")</f>
        <v>clikt</v>
      </c>
      <c r="B7" s="58" t="s">
        <v>35</v>
      </c>
      <c r="C7" s="58" t="s">
        <v>49</v>
      </c>
      <c r="D7" s="58" t="s">
        <v>29</v>
      </c>
      <c r="E7" s="49" t="s">
        <v>35</v>
      </c>
      <c r="F7" s="48">
        <v>1</v>
      </c>
      <c r="G7" s="14" t="str">
        <f>[1]!wwsCheckbox($B7,7,FALSE)</f>
        <v>bob</v>
      </c>
      <c r="H7" s="14" t="str">
        <f>[1]!wwsCheckbox($C7,7,FALSE)</f>
        <v>bub</v>
      </c>
      <c r="I7" s="14" t="str">
        <f>[1]!wwsCheckbox($D7,7,FALSE)</f>
        <v>bib</v>
      </c>
      <c r="J7" s="10" t="str">
        <f>IF(OR(E7=G7,E7=H7,E7=I7),"GOOD","")</f>
        <v>GOOD</v>
      </c>
      <c r="K7" s="10"/>
      <c r="L7" s="13"/>
      <c r="M7" s="10"/>
      <c r="N7" s="9">
        <v>1</v>
      </c>
      <c r="O7" s="14" t="str">
        <f>[1]!wwsCheckbox($C7,107,FALSE)</f>
        <v>bub</v>
      </c>
      <c r="P7" s="14" t="str">
        <f>[1]!wwsCheckbox($D7,107,FALSE)</f>
        <v>bib</v>
      </c>
      <c r="Q7" s="14" t="str">
        <f>[1]!wwsCheckbox($B7,107,FALSE)</f>
        <v>bob</v>
      </c>
      <c r="R7" s="13">
        <f>IF(OR(E7=O7,E7=P7,E7=Q7),1,0)</f>
        <v>1</v>
      </c>
      <c r="S7" s="19"/>
      <c r="T7" s="20"/>
      <c r="U7" s="19"/>
    </row>
    <row r="8" spans="1:21" ht="18">
      <c r="A8" s="13" t="str">
        <f>IF(OR(G8&lt;&gt;"",H8&lt;&gt;"",I8&lt;&gt;""),"clikt","")</f>
        <v>clikt</v>
      </c>
      <c r="B8" s="58" t="s">
        <v>6</v>
      </c>
      <c r="C8" s="58" t="s">
        <v>15</v>
      </c>
      <c r="D8" s="58" t="s">
        <v>25</v>
      </c>
      <c r="E8" s="49" t="s">
        <v>15</v>
      </c>
      <c r="F8" s="48">
        <f>1+F7</f>
        <v>2</v>
      </c>
      <c r="G8" s="14" t="str">
        <f>[1]!wwsCheckbox($B8,8,FALSE)</f>
        <v>bad</v>
      </c>
      <c r="H8" s="14" t="str">
        <f>[1]!wwsCheckbox($C8,8,FALSE)</f>
        <v>bed</v>
      </c>
      <c r="I8" s="14" t="str">
        <f>[1]!wwsCheckbox($D8,8,FALSE)</f>
        <v>bid</v>
      </c>
      <c r="J8" s="10" t="str">
        <f>IF(OR(E8=G8,E8=H8,E8=I8),"GOOD","")</f>
        <v>GOOD</v>
      </c>
      <c r="K8" s="10"/>
      <c r="L8" s="10"/>
      <c r="M8" s="10"/>
      <c r="N8" s="9">
        <f>1+N7</f>
        <v>2</v>
      </c>
      <c r="O8" s="14" t="str">
        <f>[1]!wwsCheckbox($C8,108,FALSE)</f>
        <v>bed</v>
      </c>
      <c r="P8" s="14" t="str">
        <f>[1]!wwsCheckbox($D8,108,FALSE)</f>
        <v>bid</v>
      </c>
      <c r="Q8" s="14" t="str">
        <f>[1]!wwsCheckbox($B8,108,FALSE)</f>
        <v>bad</v>
      </c>
      <c r="R8" s="13">
        <f t="shared" ref="R8:R16" si="0">IF(OR(E8=O8,E8=P8,E8=Q8),1,0)</f>
        <v>1</v>
      </c>
      <c r="S8" s="19"/>
      <c r="T8" s="19"/>
      <c r="U8" s="21"/>
    </row>
    <row r="9" spans="1:21" ht="18">
      <c r="A9" s="13" t="str">
        <f t="shared" ref="A9:A26" si="1">IF(OR(G9&lt;&gt;"",H9&lt;&gt;"",I9&lt;&gt;""),"clikt","")</f>
        <v>clikt</v>
      </c>
      <c r="B9" s="58" t="s">
        <v>37</v>
      </c>
      <c r="C9" s="58" t="s">
        <v>0</v>
      </c>
      <c r="D9" s="58" t="s">
        <v>47</v>
      </c>
      <c r="E9" s="49" t="s">
        <v>37</v>
      </c>
      <c r="F9" s="48">
        <f t="shared" ref="F9:F16" si="2">1+F8</f>
        <v>3</v>
      </c>
      <c r="G9" s="14" t="str">
        <f>[1]!wwsCheckbox($B9,9,FALSE)</f>
        <v>bot</v>
      </c>
      <c r="H9" s="14" t="str">
        <f>[1]!wwsCheckbox($C9,9,FALSE)</f>
        <v>bat</v>
      </c>
      <c r="I9" s="14" t="str">
        <f>[1]!wwsCheckbox($D9,9,FALSE)</f>
        <v>but</v>
      </c>
      <c r="J9" s="10" t="str">
        <f t="shared" ref="J9:J16" si="3">IF(OR(E9=G9,E9=H9,E9=I9),"GOOD","")</f>
        <v>GOOD</v>
      </c>
      <c r="K9" s="10"/>
      <c r="L9" s="10"/>
      <c r="M9" s="10"/>
      <c r="N9" s="9">
        <f t="shared" ref="N9:N16" si="4">1+N8</f>
        <v>3</v>
      </c>
      <c r="O9" s="14" t="str">
        <f>[1]!wwsCheckbox($C9,109,FALSE)</f>
        <v>bat</v>
      </c>
      <c r="P9" s="14" t="str">
        <f>[1]!wwsCheckbox($D9,109,FALSE)</f>
        <v>but</v>
      </c>
      <c r="Q9" s="14" t="str">
        <f>[1]!wwsCheckbox($B9,109,FALSE)</f>
        <v>bot</v>
      </c>
      <c r="R9" s="13">
        <f t="shared" si="0"/>
        <v>1</v>
      </c>
      <c r="S9" s="22"/>
      <c r="T9" s="22"/>
      <c r="U9" s="22"/>
    </row>
    <row r="10" spans="1:21" ht="18">
      <c r="A10" s="13" t="str">
        <f t="shared" si="1"/>
        <v>clikt</v>
      </c>
      <c r="B10" s="58" t="s">
        <v>26</v>
      </c>
      <c r="C10" s="58" t="s">
        <v>67</v>
      </c>
      <c r="D10" s="58" t="s">
        <v>16</v>
      </c>
      <c r="E10" s="49" t="s">
        <v>16</v>
      </c>
      <c r="F10" s="48">
        <f t="shared" si="2"/>
        <v>4</v>
      </c>
      <c r="G10" s="14" t="str">
        <f>[1]!wwsCheckbox($B10,10,FALSE)</f>
        <v>din</v>
      </c>
      <c r="H10" s="14" t="str">
        <f>[1]!wwsCheckbox($C10,10,FALSE)</f>
        <v>dun</v>
      </c>
      <c r="I10" s="14" t="str">
        <f>[1]!wwsCheckbox($D10,10,FALSE)</f>
        <v>den</v>
      </c>
      <c r="J10" s="10" t="str">
        <f t="shared" si="3"/>
        <v>GOOD</v>
      </c>
      <c r="K10" s="10"/>
      <c r="L10" s="10"/>
      <c r="M10" s="10"/>
      <c r="N10" s="9">
        <f t="shared" si="4"/>
        <v>4</v>
      </c>
      <c r="O10" s="14" t="str">
        <f>[1]!wwsCheckbox($C10,110,FALSE)</f>
        <v>dun</v>
      </c>
      <c r="P10" s="14" t="str">
        <f>[1]!wwsCheckbox($D10,110,FALSE)</f>
        <v>den</v>
      </c>
      <c r="Q10" s="14" t="str">
        <f>[1]!wwsCheckbox($B10,110,FALSE)</f>
        <v>din</v>
      </c>
      <c r="R10" s="13">
        <f t="shared" si="0"/>
        <v>1</v>
      </c>
      <c r="S10" s="22"/>
      <c r="T10" s="22"/>
      <c r="U10" s="22"/>
    </row>
    <row r="11" spans="1:21" ht="18">
      <c r="A11" s="13" t="str">
        <f t="shared" si="1"/>
        <v>clikt</v>
      </c>
      <c r="B11" s="58" t="s">
        <v>41</v>
      </c>
      <c r="C11" s="58" t="s">
        <v>50</v>
      </c>
      <c r="D11" s="58" t="s">
        <v>22</v>
      </c>
      <c r="E11" s="49" t="s">
        <v>41</v>
      </c>
      <c r="F11" s="48">
        <f t="shared" si="2"/>
        <v>5</v>
      </c>
      <c r="G11" s="14" t="str">
        <f>[1]!wwsCheckbox($B11,11,FALSE)</f>
        <v>not</v>
      </c>
      <c r="H11" s="14" t="str">
        <f>[1]!wwsCheckbox($C11,11,FALSE)</f>
        <v>nut</v>
      </c>
      <c r="I11" s="14" t="str">
        <f>[1]!wwsCheckbox($D11,11,FALSE)</f>
        <v>net</v>
      </c>
      <c r="J11" s="10" t="str">
        <f t="shared" si="3"/>
        <v>GOOD</v>
      </c>
      <c r="K11" s="10"/>
      <c r="L11" s="10"/>
      <c r="M11" s="10"/>
      <c r="N11" s="9">
        <f t="shared" si="4"/>
        <v>5</v>
      </c>
      <c r="O11" s="14" t="str">
        <f>[1]!wwsCheckbox($C11,111,FALSE)</f>
        <v>nut</v>
      </c>
      <c r="P11" s="14" t="str">
        <f>[1]!wwsCheckbox($D11,111,FALSE)</f>
        <v>net</v>
      </c>
      <c r="Q11" s="14" t="str">
        <f>[1]!wwsCheckbox($B11,111,FALSE)</f>
        <v>not</v>
      </c>
      <c r="R11" s="13">
        <f t="shared" si="0"/>
        <v>1</v>
      </c>
      <c r="S11" s="10"/>
      <c r="T11" s="10"/>
      <c r="U11" s="10"/>
    </row>
    <row r="12" spans="1:21" ht="18">
      <c r="A12" s="13" t="str">
        <f t="shared" si="1"/>
        <v>clikt</v>
      </c>
      <c r="B12" s="58" t="s">
        <v>33</v>
      </c>
      <c r="C12" s="58" t="s">
        <v>18</v>
      </c>
      <c r="D12" s="58" t="s">
        <v>14</v>
      </c>
      <c r="E12" s="49" t="s">
        <v>18</v>
      </c>
      <c r="F12" s="48">
        <f t="shared" si="2"/>
        <v>6</v>
      </c>
      <c r="G12" s="14" t="str">
        <f>[1]!wwsCheckbox($B12,12,FALSE)</f>
        <v>pin</v>
      </c>
      <c r="H12" s="14" t="str">
        <f>[1]!wwsCheckbox($C12,12,FALSE)</f>
        <v>pen</v>
      </c>
      <c r="I12" s="14" t="str">
        <f>[1]!wwsCheckbox($D12,12,FALSE)</f>
        <v>pan</v>
      </c>
      <c r="J12" s="10" t="str">
        <f t="shared" si="3"/>
        <v>GOOD</v>
      </c>
      <c r="K12" s="10"/>
      <c r="L12" s="10"/>
      <c r="M12" s="10"/>
      <c r="N12" s="9">
        <f t="shared" si="4"/>
        <v>6</v>
      </c>
      <c r="O12" s="14" t="str">
        <f>[1]!wwsCheckbox($C12,112,FALSE)</f>
        <v>pen</v>
      </c>
      <c r="P12" s="14" t="str">
        <f>[1]!wwsCheckbox($D12,112,FALSE)</f>
        <v>pan</v>
      </c>
      <c r="Q12" s="14" t="str">
        <f>[1]!wwsCheckbox($B12,112,FALSE)</f>
        <v>pin</v>
      </c>
      <c r="R12" s="13">
        <f t="shared" si="0"/>
        <v>1</v>
      </c>
      <c r="S12" s="10"/>
      <c r="T12" s="10"/>
      <c r="U12" s="10"/>
    </row>
    <row r="13" spans="1:21" ht="18">
      <c r="A13" s="13" t="str">
        <f t="shared" si="1"/>
        <v>clikt</v>
      </c>
      <c r="B13" s="58" t="s">
        <v>36</v>
      </c>
      <c r="C13" s="58" t="s">
        <v>68</v>
      </c>
      <c r="D13" s="58" t="s">
        <v>58</v>
      </c>
      <c r="E13" s="49" t="s">
        <v>58</v>
      </c>
      <c r="F13" s="48">
        <f t="shared" si="2"/>
        <v>7</v>
      </c>
      <c r="G13" s="14" t="str">
        <f>[1]!wwsCheckbox($B13,13,FALSE)</f>
        <v>pop</v>
      </c>
      <c r="H13" s="14" t="str">
        <f>[1]!wwsCheckbox($C13,13,FALSE)</f>
        <v>pep</v>
      </c>
      <c r="I13" s="14" t="str">
        <f>[1]!wwsCheckbox($D13,13,FALSE)</f>
        <v>pup</v>
      </c>
      <c r="J13" s="10" t="str">
        <f t="shared" si="3"/>
        <v>GOOD</v>
      </c>
      <c r="K13" s="10"/>
      <c r="L13" s="10"/>
      <c r="M13" s="10"/>
      <c r="N13" s="9">
        <f t="shared" si="4"/>
        <v>7</v>
      </c>
      <c r="O13" s="14" t="str">
        <f>[1]!wwsCheckbox($C13,113,FALSE)</f>
        <v>pep</v>
      </c>
      <c r="P13" s="14" t="str">
        <f>[1]!wwsCheckbox($D13,113,FALSE)</f>
        <v>pup</v>
      </c>
      <c r="Q13" s="14" t="str">
        <f>[1]!wwsCheckbox($B13,113,FALSE)</f>
        <v>pop</v>
      </c>
      <c r="R13" s="13">
        <f t="shared" si="0"/>
        <v>1</v>
      </c>
      <c r="S13" s="10"/>
      <c r="T13" s="10"/>
      <c r="U13" s="10"/>
    </row>
    <row r="14" spans="1:21" ht="18">
      <c r="A14" s="13" t="str">
        <f t="shared" si="1"/>
        <v>clikt</v>
      </c>
      <c r="B14" s="58" t="s">
        <v>23</v>
      </c>
      <c r="C14" s="58" t="s">
        <v>30</v>
      </c>
      <c r="D14" s="58" t="s">
        <v>13</v>
      </c>
      <c r="E14" s="49" t="s">
        <v>23</v>
      </c>
      <c r="F14" s="48">
        <f t="shared" si="2"/>
        <v>8</v>
      </c>
      <c r="G14" s="14" t="str">
        <f>[1]!wwsCheckbox($B14,14,FALSE)</f>
        <v>pet</v>
      </c>
      <c r="H14" s="14" t="str">
        <f>[1]!wwsCheckbox($C14,14,FALSE)</f>
        <v>pit</v>
      </c>
      <c r="I14" s="14" t="str">
        <f>[1]!wwsCheckbox($D14,14,FALSE)</f>
        <v>pat</v>
      </c>
      <c r="J14" s="10" t="str">
        <f t="shared" si="3"/>
        <v>GOOD</v>
      </c>
      <c r="K14" s="10"/>
      <c r="L14" s="10"/>
      <c r="M14" s="10"/>
      <c r="N14" s="9">
        <f t="shared" si="4"/>
        <v>8</v>
      </c>
      <c r="O14" s="14" t="str">
        <f>[1]!wwsCheckbox($C14,114,FALSE)</f>
        <v>pit</v>
      </c>
      <c r="P14" s="14" t="str">
        <f>[1]!wwsCheckbox($D14,114,FALSE)</f>
        <v>pat</v>
      </c>
      <c r="Q14" s="14" t="str">
        <f>[1]!wwsCheckbox($B14,114,FALSE)</f>
        <v>pet</v>
      </c>
      <c r="R14" s="13">
        <f t="shared" si="0"/>
        <v>1</v>
      </c>
      <c r="S14" s="10"/>
      <c r="T14" s="10"/>
      <c r="U14" s="10"/>
    </row>
    <row r="15" spans="1:21" ht="18">
      <c r="A15" s="13" t="str">
        <f t="shared" si="1"/>
        <v>clikt</v>
      </c>
      <c r="B15" s="58" t="s">
        <v>19</v>
      </c>
      <c r="C15" s="58" t="s">
        <v>7</v>
      </c>
      <c r="D15" s="58" t="s">
        <v>24</v>
      </c>
      <c r="E15" s="49" t="s">
        <v>7</v>
      </c>
      <c r="F15" s="48">
        <f t="shared" si="2"/>
        <v>9</v>
      </c>
      <c r="G15" s="14" t="str">
        <f>[1]!wwsCheckbox($B15,15,FALSE)</f>
        <v>ten</v>
      </c>
      <c r="H15" s="14" t="str">
        <f>[1]!wwsCheckbox($C15,15,FALSE)</f>
        <v>tan</v>
      </c>
      <c r="I15" s="14" t="str">
        <f>[1]!wwsCheckbox($D15,15,FALSE)</f>
        <v>tin</v>
      </c>
      <c r="J15" s="10" t="str">
        <f t="shared" si="3"/>
        <v>GOOD</v>
      </c>
      <c r="K15" s="10"/>
      <c r="L15" s="10"/>
      <c r="M15" s="10"/>
      <c r="N15" s="9">
        <f t="shared" si="4"/>
        <v>9</v>
      </c>
      <c r="O15" s="14" t="str">
        <f>[1]!wwsCheckbox($C15,115,FALSE)</f>
        <v>tan</v>
      </c>
      <c r="P15" s="14" t="str">
        <f>[1]!wwsCheckbox($D15,115,FALSE)</f>
        <v>tin</v>
      </c>
      <c r="Q15" s="14" t="str">
        <f>[1]!wwsCheckbox($B15,115,FALSE)</f>
        <v>ten</v>
      </c>
      <c r="R15" s="13">
        <f t="shared" si="0"/>
        <v>1</v>
      </c>
      <c r="S15" s="10"/>
      <c r="T15" s="10"/>
      <c r="U15" s="10"/>
    </row>
    <row r="16" spans="1:21" ht="18">
      <c r="A16" s="13" t="str">
        <f t="shared" si="1"/>
        <v>clikt</v>
      </c>
      <c r="B16" s="58" t="s">
        <v>38</v>
      </c>
      <c r="C16" s="58" t="s">
        <v>2</v>
      </c>
      <c r="D16" s="58" t="s">
        <v>27</v>
      </c>
      <c r="E16" s="49" t="s">
        <v>38</v>
      </c>
      <c r="F16" s="48">
        <f t="shared" si="2"/>
        <v>10</v>
      </c>
      <c r="G16" s="14" t="str">
        <f>[1]!wwsCheckbox($B16,16,FALSE)</f>
        <v>top</v>
      </c>
      <c r="H16" s="14" t="str">
        <f>[1]!wwsCheckbox($C16,16,FALSE)</f>
        <v>tap</v>
      </c>
      <c r="I16" s="14" t="str">
        <f>[1]!wwsCheckbox($D16,16,FALSE)</f>
        <v>tip</v>
      </c>
      <c r="J16" s="10" t="str">
        <f t="shared" si="3"/>
        <v>GOOD</v>
      </c>
      <c r="K16" s="10"/>
      <c r="L16" s="10"/>
      <c r="M16" s="10"/>
      <c r="N16" s="9">
        <f t="shared" si="4"/>
        <v>10</v>
      </c>
      <c r="O16" s="14" t="str">
        <f>[1]!wwsCheckbox($C16,116,FALSE)</f>
        <v>tap</v>
      </c>
      <c r="P16" s="14" t="str">
        <f>[1]!wwsCheckbox($D16,116,FALSE)</f>
        <v>tip</v>
      </c>
      <c r="Q16" s="14" t="str">
        <f>[1]!wwsCheckbox($B16,116,FALSE)</f>
        <v>top</v>
      </c>
      <c r="R16" s="13">
        <f t="shared" si="0"/>
        <v>1</v>
      </c>
      <c r="S16" s="10"/>
      <c r="T16" s="10"/>
      <c r="U16" s="10"/>
    </row>
    <row r="17" spans="1:21" ht="17.399999999999999">
      <c r="A17" s="13"/>
      <c r="B17" s="29"/>
      <c r="C17" s="29"/>
      <c r="D17" s="29"/>
      <c r="E17" s="49"/>
      <c r="F17" s="48"/>
      <c r="G17" s="31"/>
      <c r="H17" s="31"/>
      <c r="I17" s="31"/>
      <c r="J17" s="32"/>
      <c r="K17" s="32"/>
      <c r="L17" s="32"/>
      <c r="M17" s="32"/>
      <c r="N17" s="30"/>
      <c r="O17" s="31"/>
      <c r="P17" s="31"/>
      <c r="Q17" s="31"/>
      <c r="R17" s="13"/>
      <c r="S17" s="10"/>
      <c r="T17" s="10"/>
      <c r="U17" s="10"/>
    </row>
    <row r="18" spans="1:21" ht="17.399999999999999">
      <c r="A18" s="13"/>
      <c r="B18" s="51"/>
      <c r="C18" s="51"/>
      <c r="D18" s="51"/>
      <c r="E18" s="52"/>
      <c r="F18" s="48"/>
      <c r="G18" s="31"/>
      <c r="H18" s="31"/>
      <c r="I18" s="31"/>
      <c r="J18" s="32"/>
      <c r="K18" s="32"/>
      <c r="L18" s="32"/>
      <c r="M18" s="32"/>
      <c r="N18" s="30"/>
      <c r="O18" s="31"/>
      <c r="P18" s="31"/>
      <c r="Q18" s="31"/>
      <c r="R18" s="13"/>
      <c r="S18" s="10"/>
      <c r="T18" s="10"/>
      <c r="U18" s="10"/>
    </row>
    <row r="19" spans="1:21" ht="17.399999999999999">
      <c r="A19" s="13"/>
      <c r="B19" s="51"/>
      <c r="C19" s="51"/>
      <c r="D19" s="51"/>
      <c r="E19" s="52"/>
      <c r="F19" s="48"/>
      <c r="G19" s="31"/>
      <c r="H19" s="31"/>
      <c r="I19" s="31"/>
      <c r="J19" s="32"/>
      <c r="K19" s="32"/>
      <c r="L19" s="32"/>
      <c r="M19" s="32"/>
      <c r="N19" s="30"/>
      <c r="O19" s="31"/>
      <c r="P19" s="31"/>
      <c r="Q19" s="31"/>
      <c r="R19" s="13"/>
      <c r="S19" s="10"/>
      <c r="T19" s="10"/>
      <c r="U19" s="10"/>
    </row>
    <row r="20" spans="1:21" ht="17.399999999999999">
      <c r="A20" s="13"/>
      <c r="B20" s="51"/>
      <c r="C20" s="51"/>
      <c r="D20" s="51"/>
      <c r="E20" s="52"/>
      <c r="F20" s="48"/>
      <c r="G20" s="31"/>
      <c r="H20" s="31"/>
      <c r="I20" s="31"/>
      <c r="J20" s="32"/>
      <c r="K20" s="32"/>
      <c r="L20" s="32"/>
      <c r="M20" s="32"/>
      <c r="N20" s="30"/>
      <c r="O20" s="31"/>
      <c r="P20" s="31"/>
      <c r="Q20" s="31"/>
      <c r="R20" s="13"/>
      <c r="S20" s="10"/>
      <c r="T20" s="10"/>
      <c r="U20" s="10"/>
    </row>
    <row r="21" spans="1:21" ht="17.399999999999999">
      <c r="A21" s="13"/>
      <c r="B21" s="51"/>
      <c r="C21" s="51"/>
      <c r="D21" s="51"/>
      <c r="E21" s="52"/>
      <c r="F21" s="48"/>
      <c r="G21" s="31"/>
      <c r="H21" s="31"/>
      <c r="I21" s="31"/>
      <c r="J21" s="32"/>
      <c r="K21" s="32"/>
      <c r="L21" s="32"/>
      <c r="M21" s="32"/>
      <c r="N21" s="30"/>
      <c r="O21" s="31"/>
      <c r="P21" s="31"/>
      <c r="Q21" s="31"/>
      <c r="R21" s="13"/>
      <c r="S21" s="10"/>
      <c r="T21" s="10"/>
      <c r="U21" s="10"/>
    </row>
    <row r="22" spans="1:21" ht="17.399999999999999">
      <c r="A22" s="13" t="str">
        <f t="shared" si="1"/>
        <v/>
      </c>
      <c r="B22" s="53"/>
      <c r="C22" s="53"/>
      <c r="D22" s="53"/>
      <c r="E22" s="54"/>
      <c r="F22" s="49"/>
      <c r="G22" s="31"/>
      <c r="H22" s="31"/>
      <c r="I22" s="31"/>
      <c r="J22" s="32"/>
      <c r="K22" s="32"/>
      <c r="L22" s="32"/>
      <c r="M22" s="32"/>
      <c r="N22" s="30"/>
      <c r="O22" s="31"/>
      <c r="P22" s="31"/>
      <c r="Q22" s="31"/>
      <c r="R22" s="33">
        <f>SUM(R7:R21)/10</f>
        <v>1</v>
      </c>
      <c r="S22" s="10"/>
      <c r="T22" s="10"/>
      <c r="U22" s="10"/>
    </row>
    <row r="23" spans="1:21" ht="17.399999999999999">
      <c r="A23" s="13" t="str">
        <f t="shared" si="1"/>
        <v/>
      </c>
      <c r="B23" s="17" t="s">
        <v>32</v>
      </c>
      <c r="C23" s="17"/>
      <c r="D23" s="17"/>
      <c r="E23" s="49"/>
      <c r="F23" s="49"/>
      <c r="G23" s="31"/>
      <c r="H23" s="31"/>
      <c r="I23" s="31"/>
      <c r="J23" s="32"/>
      <c r="K23" s="32"/>
      <c r="L23" s="32"/>
      <c r="M23" s="32"/>
      <c r="N23" s="30"/>
      <c r="O23" s="31"/>
      <c r="P23" s="31"/>
      <c r="Q23" s="31"/>
      <c r="R23" s="32"/>
      <c r="S23" s="10"/>
      <c r="T23" s="46" t="s">
        <v>55</v>
      </c>
      <c r="U23" s="10"/>
    </row>
    <row r="24" spans="1:21" ht="17.399999999999999">
      <c r="A24" s="13" t="str">
        <f t="shared" si="1"/>
        <v/>
      </c>
      <c r="B24" s="17" t="s">
        <v>48</v>
      </c>
      <c r="C24" s="17"/>
      <c r="D24" s="17"/>
      <c r="E24" s="49"/>
      <c r="F24" s="49"/>
      <c r="G24" s="31"/>
      <c r="H24" s="31"/>
      <c r="I24" s="31"/>
      <c r="J24" s="32"/>
      <c r="K24" s="32"/>
      <c r="L24" s="32"/>
      <c r="M24" s="32"/>
      <c r="N24" s="30"/>
      <c r="O24" s="31"/>
      <c r="P24" s="31"/>
      <c r="Q24" s="31"/>
      <c r="R24" s="32"/>
      <c r="S24" s="10"/>
      <c r="T24" s="10"/>
      <c r="U24" s="10"/>
    </row>
    <row r="25" spans="1:21" ht="17.399999999999999">
      <c r="A25" s="13" t="str">
        <f t="shared" si="1"/>
        <v/>
      </c>
      <c r="B25" s="17" t="s">
        <v>44</v>
      </c>
      <c r="C25" s="17"/>
      <c r="D25" s="17"/>
      <c r="E25" s="49"/>
      <c r="F25" s="49"/>
      <c r="G25" s="31"/>
      <c r="H25" s="31"/>
      <c r="I25" s="31"/>
      <c r="J25" s="32"/>
      <c r="K25" s="32"/>
      <c r="L25" s="32"/>
      <c r="M25" s="32"/>
      <c r="N25" s="30"/>
      <c r="O25" s="31"/>
      <c r="P25" s="31"/>
      <c r="Q25" s="31"/>
      <c r="R25" s="32"/>
      <c r="S25" s="10"/>
      <c r="T25" s="10"/>
      <c r="U25" s="10"/>
    </row>
    <row r="26" spans="1:21" ht="17.399999999999999">
      <c r="A26" s="13" t="str">
        <f t="shared" si="1"/>
        <v/>
      </c>
      <c r="B26" s="17" t="s">
        <v>9</v>
      </c>
      <c r="C26" s="17"/>
      <c r="D26" s="17"/>
      <c r="E26" s="49"/>
      <c r="F26" s="49"/>
      <c r="G26" s="31"/>
      <c r="H26" s="31"/>
      <c r="I26" s="31"/>
      <c r="J26" s="32"/>
      <c r="K26" s="32"/>
      <c r="L26" s="32"/>
      <c r="M26" s="32"/>
      <c r="N26" s="30"/>
      <c r="O26" s="31"/>
      <c r="P26" s="31"/>
      <c r="Q26" s="31"/>
      <c r="R26" s="32"/>
      <c r="S26" s="10"/>
      <c r="T26" s="10"/>
      <c r="U26" s="10"/>
    </row>
    <row r="27" spans="1:21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1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21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21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21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21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2:17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2:17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2:17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2:17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</sheetData>
  <mergeCells count="10">
    <mergeCell ref="E4:E5"/>
    <mergeCell ref="G4:I4"/>
    <mergeCell ref="O4:Q4"/>
    <mergeCell ref="N5:O5"/>
    <mergeCell ref="P5:S5"/>
    <mergeCell ref="G6:I6"/>
    <mergeCell ref="O6:Q6"/>
    <mergeCell ref="F2:H2"/>
    <mergeCell ref="J2:L2"/>
    <mergeCell ref="N2:O2"/>
  </mergeCells>
  <conditionalFormatting sqref="N7">
    <cfRule type="cellIs" priority="221" operator="between">
      <formula>1</formula>
      <formula>2</formula>
    </cfRule>
    <cfRule type="cellIs" dxfId="572" priority="222" operator="equal">
      <formula>"""GOOD"""</formula>
    </cfRule>
  </conditionalFormatting>
  <conditionalFormatting sqref="G24">
    <cfRule type="expression" dxfId="571" priority="219">
      <formula>AND($A24="clikt",$J24&lt;&gt;"GOOD")</formula>
    </cfRule>
    <cfRule type="expression" dxfId="570" priority="220">
      <formula>$J24="GOOD"</formula>
    </cfRule>
  </conditionalFormatting>
  <conditionalFormatting sqref="G25">
    <cfRule type="expression" dxfId="569" priority="217">
      <formula>AND($A25="clikt",$J25&lt;&gt;"GOOD")</formula>
    </cfRule>
    <cfRule type="expression" dxfId="568" priority="218">
      <formula>$J25="GOOD"</formula>
    </cfRule>
  </conditionalFormatting>
  <conditionalFormatting sqref="G26">
    <cfRule type="expression" dxfId="567" priority="215">
      <formula>AND($A26="clikt",$J26&lt;&gt;"GOOD")</formula>
    </cfRule>
    <cfRule type="expression" dxfId="566" priority="216">
      <formula>$J26="GOOD"</formula>
    </cfRule>
  </conditionalFormatting>
  <conditionalFormatting sqref="H22">
    <cfRule type="expression" dxfId="565" priority="213">
      <formula>AND($A22="clikt",$J22&lt;&gt;"GOOD")</formula>
    </cfRule>
    <cfRule type="expression" dxfId="564" priority="214">
      <formula>$J22="GOOD"</formula>
    </cfRule>
  </conditionalFormatting>
  <conditionalFormatting sqref="H23">
    <cfRule type="expression" dxfId="563" priority="211">
      <formula>AND($A23="clikt",$J23&lt;&gt;"GOOD")</formula>
    </cfRule>
    <cfRule type="expression" dxfId="562" priority="212">
      <formula>$J23="GOOD"</formula>
    </cfRule>
  </conditionalFormatting>
  <conditionalFormatting sqref="H24">
    <cfRule type="expression" dxfId="561" priority="209">
      <formula>AND($A24="clikt",$J24&lt;&gt;"GOOD")</formula>
    </cfRule>
    <cfRule type="expression" dxfId="560" priority="210">
      <formula>$J24="GOOD"</formula>
    </cfRule>
  </conditionalFormatting>
  <conditionalFormatting sqref="H25">
    <cfRule type="expression" dxfId="559" priority="207">
      <formula>AND($A25="clikt",$J25&lt;&gt;"GOOD")</formula>
    </cfRule>
    <cfRule type="expression" dxfId="558" priority="208">
      <formula>$J25="GOOD"</formula>
    </cfRule>
  </conditionalFormatting>
  <conditionalFormatting sqref="H26">
    <cfRule type="expression" dxfId="557" priority="205">
      <formula>AND($A26="clikt",$J26&lt;&gt;"GOOD")</formula>
    </cfRule>
    <cfRule type="expression" dxfId="556" priority="206">
      <formula>$J26="GOOD"</formula>
    </cfRule>
  </conditionalFormatting>
  <conditionalFormatting sqref="I22">
    <cfRule type="expression" dxfId="555" priority="203">
      <formula>AND($A22="clikt",$J22&lt;&gt;"GOOD")</formula>
    </cfRule>
    <cfRule type="expression" dxfId="554" priority="204">
      <formula>$J22="GOOD"</formula>
    </cfRule>
  </conditionalFormatting>
  <conditionalFormatting sqref="I23">
    <cfRule type="expression" dxfId="553" priority="201">
      <formula>AND($A23="clikt",$J23&lt;&gt;"GOOD")</formula>
    </cfRule>
    <cfRule type="expression" dxfId="552" priority="202">
      <formula>$J23="GOOD"</formula>
    </cfRule>
  </conditionalFormatting>
  <conditionalFormatting sqref="I24">
    <cfRule type="expression" dxfId="551" priority="199">
      <formula>AND($A24="clikt",$J24&lt;&gt;"GOOD")</formula>
    </cfRule>
    <cfRule type="expression" dxfId="550" priority="200">
      <formula>$J24="GOOD"</formula>
    </cfRule>
  </conditionalFormatting>
  <conditionalFormatting sqref="I25">
    <cfRule type="expression" dxfId="549" priority="197">
      <formula>AND($A25="clikt",$J25&lt;&gt;"GOOD")</formula>
    </cfRule>
    <cfRule type="expression" dxfId="548" priority="198">
      <formula>$J25="GOOD"</formula>
    </cfRule>
  </conditionalFormatting>
  <conditionalFormatting sqref="I26">
    <cfRule type="expression" dxfId="547" priority="195">
      <formula>AND($A26="clikt",$J26&lt;&gt;"GOOD")</formula>
    </cfRule>
    <cfRule type="expression" dxfId="546" priority="196">
      <formula>$J26="GOOD"</formula>
    </cfRule>
  </conditionalFormatting>
  <conditionalFormatting sqref="J22">
    <cfRule type="cellIs" priority="193" operator="between">
      <formula>1</formula>
      <formula>2</formula>
    </cfRule>
    <cfRule type="cellIs" dxfId="545" priority="194" operator="equal">
      <formula>"""GOOD"""</formula>
    </cfRule>
  </conditionalFormatting>
  <conditionalFormatting sqref="J23">
    <cfRule type="cellIs" priority="191" operator="between">
      <formula>1</formula>
      <formula>2</formula>
    </cfRule>
    <cfRule type="cellIs" dxfId="544" priority="192" operator="equal">
      <formula>"""GOOD"""</formula>
    </cfRule>
  </conditionalFormatting>
  <conditionalFormatting sqref="J24">
    <cfRule type="cellIs" priority="189" operator="between">
      <formula>1</formula>
      <formula>2</formula>
    </cfRule>
    <cfRule type="cellIs" dxfId="543" priority="190" operator="equal">
      <formula>"""GOOD"""</formula>
    </cfRule>
  </conditionalFormatting>
  <conditionalFormatting sqref="J25">
    <cfRule type="cellIs" priority="187" operator="between">
      <formula>1</formula>
      <formula>2</formula>
    </cfRule>
    <cfRule type="cellIs" dxfId="542" priority="188" operator="equal">
      <formula>"""GOOD"""</formula>
    </cfRule>
  </conditionalFormatting>
  <conditionalFormatting sqref="J26">
    <cfRule type="cellIs" priority="185" operator="between">
      <formula>1</formula>
      <formula>2</formula>
    </cfRule>
    <cfRule type="cellIs" dxfId="541" priority="186" operator="equal">
      <formula>"""GOOD"""</formula>
    </cfRule>
  </conditionalFormatting>
  <conditionalFormatting sqref="O22">
    <cfRule type="expression" dxfId="540" priority="184">
      <formula>OR($O22&lt;&gt;"",$P22&lt;&gt;"",$Q22&lt;&gt;"")</formula>
    </cfRule>
  </conditionalFormatting>
  <conditionalFormatting sqref="O23">
    <cfRule type="expression" dxfId="539" priority="183">
      <formula>OR($O23&lt;&gt;"",$P23&lt;&gt;"",$Q23&lt;&gt;"")</formula>
    </cfRule>
  </conditionalFormatting>
  <conditionalFormatting sqref="O24">
    <cfRule type="expression" dxfId="538" priority="182">
      <formula>OR($O24&lt;&gt;"",$P24&lt;&gt;"",$Q24&lt;&gt;"")</formula>
    </cfRule>
  </conditionalFormatting>
  <conditionalFormatting sqref="O25">
    <cfRule type="expression" dxfId="537" priority="181">
      <formula>OR($O25&lt;&gt;"",$P25&lt;&gt;"",$Q25&lt;&gt;"")</formula>
    </cfRule>
  </conditionalFormatting>
  <conditionalFormatting sqref="O26">
    <cfRule type="expression" dxfId="536" priority="180">
      <formula>OR($O26&lt;&gt;"",$P26&lt;&gt;"",$Q26&lt;&gt;"")</formula>
    </cfRule>
  </conditionalFormatting>
  <conditionalFormatting sqref="P22">
    <cfRule type="expression" dxfId="535" priority="179">
      <formula>OR($O22&lt;&gt;"",$P22&lt;&gt;"",$Q22&lt;&gt;"")</formula>
    </cfRule>
  </conditionalFormatting>
  <conditionalFormatting sqref="Q22">
    <cfRule type="expression" dxfId="534" priority="178">
      <formula>OR($O22&lt;&gt;"",$P22&lt;&gt;"",$Q22&lt;&gt;"")</formula>
    </cfRule>
  </conditionalFormatting>
  <conditionalFormatting sqref="P23">
    <cfRule type="expression" dxfId="533" priority="177">
      <formula>OR($O23&lt;&gt;"",$P23&lt;&gt;"",$Q23&lt;&gt;"")</formula>
    </cfRule>
  </conditionalFormatting>
  <conditionalFormatting sqref="Q23">
    <cfRule type="expression" dxfId="532" priority="176">
      <formula>OR($O23&lt;&gt;"",$P23&lt;&gt;"",$Q23&lt;&gt;"")</formula>
    </cfRule>
  </conditionalFormatting>
  <conditionalFormatting sqref="P24">
    <cfRule type="expression" dxfId="531" priority="175">
      <formula>OR($O24&lt;&gt;"",$P24&lt;&gt;"",$Q24&lt;&gt;"")</formula>
    </cfRule>
  </conditionalFormatting>
  <conditionalFormatting sqref="Q24">
    <cfRule type="expression" dxfId="530" priority="174">
      <formula>OR($O24&lt;&gt;"",$P24&lt;&gt;"",$Q24&lt;&gt;"")</formula>
    </cfRule>
  </conditionalFormatting>
  <conditionalFormatting sqref="P25">
    <cfRule type="expression" dxfId="529" priority="173">
      <formula>OR($O25&lt;&gt;"",$P25&lt;&gt;"",$Q25&lt;&gt;"")</formula>
    </cfRule>
  </conditionalFormatting>
  <conditionalFormatting sqref="Q25">
    <cfRule type="expression" dxfId="528" priority="172">
      <formula>OR($O25&lt;&gt;"",$P25&lt;&gt;"",$Q25&lt;&gt;"")</formula>
    </cfRule>
  </conditionalFormatting>
  <conditionalFormatting sqref="P26">
    <cfRule type="expression" dxfId="527" priority="171">
      <formula>OR($O26&lt;&gt;"",$P26&lt;&gt;"",$Q26&lt;&gt;"")</formula>
    </cfRule>
  </conditionalFormatting>
  <conditionalFormatting sqref="Q26">
    <cfRule type="expression" dxfId="526" priority="170">
      <formula>OR($O26&lt;&gt;"",$P26&lt;&gt;"",$Q26&lt;&gt;"")</formula>
    </cfRule>
  </conditionalFormatting>
  <conditionalFormatting sqref="K4">
    <cfRule type="cellIs" dxfId="525" priority="223" operator="equal">
      <formula>"""GOOD"""</formula>
    </cfRule>
  </conditionalFormatting>
  <conditionalFormatting sqref="O7">
    <cfRule type="expression" dxfId="524" priority="169">
      <formula>OR($O7&lt;&gt;"",$P7&lt;&gt;"",$Q7&lt;&gt;"")</formula>
    </cfRule>
  </conditionalFormatting>
  <conditionalFormatting sqref="P7">
    <cfRule type="expression" dxfId="523" priority="168">
      <formula>OR($O7&lt;&gt;"",$P7&lt;&gt;"",$Q7&lt;&gt;"")</formula>
    </cfRule>
  </conditionalFormatting>
  <conditionalFormatting sqref="O8">
    <cfRule type="expression" dxfId="522" priority="167">
      <formula>OR($O8&lt;&gt;"",$P8&lt;&gt;"",$Q8&lt;&gt;"")</formula>
    </cfRule>
  </conditionalFormatting>
  <conditionalFormatting sqref="P8">
    <cfRule type="expression" dxfId="521" priority="166">
      <formula>OR($O8&lt;&gt;"",$P8&lt;&gt;"",$Q8&lt;&gt;"")</formula>
    </cfRule>
  </conditionalFormatting>
  <conditionalFormatting sqref="Q7">
    <cfRule type="expression" dxfId="520" priority="165">
      <formula>OR($O7&lt;&gt;"",$P7&lt;&gt;"",$Q7&lt;&gt;"")</formula>
    </cfRule>
  </conditionalFormatting>
  <conditionalFormatting sqref="O9">
    <cfRule type="expression" dxfId="519" priority="164">
      <formula>OR($O9&lt;&gt;"",$P9&lt;&gt;"",$Q9&lt;&gt;"")</formula>
    </cfRule>
  </conditionalFormatting>
  <conditionalFormatting sqref="O10">
    <cfRule type="expression" dxfId="518" priority="163">
      <formula>OR($O10&lt;&gt;"",$P10&lt;&gt;"",$Q10&lt;&gt;"")</formula>
    </cfRule>
  </conditionalFormatting>
  <conditionalFormatting sqref="O11">
    <cfRule type="expression" dxfId="517" priority="162">
      <formula>OR($O11&lt;&gt;"",$P11&lt;&gt;"",$Q11&lt;&gt;"")</formula>
    </cfRule>
  </conditionalFormatting>
  <conditionalFormatting sqref="O12">
    <cfRule type="expression" dxfId="516" priority="161">
      <formula>OR($O12&lt;&gt;"",$P12&lt;&gt;"",$Q12&lt;&gt;"")</formula>
    </cfRule>
  </conditionalFormatting>
  <conditionalFormatting sqref="O13">
    <cfRule type="expression" dxfId="515" priority="160">
      <formula>OR($O13&lt;&gt;"",$P13&lt;&gt;"",$Q13&lt;&gt;"")</formula>
    </cfRule>
  </conditionalFormatting>
  <conditionalFormatting sqref="O14">
    <cfRule type="expression" dxfId="514" priority="159">
      <formula>OR($O14&lt;&gt;"",$P14&lt;&gt;"",$Q14&lt;&gt;"")</formula>
    </cfRule>
  </conditionalFormatting>
  <conditionalFormatting sqref="O15">
    <cfRule type="expression" dxfId="513" priority="158">
      <formula>OR($O15&lt;&gt;"",$P15&lt;&gt;"",$Q15&lt;&gt;"")</formula>
    </cfRule>
  </conditionalFormatting>
  <conditionalFormatting sqref="O16">
    <cfRule type="expression" dxfId="512" priority="157">
      <formula>OR($O16&lt;&gt;"",$P16&lt;&gt;"",$Q16&lt;&gt;"")</formula>
    </cfRule>
  </conditionalFormatting>
  <conditionalFormatting sqref="O17">
    <cfRule type="expression" dxfId="511" priority="156">
      <formula>OR($O17&lt;&gt;"",$P17&lt;&gt;"",$Q17&lt;&gt;"")</formula>
    </cfRule>
  </conditionalFormatting>
  <conditionalFormatting sqref="O18">
    <cfRule type="expression" dxfId="510" priority="155">
      <formula>OR($O18&lt;&gt;"",$P18&lt;&gt;"",$Q18&lt;&gt;"")</formula>
    </cfRule>
  </conditionalFormatting>
  <conditionalFormatting sqref="O19">
    <cfRule type="expression" dxfId="509" priority="154">
      <formula>OR($O19&lt;&gt;"",$P19&lt;&gt;"",$Q19&lt;&gt;"")</formula>
    </cfRule>
  </conditionalFormatting>
  <conditionalFormatting sqref="O20">
    <cfRule type="expression" dxfId="508" priority="153">
      <formula>OR($O20&lt;&gt;"",$P20&lt;&gt;"",$Q20&lt;&gt;"")</formula>
    </cfRule>
  </conditionalFormatting>
  <conditionalFormatting sqref="O21">
    <cfRule type="expression" dxfId="507" priority="152">
      <formula>OR($O21&lt;&gt;"",$P21&lt;&gt;"",$Q21&lt;&gt;"")</formula>
    </cfRule>
  </conditionalFormatting>
  <conditionalFormatting sqref="Q8">
    <cfRule type="expression" dxfId="506" priority="151">
      <formula>OR($O8&lt;&gt;"",$P8&lt;&gt;"",$Q8&lt;&gt;"")</formula>
    </cfRule>
  </conditionalFormatting>
  <conditionalFormatting sqref="P9">
    <cfRule type="expression" dxfId="505" priority="150">
      <formula>OR($O9&lt;&gt;"",$P9&lt;&gt;"",$Q9&lt;&gt;"")</formula>
    </cfRule>
  </conditionalFormatting>
  <conditionalFormatting sqref="Q9">
    <cfRule type="expression" dxfId="504" priority="149">
      <formula>OR($O9&lt;&gt;"",$P9&lt;&gt;"",$Q9&lt;&gt;"")</formula>
    </cfRule>
  </conditionalFormatting>
  <conditionalFormatting sqref="P10">
    <cfRule type="expression" dxfId="503" priority="148">
      <formula>OR($O10&lt;&gt;"",$P10&lt;&gt;"",$Q10&lt;&gt;"")</formula>
    </cfRule>
  </conditionalFormatting>
  <conditionalFormatting sqref="Q10">
    <cfRule type="expression" dxfId="502" priority="147">
      <formula>OR($O10&lt;&gt;"",$P10&lt;&gt;"",$Q10&lt;&gt;"")</formula>
    </cfRule>
  </conditionalFormatting>
  <conditionalFormatting sqref="P11">
    <cfRule type="expression" dxfId="501" priority="146">
      <formula>OR($O11&lt;&gt;"",$P11&lt;&gt;"",$Q11&lt;&gt;"")</formula>
    </cfRule>
  </conditionalFormatting>
  <conditionalFormatting sqref="Q11">
    <cfRule type="expression" dxfId="500" priority="145">
      <formula>OR($O11&lt;&gt;"",$P11&lt;&gt;"",$Q11&lt;&gt;"")</formula>
    </cfRule>
  </conditionalFormatting>
  <conditionalFormatting sqref="P12">
    <cfRule type="expression" dxfId="499" priority="144">
      <formula>OR($O12&lt;&gt;"",$P12&lt;&gt;"",$Q12&lt;&gt;"")</formula>
    </cfRule>
  </conditionalFormatting>
  <conditionalFormatting sqref="Q12">
    <cfRule type="expression" dxfId="498" priority="143">
      <formula>OR($O12&lt;&gt;"",$P12&lt;&gt;"",$Q12&lt;&gt;"")</formula>
    </cfRule>
  </conditionalFormatting>
  <conditionalFormatting sqref="P13">
    <cfRule type="expression" dxfId="497" priority="142">
      <formula>OR($O13&lt;&gt;"",$P13&lt;&gt;"",$Q13&lt;&gt;"")</formula>
    </cfRule>
  </conditionalFormatting>
  <conditionalFormatting sqref="Q13">
    <cfRule type="expression" dxfId="496" priority="141">
      <formula>OR($O13&lt;&gt;"",$P13&lt;&gt;"",$Q13&lt;&gt;"")</formula>
    </cfRule>
  </conditionalFormatting>
  <conditionalFormatting sqref="P14">
    <cfRule type="expression" dxfId="495" priority="140">
      <formula>OR($O14&lt;&gt;"",$P14&lt;&gt;"",$Q14&lt;&gt;"")</formula>
    </cfRule>
  </conditionalFormatting>
  <conditionalFormatting sqref="Q14">
    <cfRule type="expression" dxfId="494" priority="139">
      <formula>OR($O14&lt;&gt;"",$P14&lt;&gt;"",$Q14&lt;&gt;"")</formula>
    </cfRule>
  </conditionalFormatting>
  <conditionalFormatting sqref="P15">
    <cfRule type="expression" dxfId="493" priority="138">
      <formula>OR($O15&lt;&gt;"",$P15&lt;&gt;"",$Q15&lt;&gt;"")</formula>
    </cfRule>
  </conditionalFormatting>
  <conditionalFormatting sqref="Q15">
    <cfRule type="expression" dxfId="492" priority="137">
      <formula>OR($O15&lt;&gt;"",$P15&lt;&gt;"",$Q15&lt;&gt;"")</formula>
    </cfRule>
  </conditionalFormatting>
  <conditionalFormatting sqref="P16">
    <cfRule type="expression" dxfId="491" priority="136">
      <formula>OR($O16&lt;&gt;"",$P16&lt;&gt;"",$Q16&lt;&gt;"")</formula>
    </cfRule>
  </conditionalFormatting>
  <conditionalFormatting sqref="Q16">
    <cfRule type="expression" dxfId="490" priority="135">
      <formula>OR($O16&lt;&gt;"",$P16&lt;&gt;"",$Q16&lt;&gt;"")</formula>
    </cfRule>
  </conditionalFormatting>
  <conditionalFormatting sqref="P17">
    <cfRule type="expression" dxfId="489" priority="134">
      <formula>OR($O17&lt;&gt;"",$P17&lt;&gt;"",$Q17&lt;&gt;"")</formula>
    </cfRule>
  </conditionalFormatting>
  <conditionalFormatting sqref="Q17">
    <cfRule type="expression" dxfId="488" priority="133">
      <formula>OR($O17&lt;&gt;"",$P17&lt;&gt;"",$Q17&lt;&gt;"")</formula>
    </cfRule>
  </conditionalFormatting>
  <conditionalFormatting sqref="P18">
    <cfRule type="expression" dxfId="487" priority="132">
      <formula>OR($O18&lt;&gt;"",$P18&lt;&gt;"",$Q18&lt;&gt;"")</formula>
    </cfRule>
  </conditionalFormatting>
  <conditionalFormatting sqref="Q18">
    <cfRule type="expression" dxfId="486" priority="131">
      <formula>OR($O18&lt;&gt;"",$P18&lt;&gt;"",$Q18&lt;&gt;"")</formula>
    </cfRule>
  </conditionalFormatting>
  <conditionalFormatting sqref="P19">
    <cfRule type="expression" dxfId="485" priority="130">
      <formula>OR($O19&lt;&gt;"",$P19&lt;&gt;"",$Q19&lt;&gt;"")</formula>
    </cfRule>
  </conditionalFormatting>
  <conditionalFormatting sqref="Q19">
    <cfRule type="expression" dxfId="484" priority="129">
      <formula>OR($O19&lt;&gt;"",$P19&lt;&gt;"",$Q19&lt;&gt;"")</formula>
    </cfRule>
  </conditionalFormatting>
  <conditionalFormatting sqref="P20">
    <cfRule type="expression" dxfId="483" priority="128">
      <formula>OR($O20&lt;&gt;"",$P20&lt;&gt;"",$Q20&lt;&gt;"")</formula>
    </cfRule>
  </conditionalFormatting>
  <conditionalFormatting sqref="Q20">
    <cfRule type="expression" dxfId="482" priority="127">
      <formula>OR($O20&lt;&gt;"",$P20&lt;&gt;"",$Q20&lt;&gt;"")</formula>
    </cfRule>
  </conditionalFormatting>
  <conditionalFormatting sqref="P21">
    <cfRule type="expression" dxfId="481" priority="126">
      <formula>OR($O21&lt;&gt;"",$P21&lt;&gt;"",$Q21&lt;&gt;"")</formula>
    </cfRule>
  </conditionalFormatting>
  <conditionalFormatting sqref="Q21">
    <cfRule type="expression" dxfId="480" priority="125">
      <formula>OR($O21&lt;&gt;"",$P21&lt;&gt;"",$Q21&lt;&gt;"")</formula>
    </cfRule>
  </conditionalFormatting>
  <conditionalFormatting sqref="G7">
    <cfRule type="expression" dxfId="479" priority="123">
      <formula>AND($A7="clikt",$J7&lt;&gt;"GOOD")</formula>
    </cfRule>
    <cfRule type="expression" dxfId="478" priority="124">
      <formula>$J7="GOOD"</formula>
    </cfRule>
  </conditionalFormatting>
  <conditionalFormatting sqref="G22">
    <cfRule type="expression" dxfId="477" priority="121">
      <formula>AND($A22="clikt",$J22&lt;&gt;"GOOD")</formula>
    </cfRule>
    <cfRule type="expression" dxfId="476" priority="122">
      <formula>$J22="GOOD"</formula>
    </cfRule>
  </conditionalFormatting>
  <conditionalFormatting sqref="G9">
    <cfRule type="expression" dxfId="475" priority="119">
      <formula>AND($A9="clikt",$J9&lt;&gt;"GOOD")</formula>
    </cfRule>
    <cfRule type="expression" dxfId="474" priority="120">
      <formula>$J9="GOOD"</formula>
    </cfRule>
  </conditionalFormatting>
  <conditionalFormatting sqref="G10">
    <cfRule type="expression" dxfId="473" priority="117">
      <formula>AND($A10="clikt",$J10&lt;&gt;"GOOD")</formula>
    </cfRule>
    <cfRule type="expression" dxfId="472" priority="118">
      <formula>$J10="GOOD"</formula>
    </cfRule>
  </conditionalFormatting>
  <conditionalFormatting sqref="G11">
    <cfRule type="expression" dxfId="471" priority="115">
      <formula>AND($A11="clikt",$J11&lt;&gt;"GOOD")</formula>
    </cfRule>
    <cfRule type="expression" dxfId="470" priority="116">
      <formula>$J11="GOOD"</formula>
    </cfRule>
  </conditionalFormatting>
  <conditionalFormatting sqref="G12">
    <cfRule type="expression" dxfId="469" priority="113">
      <formula>AND($A12="clikt",$J12&lt;&gt;"GOOD")</formula>
    </cfRule>
    <cfRule type="expression" dxfId="468" priority="114">
      <formula>$J12="GOOD"</formula>
    </cfRule>
  </conditionalFormatting>
  <conditionalFormatting sqref="G13">
    <cfRule type="expression" dxfId="467" priority="111">
      <formula>AND($A13="clikt",$J13&lt;&gt;"GOOD")</formula>
    </cfRule>
    <cfRule type="expression" dxfId="466" priority="112">
      <formula>$J13="GOOD"</formula>
    </cfRule>
  </conditionalFormatting>
  <conditionalFormatting sqref="G14">
    <cfRule type="expression" dxfId="465" priority="109">
      <formula>AND($A14="clikt",$J14&lt;&gt;"GOOD")</formula>
    </cfRule>
    <cfRule type="expression" dxfId="464" priority="110">
      <formula>$J14="GOOD"</formula>
    </cfRule>
  </conditionalFormatting>
  <conditionalFormatting sqref="G15">
    <cfRule type="expression" dxfId="463" priority="107">
      <formula>AND($A15="clikt",$J15&lt;&gt;"GOOD")</formula>
    </cfRule>
    <cfRule type="expression" dxfId="462" priority="108">
      <formula>$J15="GOOD"</formula>
    </cfRule>
  </conditionalFormatting>
  <conditionalFormatting sqref="G16">
    <cfRule type="expression" dxfId="461" priority="105">
      <formula>AND($A16="clikt",$J16&lt;&gt;"GOOD")</formula>
    </cfRule>
    <cfRule type="expression" dxfId="460" priority="106">
      <formula>$J16="GOOD"</formula>
    </cfRule>
  </conditionalFormatting>
  <conditionalFormatting sqref="G17">
    <cfRule type="expression" dxfId="459" priority="103">
      <formula>AND($A17="clikt",$J17&lt;&gt;"GOOD")</formula>
    </cfRule>
    <cfRule type="expression" dxfId="458" priority="104">
      <formula>$J17="GOOD"</formula>
    </cfRule>
  </conditionalFormatting>
  <conditionalFormatting sqref="G18">
    <cfRule type="expression" dxfId="457" priority="101">
      <formula>AND($A18="clikt",$J18&lt;&gt;"GOOD")</formula>
    </cfRule>
    <cfRule type="expression" dxfId="456" priority="102">
      <formula>$J18="GOOD"</formula>
    </cfRule>
  </conditionalFormatting>
  <conditionalFormatting sqref="G19">
    <cfRule type="expression" dxfId="455" priority="99">
      <formula>AND($A19="clikt",$J19&lt;&gt;"GOOD")</formula>
    </cfRule>
    <cfRule type="expression" dxfId="454" priority="100">
      <formula>$J19="GOOD"</formula>
    </cfRule>
  </conditionalFormatting>
  <conditionalFormatting sqref="G20">
    <cfRule type="expression" dxfId="453" priority="97">
      <formula>AND($A20="clikt",$J20&lt;&gt;"GOOD")</formula>
    </cfRule>
    <cfRule type="expression" dxfId="452" priority="98">
      <formula>$J20="GOOD"</formula>
    </cfRule>
  </conditionalFormatting>
  <conditionalFormatting sqref="G21">
    <cfRule type="expression" dxfId="451" priority="95">
      <formula>AND($A21="clikt",$J21&lt;&gt;"GOOD")</formula>
    </cfRule>
    <cfRule type="expression" dxfId="450" priority="96">
      <formula>$J21="GOOD"</formula>
    </cfRule>
  </conditionalFormatting>
  <conditionalFormatting sqref="G23">
    <cfRule type="expression" dxfId="449" priority="93">
      <formula>AND($A23="clikt",$J23&lt;&gt;"GOOD")</formula>
    </cfRule>
    <cfRule type="expression" dxfId="448" priority="94">
      <formula>$J23="GOOD"</formula>
    </cfRule>
  </conditionalFormatting>
  <conditionalFormatting sqref="J7">
    <cfRule type="cellIs" priority="91" operator="between">
      <formula>1</formula>
      <formula>2</formula>
    </cfRule>
    <cfRule type="cellIs" dxfId="447" priority="92" operator="equal">
      <formula>"""GOOD"""</formula>
    </cfRule>
  </conditionalFormatting>
  <conditionalFormatting sqref="J8">
    <cfRule type="cellIs" priority="89" operator="between">
      <formula>1</formula>
      <formula>2</formula>
    </cfRule>
    <cfRule type="cellIs" dxfId="446" priority="90" operator="equal">
      <formula>"""GOOD"""</formula>
    </cfRule>
  </conditionalFormatting>
  <conditionalFormatting sqref="J9">
    <cfRule type="cellIs" priority="87" operator="between">
      <formula>1</formula>
      <formula>2</formula>
    </cfRule>
    <cfRule type="cellIs" dxfId="445" priority="88" operator="equal">
      <formula>"""GOOD"""</formula>
    </cfRule>
  </conditionalFormatting>
  <conditionalFormatting sqref="J10">
    <cfRule type="cellIs" priority="85" operator="between">
      <formula>1</formula>
      <formula>2</formula>
    </cfRule>
    <cfRule type="cellIs" dxfId="444" priority="86" operator="equal">
      <formula>"""GOOD"""</formula>
    </cfRule>
  </conditionalFormatting>
  <conditionalFormatting sqref="J11">
    <cfRule type="cellIs" priority="83" operator="between">
      <formula>1</formula>
      <formula>2</formula>
    </cfRule>
    <cfRule type="cellIs" dxfId="443" priority="84" operator="equal">
      <formula>"""GOOD"""</formula>
    </cfRule>
  </conditionalFormatting>
  <conditionalFormatting sqref="J12">
    <cfRule type="cellIs" priority="81" operator="between">
      <formula>1</formula>
      <formula>2</formula>
    </cfRule>
    <cfRule type="cellIs" dxfId="442" priority="82" operator="equal">
      <formula>"""GOOD"""</formula>
    </cfRule>
  </conditionalFormatting>
  <conditionalFormatting sqref="J13">
    <cfRule type="cellIs" priority="79" operator="between">
      <formula>1</formula>
      <formula>2</formula>
    </cfRule>
    <cfRule type="cellIs" dxfId="441" priority="80" operator="equal">
      <formula>"""GOOD"""</formula>
    </cfRule>
  </conditionalFormatting>
  <conditionalFormatting sqref="J14">
    <cfRule type="cellIs" priority="77" operator="between">
      <formula>1</formula>
      <formula>2</formula>
    </cfRule>
    <cfRule type="cellIs" dxfId="440" priority="78" operator="equal">
      <formula>"""GOOD"""</formula>
    </cfRule>
  </conditionalFormatting>
  <conditionalFormatting sqref="J15">
    <cfRule type="cellIs" priority="75" operator="between">
      <formula>1</formula>
      <formula>2</formula>
    </cfRule>
    <cfRule type="cellIs" dxfId="439" priority="76" operator="equal">
      <formula>"""GOOD"""</formula>
    </cfRule>
  </conditionalFormatting>
  <conditionalFormatting sqref="J16">
    <cfRule type="cellIs" priority="73" operator="between">
      <formula>1</formula>
      <formula>2</formula>
    </cfRule>
    <cfRule type="cellIs" dxfId="438" priority="74" operator="equal">
      <formula>"""GOOD"""</formula>
    </cfRule>
  </conditionalFormatting>
  <conditionalFormatting sqref="J17">
    <cfRule type="cellIs" priority="71" operator="between">
      <formula>1</formula>
      <formula>2</formula>
    </cfRule>
    <cfRule type="cellIs" dxfId="437" priority="72" operator="equal">
      <formula>"""GOOD"""</formula>
    </cfRule>
  </conditionalFormatting>
  <conditionalFormatting sqref="J18">
    <cfRule type="cellIs" priority="69" operator="between">
      <formula>1</formula>
      <formula>2</formula>
    </cfRule>
    <cfRule type="cellIs" dxfId="436" priority="70" operator="equal">
      <formula>"""GOOD"""</formula>
    </cfRule>
  </conditionalFormatting>
  <conditionalFormatting sqref="J19">
    <cfRule type="cellIs" priority="67" operator="between">
      <formula>1</formula>
      <formula>2</formula>
    </cfRule>
    <cfRule type="cellIs" dxfId="435" priority="68" operator="equal">
      <formula>"""GOOD"""</formula>
    </cfRule>
  </conditionalFormatting>
  <conditionalFormatting sqref="J20">
    <cfRule type="cellIs" priority="65" operator="between">
      <formula>1</formula>
      <formula>2</formula>
    </cfRule>
    <cfRule type="cellIs" dxfId="434" priority="66" operator="equal">
      <formula>"""GOOD"""</formula>
    </cfRule>
  </conditionalFormatting>
  <conditionalFormatting sqref="J21">
    <cfRule type="cellIs" priority="63" operator="between">
      <formula>1</formula>
      <formula>2</formula>
    </cfRule>
    <cfRule type="cellIs" dxfId="433" priority="64" operator="equal">
      <formula>"""GOOD"""</formula>
    </cfRule>
  </conditionalFormatting>
  <conditionalFormatting sqref="H7">
    <cfRule type="expression" dxfId="432" priority="61">
      <formula>AND($A7="clikt",$J7&lt;&gt;"GOOD")</formula>
    </cfRule>
    <cfRule type="expression" dxfId="431" priority="62">
      <formula>$J7="GOOD"</formula>
    </cfRule>
  </conditionalFormatting>
  <conditionalFormatting sqref="I7">
    <cfRule type="expression" dxfId="430" priority="59">
      <formula>AND($A7="clikt",$J7&lt;&gt;"GOOD")</formula>
    </cfRule>
    <cfRule type="expression" dxfId="429" priority="60">
      <formula>$J7="GOOD"</formula>
    </cfRule>
  </conditionalFormatting>
  <conditionalFormatting sqref="I15">
    <cfRule type="expression" dxfId="428" priority="57">
      <formula>AND($A15="clikt",$J15&lt;&gt;"GOOD")</formula>
    </cfRule>
    <cfRule type="expression" dxfId="427" priority="58">
      <formula>$J15="GOOD"</formula>
    </cfRule>
  </conditionalFormatting>
  <conditionalFormatting sqref="H9">
    <cfRule type="expression" dxfId="426" priority="55">
      <formula>AND($A9="clikt",$J9&lt;&gt;"GOOD")</formula>
    </cfRule>
    <cfRule type="expression" dxfId="425" priority="56">
      <formula>$J9="GOOD"</formula>
    </cfRule>
  </conditionalFormatting>
  <conditionalFormatting sqref="H10">
    <cfRule type="expression" dxfId="424" priority="53">
      <formula>AND($A10="clikt",$J10&lt;&gt;"GOOD")</formula>
    </cfRule>
    <cfRule type="expression" dxfId="423" priority="54">
      <formula>$J10="GOOD"</formula>
    </cfRule>
  </conditionalFormatting>
  <conditionalFormatting sqref="H11">
    <cfRule type="expression" dxfId="422" priority="51">
      <formula>AND($A11="clikt",$J11&lt;&gt;"GOOD")</formula>
    </cfRule>
    <cfRule type="expression" dxfId="421" priority="52">
      <formula>$J11="GOOD"</formula>
    </cfRule>
  </conditionalFormatting>
  <conditionalFormatting sqref="H12">
    <cfRule type="expression" dxfId="420" priority="49">
      <formula>AND($A12="clikt",$J12&lt;&gt;"GOOD")</formula>
    </cfRule>
    <cfRule type="expression" dxfId="419" priority="50">
      <formula>$J12="GOOD"</formula>
    </cfRule>
  </conditionalFormatting>
  <conditionalFormatting sqref="H13">
    <cfRule type="expression" dxfId="418" priority="47">
      <formula>AND($A13="clikt",$J13&lt;&gt;"GOOD")</formula>
    </cfRule>
    <cfRule type="expression" dxfId="417" priority="48">
      <formula>$J13="GOOD"</formula>
    </cfRule>
  </conditionalFormatting>
  <conditionalFormatting sqref="H14">
    <cfRule type="expression" dxfId="416" priority="45">
      <formula>AND($A14="clikt",$J14&lt;&gt;"GOOD")</formula>
    </cfRule>
    <cfRule type="expression" dxfId="415" priority="46">
      <formula>$J14="GOOD"</formula>
    </cfRule>
  </conditionalFormatting>
  <conditionalFormatting sqref="H15">
    <cfRule type="expression" dxfId="414" priority="43">
      <formula>AND($A15="clikt",$J15&lt;&gt;"GOOD")</formula>
    </cfRule>
    <cfRule type="expression" dxfId="413" priority="44">
      <formula>$J15="GOOD"</formula>
    </cfRule>
  </conditionalFormatting>
  <conditionalFormatting sqref="H16">
    <cfRule type="expression" dxfId="412" priority="41">
      <formula>AND($A16="clikt",$J16&lt;&gt;"GOOD")</formula>
    </cfRule>
    <cfRule type="expression" dxfId="411" priority="42">
      <formula>$J16="GOOD"</formula>
    </cfRule>
  </conditionalFormatting>
  <conditionalFormatting sqref="H17">
    <cfRule type="expression" dxfId="410" priority="39">
      <formula>AND($A17="clikt",$J17&lt;&gt;"GOOD")</formula>
    </cfRule>
    <cfRule type="expression" dxfId="409" priority="40">
      <formula>$J17="GOOD"</formula>
    </cfRule>
  </conditionalFormatting>
  <conditionalFormatting sqref="H18">
    <cfRule type="expression" dxfId="408" priority="37">
      <formula>AND($A18="clikt",$J18&lt;&gt;"GOOD")</formula>
    </cfRule>
    <cfRule type="expression" dxfId="407" priority="38">
      <formula>$J18="GOOD"</formula>
    </cfRule>
  </conditionalFormatting>
  <conditionalFormatting sqref="H19">
    <cfRule type="expression" dxfId="406" priority="35">
      <formula>AND($A19="clikt",$J19&lt;&gt;"GOOD")</formula>
    </cfRule>
    <cfRule type="expression" dxfId="405" priority="36">
      <formula>$J19="GOOD"</formula>
    </cfRule>
  </conditionalFormatting>
  <conditionalFormatting sqref="H20">
    <cfRule type="expression" dxfId="404" priority="33">
      <formula>AND($A20="clikt",$J20&lt;&gt;"GOOD")</formula>
    </cfRule>
    <cfRule type="expression" dxfId="403" priority="34">
      <formula>$J20="GOOD"</formula>
    </cfRule>
  </conditionalFormatting>
  <conditionalFormatting sqref="H21">
    <cfRule type="expression" dxfId="402" priority="31">
      <formula>AND($A21="clikt",$J21&lt;&gt;"GOOD")</formula>
    </cfRule>
    <cfRule type="expression" dxfId="401" priority="32">
      <formula>$J21="GOOD"</formula>
    </cfRule>
  </conditionalFormatting>
  <conditionalFormatting sqref="I9">
    <cfRule type="expression" dxfId="400" priority="29">
      <formula>AND($A9="clikt",$J9&lt;&gt;"GOOD")</formula>
    </cfRule>
    <cfRule type="expression" dxfId="399" priority="30">
      <formula>$J9="GOOD"</formula>
    </cfRule>
  </conditionalFormatting>
  <conditionalFormatting sqref="I10">
    <cfRule type="expression" dxfId="398" priority="27">
      <formula>AND($A10="clikt",$J10&lt;&gt;"GOOD")</formula>
    </cfRule>
    <cfRule type="expression" dxfId="397" priority="28">
      <formula>$J10="GOOD"</formula>
    </cfRule>
  </conditionalFormatting>
  <conditionalFormatting sqref="I11">
    <cfRule type="expression" dxfId="396" priority="25">
      <formula>AND($A11="clikt",$J11&lt;&gt;"GOOD")</formula>
    </cfRule>
    <cfRule type="expression" dxfId="395" priority="26">
      <formula>$J11="GOOD"</formula>
    </cfRule>
  </conditionalFormatting>
  <conditionalFormatting sqref="I12">
    <cfRule type="expression" dxfId="394" priority="23">
      <formula>AND($A12="clikt",$J12&lt;&gt;"GOOD")</formula>
    </cfRule>
    <cfRule type="expression" dxfId="393" priority="24">
      <formula>$J12="GOOD"</formula>
    </cfRule>
  </conditionalFormatting>
  <conditionalFormatting sqref="I13">
    <cfRule type="expression" dxfId="392" priority="21">
      <formula>AND($A13="clikt",$J13&lt;&gt;"GOOD")</formula>
    </cfRule>
    <cfRule type="expression" dxfId="391" priority="22">
      <formula>$J13="GOOD"</formula>
    </cfRule>
  </conditionalFormatting>
  <conditionalFormatting sqref="I14">
    <cfRule type="expression" dxfId="390" priority="19">
      <formula>AND($A14="clikt",$J14&lt;&gt;"GOOD")</formula>
    </cfRule>
    <cfRule type="expression" dxfId="389" priority="20">
      <formula>$J14="GOOD"</formula>
    </cfRule>
  </conditionalFormatting>
  <conditionalFormatting sqref="I16">
    <cfRule type="expression" dxfId="388" priority="17">
      <formula>AND($A16="clikt",$J16&lt;&gt;"GOOD")</formula>
    </cfRule>
    <cfRule type="expression" dxfId="387" priority="18">
      <formula>$J16="GOOD"</formula>
    </cfRule>
  </conditionalFormatting>
  <conditionalFormatting sqref="I17">
    <cfRule type="expression" dxfId="386" priority="15">
      <formula>AND($A17="clikt",$J17&lt;&gt;"GOOD")</formula>
    </cfRule>
    <cfRule type="expression" dxfId="385" priority="16">
      <formula>$J17="GOOD"</formula>
    </cfRule>
  </conditionalFormatting>
  <conditionalFormatting sqref="I18">
    <cfRule type="expression" dxfId="384" priority="13">
      <formula>AND($A18="clikt",$J18&lt;&gt;"GOOD")</formula>
    </cfRule>
    <cfRule type="expression" dxfId="383" priority="14">
      <formula>$J18="GOOD"</formula>
    </cfRule>
  </conditionalFormatting>
  <conditionalFormatting sqref="I19">
    <cfRule type="expression" dxfId="382" priority="11">
      <formula>AND($A19="clikt",$J19&lt;&gt;"GOOD")</formula>
    </cfRule>
    <cfRule type="expression" dxfId="381" priority="12">
      <formula>$J19="GOOD"</formula>
    </cfRule>
  </conditionalFormatting>
  <conditionalFormatting sqref="I20">
    <cfRule type="expression" dxfId="380" priority="9">
      <formula>AND($A20="clikt",$J20&lt;&gt;"GOOD")</formula>
    </cfRule>
    <cfRule type="expression" dxfId="379" priority="10">
      <formula>$J20="GOOD"</formula>
    </cfRule>
  </conditionalFormatting>
  <conditionalFormatting sqref="I21">
    <cfRule type="expression" dxfId="378" priority="7">
      <formula>AND($A21="clikt",$J21&lt;&gt;"GOOD")</formula>
    </cfRule>
    <cfRule type="expression" dxfId="377" priority="8">
      <formula>$J21="GOOD"</formula>
    </cfRule>
  </conditionalFormatting>
  <conditionalFormatting sqref="G8">
    <cfRule type="expression" dxfId="376" priority="5">
      <formula>AND($A8="clikt",$J8&lt;&gt;"GOOD")</formula>
    </cfRule>
    <cfRule type="expression" dxfId="375" priority="6">
      <formula>$J8="GOOD"</formula>
    </cfRule>
  </conditionalFormatting>
  <conditionalFormatting sqref="H8">
    <cfRule type="expression" dxfId="374" priority="3">
      <formula>AND($A8="clikt",$J8&lt;&gt;"GOOD")</formula>
    </cfRule>
    <cfRule type="expression" dxfId="373" priority="4">
      <formula>$J8="GOOD"</formula>
    </cfRule>
  </conditionalFormatting>
  <conditionalFormatting sqref="I8">
    <cfRule type="expression" dxfId="372" priority="1">
      <formula>AND($A8="clikt",$J8&lt;&gt;"GOOD")</formula>
    </cfRule>
    <cfRule type="expression" dxfId="371" priority="2">
      <formula>$J8="GOOD"</formula>
    </cfRule>
  </conditionalFormatting>
  <hyperlinks>
    <hyperlink ref="P2" r:id="rId1" xr:uid="{53918041-CA58-469E-B47E-E3781CC0E7D9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34"/>
  <sheetViews>
    <sheetView showGridLines="0" tabSelected="1" workbookViewId="0">
      <selection activeCell="P2" sqref="P2"/>
    </sheetView>
  </sheetViews>
  <sheetFormatPr defaultRowHeight="14.4"/>
  <cols>
    <col min="1" max="1" width="8.88671875" style="8"/>
    <col min="2" max="3" width="3.77734375" style="15" customWidth="1"/>
    <col min="4" max="4" width="9" style="15" customWidth="1"/>
    <col min="5" max="5" width="8.88671875" style="6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customWidth="1"/>
  </cols>
  <sheetData>
    <row r="1" spans="1:23" ht="16.8">
      <c r="A1" s="60" t="str">
        <f>[1]!wwsSetup("useHTTPS", TRUE)</f>
        <v>useHTTPS = "True"</v>
      </c>
      <c r="D1" s="16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108"/>
      <c r="R1" s="5"/>
      <c r="U1" s="27" t="s">
        <v>205</v>
      </c>
      <c r="V1" s="27"/>
      <c r="W1" s="6"/>
    </row>
    <row r="2" spans="1:23" s="27" customFormat="1" ht="22.2" customHeight="1">
      <c r="A2" s="23"/>
      <c r="B2" s="24"/>
      <c r="C2" s="124" t="s">
        <v>202</v>
      </c>
      <c r="D2" s="124"/>
      <c r="E2" s="124"/>
      <c r="F2" s="123" t="s">
        <v>192</v>
      </c>
      <c r="G2" s="123"/>
      <c r="H2" s="123"/>
      <c r="I2" s="123"/>
      <c r="J2" s="122"/>
      <c r="K2" s="122"/>
      <c r="L2" s="122"/>
      <c r="M2" s="12"/>
      <c r="N2" s="140" t="s">
        <v>62</v>
      </c>
      <c r="O2" s="140"/>
      <c r="P2" s="38" t="s">
        <v>61</v>
      </c>
      <c r="Q2" s="26"/>
      <c r="U2" s="27" t="s">
        <v>64</v>
      </c>
      <c r="W2"/>
    </row>
    <row r="3" spans="1:23" ht="18">
      <c r="D3" s="125" t="s">
        <v>197</v>
      </c>
      <c r="E3" s="125"/>
      <c r="F3" s="125"/>
      <c r="G3" s="125"/>
      <c r="U3" s="27"/>
      <c r="V3" s="27"/>
    </row>
    <row r="4" spans="1:23" ht="52.2" customHeight="1">
      <c r="E4" s="142"/>
      <c r="F4"/>
      <c r="G4" s="126" t="str">
        <f>[1]!wwsCheckbox("PRACTICE",4,TRUE)</f>
        <v>PRACTICE</v>
      </c>
      <c r="H4" s="126"/>
      <c r="I4" s="126"/>
      <c r="K4" s="11"/>
      <c r="O4" s="126" t="str">
        <f>[1]!wwsCheckbox("TEST",4,FALSE)</f>
        <v>TEST</v>
      </c>
      <c r="P4" s="126"/>
      <c r="Q4" s="126"/>
    </row>
    <row r="5" spans="1:23" ht="25.2" customHeight="1">
      <c r="E5" s="142"/>
      <c r="N5" s="129" t="s">
        <v>56</v>
      </c>
      <c r="O5" s="129"/>
      <c r="P5" s="136" t="str">
        <f>[1]!wwsInput()</f>
        <v/>
      </c>
      <c r="Q5" s="136"/>
      <c r="R5" s="136"/>
      <c r="S5" s="136"/>
    </row>
    <row r="6" spans="1:23" ht="29.4" customHeight="1">
      <c r="E6" s="82"/>
      <c r="G6" s="139" t="s">
        <v>52</v>
      </c>
      <c r="H6" s="139"/>
      <c r="I6" s="139"/>
      <c r="O6" s="139" t="s">
        <v>52</v>
      </c>
      <c r="P6" s="139"/>
      <c r="Q6" s="139"/>
      <c r="S6" s="18"/>
      <c r="T6" s="18"/>
      <c r="U6" s="18"/>
    </row>
    <row r="7" spans="1:23" s="10" customFormat="1" ht="25.05" customHeight="1">
      <c r="A7" s="13" t="str">
        <f>IF(OR(G7&lt;&gt;"",H7&lt;&gt;"",I7&lt;&gt;""),"clikt","")</f>
        <v>clikt</v>
      </c>
      <c r="B7" s="84" t="s">
        <v>35</v>
      </c>
      <c r="C7" s="84" t="s">
        <v>29</v>
      </c>
      <c r="D7" s="84" t="s">
        <v>49</v>
      </c>
      <c r="E7" s="49" t="s">
        <v>29</v>
      </c>
      <c r="F7" s="9">
        <v>1</v>
      </c>
      <c r="G7" s="14" t="str">
        <f>[1]!wwsCheckbox($B7,7,FALSE)</f>
        <v>bob</v>
      </c>
      <c r="H7" s="14" t="str">
        <f>[1]!wwsCheckbox($C7,7,FALSE)</f>
        <v>bib</v>
      </c>
      <c r="I7" s="14" t="str">
        <f>[1]!wwsCheckbox($D7,7,FALSE)</f>
        <v>bub</v>
      </c>
      <c r="J7" s="10" t="str">
        <f t="shared" ref="J7:J19" si="0">IF(OR(E7=G7,E7=H7,E7=I7),IF($G$4="PRACTICE","GOOD"," ")," ")</f>
        <v>GOOD</v>
      </c>
      <c r="L7" s="13"/>
      <c r="M7" s="32"/>
      <c r="N7" s="30">
        <v>1</v>
      </c>
      <c r="O7" s="14" t="str">
        <f>[1]!wwsCheckbox($C7,107,FALSE)</f>
        <v>bib</v>
      </c>
      <c r="P7" s="14" t="str">
        <f>[1]!wwsCheckbox($D7,107,FALSE)</f>
        <v>bub</v>
      </c>
      <c r="Q7" s="14" t="str">
        <f>[1]!wwsCheckbox($B7,107,FALSE)</f>
        <v>bob</v>
      </c>
      <c r="R7" s="13">
        <f>IF(AND($O4="TEST",OR(E7=O7,E7=P7,E7=Q7)),1,0)</f>
        <v>1</v>
      </c>
      <c r="S7" s="19"/>
      <c r="T7" s="20"/>
      <c r="U7" s="10">
        <f t="shared" ref="U7:U18" si="1">R7</f>
        <v>1</v>
      </c>
    </row>
    <row r="8" spans="1:23" s="10" customFormat="1" ht="25.05" customHeight="1">
      <c r="A8" s="13" t="str">
        <f>IF(OR(G8&lt;&gt;"",H8&lt;&gt;"",I8&lt;&gt;""),"clikt","")</f>
        <v>clikt</v>
      </c>
      <c r="B8" s="84" t="s">
        <v>15</v>
      </c>
      <c r="C8" s="84" t="s">
        <v>6</v>
      </c>
      <c r="D8" s="84" t="s">
        <v>25</v>
      </c>
      <c r="E8" s="49" t="s">
        <v>15</v>
      </c>
      <c r="F8" s="9">
        <f>1+F7</f>
        <v>2</v>
      </c>
      <c r="G8" s="14" t="str">
        <f>[1]!wwsCheckbox($B8,8,FALSE)</f>
        <v>bed</v>
      </c>
      <c r="H8" s="14" t="str">
        <f>[1]!wwsCheckbox($C8,8,FALSE)</f>
        <v>bad</v>
      </c>
      <c r="I8" s="14" t="str">
        <f>[1]!wwsCheckbox($D8,8,FALSE)</f>
        <v>bid</v>
      </c>
      <c r="J8" s="10" t="str">
        <f t="shared" si="0"/>
        <v>GOOD</v>
      </c>
      <c r="M8" s="32"/>
      <c r="N8" s="30">
        <f>1+N7</f>
        <v>2</v>
      </c>
      <c r="O8" s="14" t="str">
        <f>[1]!wwsCheckbox($C8,108,FALSE)</f>
        <v>bad</v>
      </c>
      <c r="P8" s="14" t="str">
        <f>[1]!wwsCheckbox($D8,108,FALSE)</f>
        <v>bid</v>
      </c>
      <c r="Q8" s="14" t="str">
        <f>[1]!wwsCheckbox($B8,108,FALSE)</f>
        <v>bed</v>
      </c>
      <c r="R8" s="13">
        <f t="shared" ref="R8:R20" si="2">IF(OR(E8=O8,E8=P8,E8=Q8),1,0)</f>
        <v>1</v>
      </c>
      <c r="S8" s="19"/>
      <c r="T8" s="19"/>
      <c r="U8" s="10">
        <f t="shared" si="1"/>
        <v>1</v>
      </c>
    </row>
    <row r="9" spans="1:23" s="10" customFormat="1" ht="25.05" customHeight="1">
      <c r="A9" s="13" t="str">
        <f t="shared" ref="A9:A32" si="3">IF(OR(G9&lt;&gt;"",H9&lt;&gt;"",I9&lt;&gt;""),"clikt","")</f>
        <v>clikt</v>
      </c>
      <c r="B9" s="84" t="s">
        <v>28</v>
      </c>
      <c r="C9" s="84" t="s">
        <v>44</v>
      </c>
      <c r="D9" s="84" t="s">
        <v>9</v>
      </c>
      <c r="E9" s="49" t="s">
        <v>9</v>
      </c>
      <c r="F9" s="9">
        <f t="shared" ref="F9:F20" si="4">1+F8</f>
        <v>3</v>
      </c>
      <c r="G9" s="14" t="str">
        <f>[1]!wwsCheckbox($B9,9,FALSE)</f>
        <v>bin</v>
      </c>
      <c r="H9" s="14" t="str">
        <f>[1]!wwsCheckbox($C9,9,FALSE)</f>
        <v>bun</v>
      </c>
      <c r="I9" s="14" t="str">
        <f>[1]!wwsCheckbox($D9,9,FALSE)</f>
        <v>ban</v>
      </c>
      <c r="J9" s="10" t="str">
        <f t="shared" si="0"/>
        <v>GOOD</v>
      </c>
      <c r="M9" s="32"/>
      <c r="N9" s="30">
        <f t="shared" ref="N9:N20" si="5">1+N8</f>
        <v>3</v>
      </c>
      <c r="O9" s="14" t="str">
        <f>[1]!wwsCheckbox($C9,109,FALSE)</f>
        <v>bun</v>
      </c>
      <c r="P9" s="14" t="str">
        <f>[1]!wwsCheckbox($D9,109,FALSE)</f>
        <v>ban</v>
      </c>
      <c r="Q9" s="14" t="str">
        <f>[1]!wwsCheckbox($B9,109,FALSE)</f>
        <v>bin</v>
      </c>
      <c r="R9" s="13">
        <f t="shared" si="2"/>
        <v>1</v>
      </c>
      <c r="S9" s="22"/>
      <c r="T9" s="22"/>
      <c r="U9" s="10">
        <f t="shared" si="1"/>
        <v>1</v>
      </c>
    </row>
    <row r="10" spans="1:23" s="10" customFormat="1" ht="25.05" customHeight="1">
      <c r="A10" s="13" t="str">
        <f t="shared" si="3"/>
        <v>clikt</v>
      </c>
      <c r="B10" s="84" t="s">
        <v>31</v>
      </c>
      <c r="C10" s="84" t="s">
        <v>0</v>
      </c>
      <c r="D10" s="84" t="s">
        <v>20</v>
      </c>
      <c r="E10" s="49" t="s">
        <v>20</v>
      </c>
      <c r="F10" s="9">
        <f t="shared" si="4"/>
        <v>4</v>
      </c>
      <c r="G10" s="14" t="str">
        <f>[1]!wwsCheckbox($B10,10,FALSE)</f>
        <v>bit</v>
      </c>
      <c r="H10" s="14" t="str">
        <f>[1]!wwsCheckbox($C10,10,FALSE)</f>
        <v>bat</v>
      </c>
      <c r="I10" s="14" t="str">
        <f>[1]!wwsCheckbox($D10,10,FALSE)</f>
        <v>bet</v>
      </c>
      <c r="J10" s="10" t="str">
        <f t="shared" si="0"/>
        <v>GOOD</v>
      </c>
      <c r="M10" s="32"/>
      <c r="N10" s="30">
        <f t="shared" si="5"/>
        <v>4</v>
      </c>
      <c r="O10" s="14" t="str">
        <f>[1]!wwsCheckbox($C10,110,FALSE)</f>
        <v>bat</v>
      </c>
      <c r="P10" s="14" t="str">
        <f>[1]!wwsCheckbox($D10,110,FALSE)</f>
        <v>bet</v>
      </c>
      <c r="Q10" s="14" t="str">
        <f>[1]!wwsCheckbox($B10,110,FALSE)</f>
        <v>bit</v>
      </c>
      <c r="R10" s="13">
        <f t="shared" si="2"/>
        <v>1</v>
      </c>
      <c r="S10" s="22"/>
      <c r="T10" s="22"/>
      <c r="U10" s="10">
        <f t="shared" si="1"/>
        <v>1</v>
      </c>
    </row>
    <row r="11" spans="1:23" s="10" customFormat="1" ht="25.05" customHeight="1">
      <c r="A11" s="13" t="str">
        <f t="shared" si="3"/>
        <v>clikt</v>
      </c>
      <c r="B11" s="84" t="s">
        <v>4</v>
      </c>
      <c r="C11" s="84" t="s">
        <v>178</v>
      </c>
      <c r="D11" s="84" t="s">
        <v>177</v>
      </c>
      <c r="E11" s="49" t="s">
        <v>178</v>
      </c>
      <c r="F11" s="9">
        <f t="shared" si="4"/>
        <v>5</v>
      </c>
      <c r="G11" s="14" t="str">
        <f>[1]!wwsCheckbox($B11,11,FALSE)</f>
        <v>dad</v>
      </c>
      <c r="H11" s="14" t="str">
        <f>[1]!wwsCheckbox($C11,11,FALSE)</f>
        <v>dud</v>
      </c>
      <c r="I11" s="14" t="str">
        <f>[1]!wwsCheckbox($D11,11,FALSE)</f>
        <v>did</v>
      </c>
      <c r="J11" s="10" t="str">
        <f t="shared" si="0"/>
        <v>GOOD</v>
      </c>
      <c r="M11" s="32"/>
      <c r="N11" s="30">
        <f t="shared" si="5"/>
        <v>5</v>
      </c>
      <c r="O11" s="14" t="str">
        <f>[1]!wwsCheckbox($C11,111,FALSE)</f>
        <v>dud</v>
      </c>
      <c r="P11" s="14" t="str">
        <f>[1]!wwsCheckbox($D11,111,FALSE)</f>
        <v>did</v>
      </c>
      <c r="Q11" s="14" t="str">
        <f>[1]!wwsCheckbox($B11,111,FALSE)</f>
        <v>dad</v>
      </c>
      <c r="R11" s="13">
        <f t="shared" si="2"/>
        <v>1</v>
      </c>
      <c r="U11" s="10">
        <f t="shared" si="1"/>
        <v>1</v>
      </c>
    </row>
    <row r="12" spans="1:23" s="10" customFormat="1" ht="25.05" customHeight="1">
      <c r="A12" s="13" t="str">
        <f t="shared" si="3"/>
        <v>clikt</v>
      </c>
      <c r="B12" s="84" t="s">
        <v>16</v>
      </c>
      <c r="C12" s="84" t="s">
        <v>67</v>
      </c>
      <c r="D12" s="84" t="s">
        <v>26</v>
      </c>
      <c r="E12" s="49" t="s">
        <v>16</v>
      </c>
      <c r="F12" s="9">
        <f t="shared" si="4"/>
        <v>6</v>
      </c>
      <c r="G12" s="14" t="str">
        <f>[1]!wwsCheckbox($B12,12,FALSE)</f>
        <v>den</v>
      </c>
      <c r="H12" s="14" t="str">
        <f>[1]!wwsCheckbox($C12,12,FALSE)</f>
        <v>dun</v>
      </c>
      <c r="I12" s="14" t="str">
        <f>[1]!wwsCheckbox($D12,12,FALSE)</f>
        <v>din</v>
      </c>
      <c r="J12" s="10" t="str">
        <f t="shared" si="0"/>
        <v>GOOD</v>
      </c>
      <c r="M12" s="32"/>
      <c r="N12" s="30">
        <f t="shared" si="5"/>
        <v>6</v>
      </c>
      <c r="O12" s="14" t="str">
        <f>[1]!wwsCheckbox($C12,112,FALSE)</f>
        <v>dun</v>
      </c>
      <c r="P12" s="14" t="str">
        <f>[1]!wwsCheckbox($D12,112,FALSE)</f>
        <v>din</v>
      </c>
      <c r="Q12" s="14" t="str">
        <f>[1]!wwsCheckbox($B12,112,FALSE)</f>
        <v>den</v>
      </c>
      <c r="R12" s="13">
        <f t="shared" si="2"/>
        <v>1</v>
      </c>
      <c r="U12" s="10">
        <f t="shared" si="1"/>
        <v>1</v>
      </c>
    </row>
    <row r="13" spans="1:23" s="10" customFormat="1" ht="25.05" customHeight="1">
      <c r="A13" s="13" t="str">
        <f t="shared" si="3"/>
        <v>clikt</v>
      </c>
      <c r="B13" s="84" t="s">
        <v>183</v>
      </c>
      <c r="C13" s="84" t="s">
        <v>184</v>
      </c>
      <c r="D13" s="84" t="s">
        <v>185</v>
      </c>
      <c r="E13" s="49" t="s">
        <v>183</v>
      </c>
      <c r="F13" s="9">
        <f t="shared" si="4"/>
        <v>7</v>
      </c>
      <c r="G13" s="14" t="str">
        <f>[1]!wwsCheckbox($B13,13,FALSE)</f>
        <v>mum</v>
      </c>
      <c r="H13" s="14" t="str">
        <f>[1]!wwsCheckbox($C13,13,FALSE)</f>
        <v>mom</v>
      </c>
      <c r="I13" s="14" t="str">
        <f>[1]!wwsCheckbox($D13,13,FALSE)</f>
        <v>mam</v>
      </c>
      <c r="J13" s="10" t="str">
        <f t="shared" si="0"/>
        <v>GOOD</v>
      </c>
      <c r="M13" s="32"/>
      <c r="N13" s="30">
        <f t="shared" si="5"/>
        <v>7</v>
      </c>
      <c r="O13" s="14" t="str">
        <f>[1]!wwsCheckbox($C13,113,FALSE)</f>
        <v>mom</v>
      </c>
      <c r="P13" s="14" t="str">
        <f>[1]!wwsCheckbox($D13,113,FALSE)</f>
        <v>mam</v>
      </c>
      <c r="Q13" s="14" t="str">
        <f>[1]!wwsCheckbox($B13,113,FALSE)</f>
        <v>mum</v>
      </c>
      <c r="R13" s="13">
        <f>IF(OR(E13=O13,E13=P13,E13=Q13),1,0)</f>
        <v>1</v>
      </c>
      <c r="U13" s="10">
        <f t="shared" si="1"/>
        <v>1</v>
      </c>
    </row>
    <row r="14" spans="1:23" s="10" customFormat="1" ht="25.05" customHeight="1">
      <c r="A14" s="13" t="str">
        <f t="shared" si="3"/>
        <v>clikt</v>
      </c>
      <c r="B14" s="84" t="s">
        <v>12</v>
      </c>
      <c r="C14" s="84" t="s">
        <v>59</v>
      </c>
      <c r="D14" s="84" t="s">
        <v>46</v>
      </c>
      <c r="E14" s="49" t="s">
        <v>46</v>
      </c>
      <c r="F14" s="9">
        <f t="shared" si="4"/>
        <v>8</v>
      </c>
      <c r="G14" s="14" t="str">
        <f>[1]!wwsCheckbox($B14,14,FALSE)</f>
        <v>nab</v>
      </c>
      <c r="H14" s="14" t="str">
        <f>[1]!wwsCheckbox($C14,14,FALSE)</f>
        <v>nib</v>
      </c>
      <c r="I14" s="14" t="str">
        <f>[1]!wwsCheckbox($D14,14,FALSE)</f>
        <v>nub</v>
      </c>
      <c r="J14" s="10" t="str">
        <f t="shared" si="0"/>
        <v>GOOD</v>
      </c>
      <c r="M14" s="32"/>
      <c r="N14" s="30">
        <f t="shared" si="5"/>
        <v>8</v>
      </c>
      <c r="O14" s="14" t="str">
        <f>[1]!wwsCheckbox($C14,114,FALSE)</f>
        <v>nib</v>
      </c>
      <c r="P14" s="14" t="str">
        <f>[1]!wwsCheckbox($D14,114,FALSE)</f>
        <v>nub</v>
      </c>
      <c r="Q14" s="14" t="str">
        <f>[1]!wwsCheckbox($B14,114,FALSE)</f>
        <v>nab</v>
      </c>
      <c r="R14" s="13">
        <f t="shared" si="2"/>
        <v>1</v>
      </c>
      <c r="U14" s="10">
        <f t="shared" si="1"/>
        <v>1</v>
      </c>
    </row>
    <row r="15" spans="1:23" s="10" customFormat="1" ht="25.05" customHeight="1">
      <c r="A15" s="13" t="str">
        <f t="shared" si="3"/>
        <v>clikt</v>
      </c>
      <c r="B15" s="84" t="s">
        <v>50</v>
      </c>
      <c r="C15" s="84" t="s">
        <v>41</v>
      </c>
      <c r="D15" s="84" t="s">
        <v>22</v>
      </c>
      <c r="E15" s="49" t="s">
        <v>41</v>
      </c>
      <c r="F15" s="9">
        <f t="shared" si="4"/>
        <v>9</v>
      </c>
      <c r="G15" s="14" t="str">
        <f>[1]!wwsCheckbox($B15,14,FALSE)</f>
        <v>nut</v>
      </c>
      <c r="H15" s="14" t="str">
        <f>[1]!wwsCheckbox($C15,15,FALSE)</f>
        <v>not</v>
      </c>
      <c r="I15" s="14" t="str">
        <f>[1]!wwsCheckbox($D15,15,FALSE)</f>
        <v>net</v>
      </c>
      <c r="J15" s="10" t="str">
        <f t="shared" si="0"/>
        <v>GOOD</v>
      </c>
      <c r="M15" s="32"/>
      <c r="N15" s="30">
        <f t="shared" si="5"/>
        <v>9</v>
      </c>
      <c r="O15" s="14" t="str">
        <f>[1]!wwsCheckbox($C15,115,FALSE)</f>
        <v>not</v>
      </c>
      <c r="P15" s="14" t="str">
        <f>[1]!wwsCheckbox($D15,115,FALSE)</f>
        <v>net</v>
      </c>
      <c r="Q15" s="14" t="str">
        <f>[1]!wwsCheckbox($B15,115,FALSE)</f>
        <v>nut</v>
      </c>
      <c r="R15" s="13">
        <f t="shared" si="2"/>
        <v>1</v>
      </c>
      <c r="U15" s="10">
        <f t="shared" si="1"/>
        <v>1</v>
      </c>
    </row>
    <row r="16" spans="1:23" s="10" customFormat="1" ht="25.05" customHeight="1">
      <c r="A16" s="13" t="str">
        <f t="shared" si="3"/>
        <v>clikt</v>
      </c>
      <c r="B16" s="84" t="s">
        <v>18</v>
      </c>
      <c r="C16" s="84" t="s">
        <v>33</v>
      </c>
      <c r="D16" s="84" t="s">
        <v>14</v>
      </c>
      <c r="E16" s="49" t="s">
        <v>33</v>
      </c>
      <c r="F16" s="9">
        <f t="shared" si="4"/>
        <v>10</v>
      </c>
      <c r="G16" s="14" t="str">
        <f>[1]!wwsCheckbox($B16,16,FALSE)</f>
        <v>pen</v>
      </c>
      <c r="H16" s="14" t="str">
        <f>[1]!wwsCheckbox($C16,16,FALSE)</f>
        <v>pin</v>
      </c>
      <c r="I16" s="14" t="str">
        <f>[1]!wwsCheckbox($D16,16,FALSE)</f>
        <v>pan</v>
      </c>
      <c r="J16" s="10" t="str">
        <f t="shared" si="0"/>
        <v>GOOD</v>
      </c>
      <c r="M16" s="32"/>
      <c r="N16" s="30">
        <f t="shared" si="5"/>
        <v>10</v>
      </c>
      <c r="O16" s="14" t="str">
        <f>[1]!wwsCheckbox($C16,116,FALSE)</f>
        <v>pin</v>
      </c>
      <c r="P16" s="14" t="str">
        <f>[1]!wwsCheckbox($D16,116,FALSE)</f>
        <v>pan</v>
      </c>
      <c r="Q16" s="14" t="str">
        <f>[1]!wwsCheckbox($B16,116,FALSE)</f>
        <v>pen</v>
      </c>
      <c r="R16" s="13">
        <f t="shared" si="2"/>
        <v>1</v>
      </c>
      <c r="U16" s="10">
        <f t="shared" si="1"/>
        <v>1</v>
      </c>
    </row>
    <row r="17" spans="1:21" s="10" customFormat="1" ht="25.05" customHeight="1">
      <c r="A17" s="13" t="str">
        <f t="shared" si="3"/>
        <v>clikt</v>
      </c>
      <c r="B17" s="84" t="s">
        <v>36</v>
      </c>
      <c r="C17" s="84" t="s">
        <v>58</v>
      </c>
      <c r="D17" s="84" t="s">
        <v>68</v>
      </c>
      <c r="E17" s="49" t="s">
        <v>68</v>
      </c>
      <c r="F17" s="9">
        <f t="shared" si="4"/>
        <v>11</v>
      </c>
      <c r="G17" s="14" t="str">
        <f>[1]!wwsCheckbox($B17,17,FALSE)</f>
        <v>pop</v>
      </c>
      <c r="H17" s="14" t="str">
        <f>[1]!wwsCheckbox($C17,17,FALSE)</f>
        <v>pup</v>
      </c>
      <c r="I17" s="14" t="str">
        <f>[1]!wwsCheckbox($D17,17,FALSE)</f>
        <v>pep</v>
      </c>
      <c r="J17" s="10" t="str">
        <f t="shared" si="0"/>
        <v>GOOD</v>
      </c>
      <c r="M17" s="32"/>
      <c r="N17" s="30">
        <f t="shared" si="5"/>
        <v>11</v>
      </c>
      <c r="O17" s="14" t="str">
        <f>[1]!wwsCheckbox($C17,117,FALSE)</f>
        <v>pup</v>
      </c>
      <c r="P17" s="14" t="str">
        <f>[1]!wwsCheckbox($D17,117,FALSE)</f>
        <v>pep</v>
      </c>
      <c r="Q17" s="14" t="str">
        <f>[1]!wwsCheckbox($B17,117,FALSE)</f>
        <v>pop</v>
      </c>
      <c r="R17" s="13">
        <f t="shared" si="2"/>
        <v>1</v>
      </c>
      <c r="U17" s="10">
        <f t="shared" si="1"/>
        <v>1</v>
      </c>
    </row>
    <row r="18" spans="1:21" s="10" customFormat="1" ht="25.05" customHeight="1">
      <c r="A18" s="13" t="str">
        <f t="shared" si="3"/>
        <v>clikt</v>
      </c>
      <c r="B18" s="84" t="s">
        <v>39</v>
      </c>
      <c r="C18" s="84" t="s">
        <v>23</v>
      </c>
      <c r="D18" s="84" t="s">
        <v>13</v>
      </c>
      <c r="E18" s="49" t="s">
        <v>39</v>
      </c>
      <c r="F18" s="9">
        <f t="shared" si="4"/>
        <v>12</v>
      </c>
      <c r="G18" s="14" t="str">
        <f>[1]!wwsCheckbox($B18,18,FALSE)</f>
        <v>pot</v>
      </c>
      <c r="H18" s="14" t="str">
        <f>[1]!wwsCheckbox($C18,18,FALSE)</f>
        <v>pet</v>
      </c>
      <c r="I18" s="14" t="str">
        <f>[1]!wwsCheckbox($D18,18,FALSE)</f>
        <v>pat</v>
      </c>
      <c r="J18" s="10" t="str">
        <f t="shared" si="0"/>
        <v>GOOD</v>
      </c>
      <c r="M18" s="32"/>
      <c r="N18" s="30">
        <f t="shared" si="5"/>
        <v>12</v>
      </c>
      <c r="O18" s="14" t="str">
        <f>[1]!wwsCheckbox($C18,118,FALSE)</f>
        <v>pet</v>
      </c>
      <c r="P18" s="14" t="str">
        <f>[1]!wwsCheckbox($D18,118,FALSE)</f>
        <v>pat</v>
      </c>
      <c r="Q18" s="14" t="str">
        <f>[1]!wwsCheckbox($B18,118,FALSE)</f>
        <v>pot</v>
      </c>
      <c r="R18" s="13">
        <f t="shared" si="2"/>
        <v>1</v>
      </c>
      <c r="U18" s="10">
        <f t="shared" si="1"/>
        <v>1</v>
      </c>
    </row>
    <row r="19" spans="1:21" s="10" customFormat="1" ht="25.05" customHeight="1">
      <c r="A19" s="13" t="str">
        <f t="shared" si="3"/>
        <v>clikt</v>
      </c>
      <c r="B19" s="84" t="s">
        <v>7</v>
      </c>
      <c r="C19" s="84" t="s">
        <v>24</v>
      </c>
      <c r="D19" s="84" t="s">
        <v>19</v>
      </c>
      <c r="E19" s="49" t="s">
        <v>24</v>
      </c>
      <c r="F19" s="9">
        <f t="shared" si="4"/>
        <v>13</v>
      </c>
      <c r="G19" s="14" t="str">
        <f>[1]!wwsCheckbox($B19,19,FALSE)</f>
        <v>tan</v>
      </c>
      <c r="H19" s="14" t="str">
        <f>[1]!wwsCheckbox($C19,19,FALSE)</f>
        <v>tin</v>
      </c>
      <c r="I19" s="14" t="str">
        <f>[1]!wwsCheckbox($D19,19,FALSE)</f>
        <v>ten</v>
      </c>
      <c r="J19" s="10" t="str">
        <f t="shared" si="0"/>
        <v>GOOD</v>
      </c>
      <c r="M19" s="32"/>
      <c r="N19" s="30">
        <f t="shared" si="5"/>
        <v>13</v>
      </c>
      <c r="O19" s="14" t="str">
        <f>[1]!wwsCheckbox($C19,119,FALSE)</f>
        <v>tin</v>
      </c>
      <c r="P19" s="14" t="str">
        <f>[1]!wwsCheckbox($D19,119,FALSE)</f>
        <v>ten</v>
      </c>
      <c r="Q19" s="14" t="str">
        <f>[1]!wwsCheckbox($B19,119,FALSE)</f>
        <v>tan</v>
      </c>
      <c r="R19" s="13">
        <f t="shared" si="2"/>
        <v>1</v>
      </c>
      <c r="U19" s="10">
        <f>R19</f>
        <v>1</v>
      </c>
    </row>
    <row r="20" spans="1:21" s="10" customFormat="1" ht="25.05" customHeight="1">
      <c r="A20" s="13" t="str">
        <f t="shared" si="3"/>
        <v>clikt</v>
      </c>
      <c r="B20" s="84" t="s">
        <v>38</v>
      </c>
      <c r="C20" s="84" t="s">
        <v>27</v>
      </c>
      <c r="D20" s="84" t="s">
        <v>2</v>
      </c>
      <c r="E20" s="49" t="s">
        <v>38</v>
      </c>
      <c r="F20" s="9">
        <f t="shared" si="4"/>
        <v>14</v>
      </c>
      <c r="G20" s="14" t="str">
        <f>[1]!wwsCheckbox($B20,20,FALSE)</f>
        <v>top</v>
      </c>
      <c r="H20" s="14" t="str">
        <f>[1]!wwsCheckbox($C20,20,FALSE)</f>
        <v>tip</v>
      </c>
      <c r="I20" s="14" t="str">
        <f>[1]!wwsCheckbox($D20,20,FALSE)</f>
        <v>tap</v>
      </c>
      <c r="J20" s="10" t="str">
        <f>IF(OR(E20=G20,E20=H20,E20=I20),IF($G$4="PRACTICE","GOOD"," ")," ")</f>
        <v>GOOD</v>
      </c>
      <c r="M20" s="32"/>
      <c r="N20" s="30">
        <f t="shared" si="5"/>
        <v>14</v>
      </c>
      <c r="O20" s="14" t="str">
        <f>[1]!wwsCheckbox($C20,120,FALSE)</f>
        <v>tip</v>
      </c>
      <c r="P20" s="14" t="str">
        <f>[1]!wwsCheckbox($D20,120,FALSE)</f>
        <v>tap</v>
      </c>
      <c r="Q20" s="14" t="str">
        <f>[1]!wwsCheckbox($B20,120,FALSE)</f>
        <v>top</v>
      </c>
      <c r="R20" s="13">
        <f t="shared" si="2"/>
        <v>1</v>
      </c>
      <c r="U20" s="10">
        <f t="shared" ref="U20" si="6">R20</f>
        <v>1</v>
      </c>
    </row>
    <row r="21" spans="1:21" s="10" customFormat="1" ht="25.05" customHeight="1">
      <c r="A21" s="75" t="str">
        <f t="shared" si="3"/>
        <v/>
      </c>
      <c r="B21" s="29"/>
      <c r="C21" s="29"/>
      <c r="D21" s="29"/>
      <c r="E21" s="49"/>
      <c r="F21" s="30"/>
      <c r="G21" s="31"/>
      <c r="H21" s="31"/>
      <c r="I21" s="31"/>
      <c r="J21" s="32"/>
      <c r="K21" s="32"/>
      <c r="L21" s="32"/>
      <c r="M21" s="32"/>
      <c r="N21" s="49">
        <f>SUM(O21:Q21)</f>
        <v>3</v>
      </c>
      <c r="O21" s="83">
        <f>IF(OR(O19=C19,O20=C20),1,0)</f>
        <v>1</v>
      </c>
      <c r="P21" s="83">
        <f>IF(OR(P19=D19,P20=D20),1,0)</f>
        <v>1</v>
      </c>
      <c r="Q21" s="83">
        <f>IF(OR(Q19=B19,Q20=B20),1,0)</f>
        <v>1</v>
      </c>
      <c r="R21" s="107">
        <f>SUM(R7:R20)/14</f>
        <v>1</v>
      </c>
      <c r="S21" s="102"/>
      <c r="T21" s="32"/>
      <c r="U21" s="10">
        <f>SUM(O21:Q21)</f>
        <v>3</v>
      </c>
    </row>
    <row r="22" spans="1:21" s="10" customFormat="1" ht="25.05" customHeight="1">
      <c r="A22" s="75" t="str">
        <f t="shared" si="3"/>
        <v/>
      </c>
      <c r="B22" s="29"/>
      <c r="C22" s="29"/>
      <c r="D22" s="29"/>
      <c r="E22" s="54"/>
      <c r="F22" s="30"/>
      <c r="G22" s="31"/>
      <c r="H22" s="31"/>
      <c r="I22" s="31"/>
      <c r="J22" s="32"/>
      <c r="K22" s="32"/>
      <c r="L22" s="32"/>
      <c r="M22" s="32"/>
      <c r="N22" s="30"/>
      <c r="O22" s="31"/>
      <c r="P22" s="31"/>
      <c r="Q22" s="31"/>
      <c r="R22" s="75"/>
      <c r="S22" s="32"/>
      <c r="T22" t="s">
        <v>55</v>
      </c>
    </row>
    <row r="23" spans="1:21" s="10" customFormat="1" ht="25.05" customHeight="1">
      <c r="A23" s="75" t="str">
        <f t="shared" si="3"/>
        <v/>
      </c>
      <c r="B23" s="29"/>
      <c r="C23" s="29"/>
      <c r="D23" s="29"/>
      <c r="E23" s="54"/>
      <c r="F23" s="30"/>
      <c r="G23" s="31"/>
      <c r="H23" s="31"/>
      <c r="I23" s="31"/>
      <c r="J23" s="32"/>
      <c r="K23" s="32"/>
      <c r="L23" s="32"/>
      <c r="M23" s="32"/>
      <c r="N23" s="30"/>
      <c r="O23" s="31"/>
      <c r="P23" s="31"/>
      <c r="Q23" s="31"/>
      <c r="R23" s="75"/>
      <c r="S23" s="32"/>
      <c r="T23" s="32"/>
    </row>
    <row r="24" spans="1:21" s="10" customFormat="1" ht="25.05" customHeight="1">
      <c r="A24" s="75" t="str">
        <f t="shared" si="3"/>
        <v/>
      </c>
      <c r="B24" s="29"/>
      <c r="C24" s="29"/>
      <c r="D24" s="29"/>
      <c r="E24" s="54"/>
      <c r="F24" s="30"/>
      <c r="G24" s="31"/>
      <c r="H24" s="31"/>
      <c r="I24" s="31"/>
      <c r="J24" s="32"/>
      <c r="K24" s="32"/>
      <c r="L24" s="32"/>
      <c r="M24" s="32"/>
      <c r="N24" s="30"/>
      <c r="O24" s="31"/>
      <c r="P24" s="31"/>
      <c r="Q24" s="31"/>
      <c r="R24" s="75"/>
      <c r="S24" s="32"/>
      <c r="T24" s="32"/>
    </row>
    <row r="25" spans="1:21" s="10" customFormat="1" ht="25.05" customHeight="1">
      <c r="A25" s="75" t="str">
        <f t="shared" si="3"/>
        <v/>
      </c>
      <c r="B25" s="29"/>
      <c r="C25" s="29"/>
      <c r="D25" s="29"/>
      <c r="E25" s="54"/>
      <c r="F25" s="30"/>
      <c r="G25" s="31"/>
      <c r="H25" s="31"/>
      <c r="I25" s="31"/>
      <c r="J25" s="32"/>
      <c r="K25" s="32"/>
      <c r="L25" s="32"/>
      <c r="M25" s="32"/>
      <c r="N25" s="30"/>
      <c r="O25" s="31"/>
      <c r="P25" s="31"/>
      <c r="Q25" s="31"/>
      <c r="R25" s="75"/>
      <c r="S25" s="32"/>
      <c r="T25" s="32"/>
    </row>
    <row r="26" spans="1:21" s="10" customFormat="1" ht="25.05" customHeight="1">
      <c r="A26" s="75" t="str">
        <f t="shared" si="3"/>
        <v/>
      </c>
      <c r="B26" s="29"/>
      <c r="C26" s="29"/>
      <c r="D26" s="29"/>
      <c r="E26" s="54"/>
      <c r="F26" s="30"/>
      <c r="G26" s="31"/>
      <c r="H26" s="31"/>
      <c r="I26" s="31"/>
      <c r="J26" s="32"/>
      <c r="K26" s="32"/>
      <c r="L26" s="32"/>
      <c r="M26" s="32"/>
      <c r="N26" s="30"/>
      <c r="O26" s="31"/>
      <c r="P26" s="31"/>
      <c r="Q26" s="31"/>
      <c r="R26" s="75"/>
      <c r="S26" s="32"/>
      <c r="T26" s="32"/>
    </row>
    <row r="27" spans="1:21" s="10" customFormat="1" ht="25.05" customHeight="1">
      <c r="A27" s="75" t="str">
        <f t="shared" si="3"/>
        <v/>
      </c>
      <c r="B27" s="29"/>
      <c r="C27" s="29"/>
      <c r="D27" s="29"/>
      <c r="E27" s="54"/>
      <c r="F27" s="30"/>
      <c r="G27" s="31"/>
      <c r="H27" s="31"/>
      <c r="I27" s="31"/>
      <c r="J27" s="32"/>
      <c r="K27" s="32"/>
      <c r="L27" s="32"/>
      <c r="M27" s="32"/>
      <c r="N27" s="30"/>
      <c r="O27" s="31"/>
      <c r="P27" s="31"/>
      <c r="Q27" s="31"/>
      <c r="R27" s="75"/>
      <c r="S27" s="32"/>
      <c r="T27" s="32"/>
    </row>
    <row r="28" spans="1:21" s="10" customFormat="1" ht="25.05" customHeight="1">
      <c r="A28" s="75" t="str">
        <f t="shared" si="3"/>
        <v/>
      </c>
      <c r="B28" s="29"/>
      <c r="C28" s="29"/>
      <c r="D28" s="29"/>
      <c r="E28" s="54"/>
      <c r="F28" s="30"/>
      <c r="G28" s="31"/>
      <c r="H28" s="31"/>
      <c r="I28" s="31"/>
      <c r="J28" s="32"/>
      <c r="K28" s="32"/>
      <c r="L28" s="32"/>
      <c r="M28" s="32"/>
      <c r="N28" s="30"/>
      <c r="O28" s="31"/>
      <c r="P28" s="31"/>
      <c r="Q28" s="31"/>
      <c r="R28" s="75"/>
      <c r="S28" s="32"/>
      <c r="T28" s="32"/>
    </row>
    <row r="29" spans="1:21" s="10" customFormat="1" ht="25.05" customHeight="1">
      <c r="A29" s="75" t="str">
        <f t="shared" si="3"/>
        <v/>
      </c>
      <c r="B29" s="29"/>
      <c r="C29" s="29"/>
      <c r="D29" s="29"/>
      <c r="E29" s="54"/>
      <c r="F29" s="30"/>
      <c r="G29" s="31"/>
      <c r="H29" s="31"/>
      <c r="I29" s="31"/>
      <c r="J29" s="32"/>
      <c r="K29" s="32"/>
      <c r="L29" s="32"/>
      <c r="M29" s="32"/>
      <c r="N29" s="30"/>
      <c r="O29" s="31"/>
      <c r="P29" s="31"/>
      <c r="Q29" s="31"/>
      <c r="R29" s="75"/>
      <c r="S29" s="32"/>
      <c r="T29" s="32"/>
    </row>
    <row r="30" spans="1:21" s="10" customFormat="1" ht="25.05" customHeight="1">
      <c r="A30" s="75" t="str">
        <f t="shared" si="3"/>
        <v/>
      </c>
      <c r="B30" s="29"/>
      <c r="C30" s="29"/>
      <c r="D30" s="29"/>
      <c r="E30" s="54"/>
      <c r="F30" s="30"/>
      <c r="G30" s="31"/>
      <c r="H30" s="31"/>
      <c r="I30" s="31"/>
      <c r="J30" s="32"/>
      <c r="K30" s="32"/>
      <c r="L30" s="32"/>
      <c r="M30" s="32"/>
      <c r="N30" s="30"/>
      <c r="O30" s="31"/>
      <c r="P30" s="31"/>
      <c r="Q30" s="31"/>
      <c r="R30" s="75"/>
      <c r="S30" s="32"/>
      <c r="T30" s="32"/>
    </row>
    <row r="31" spans="1:21" s="10" customFormat="1" ht="25.05" customHeight="1">
      <c r="A31" s="75" t="str">
        <f t="shared" si="3"/>
        <v/>
      </c>
      <c r="B31" s="29"/>
      <c r="C31" s="29"/>
      <c r="D31" s="29"/>
      <c r="E31" s="54"/>
      <c r="F31" s="30"/>
      <c r="G31" s="31"/>
      <c r="H31" s="31"/>
      <c r="I31" s="31"/>
      <c r="J31" s="32"/>
      <c r="K31" s="32"/>
      <c r="L31" s="32"/>
      <c r="M31" s="32"/>
      <c r="N31" s="30"/>
      <c r="O31" s="31"/>
      <c r="P31" s="31"/>
      <c r="Q31" s="31"/>
      <c r="R31" s="75"/>
      <c r="S31" s="32"/>
      <c r="T31" s="32"/>
    </row>
    <row r="32" spans="1:21" s="10" customFormat="1" ht="25.05" customHeight="1">
      <c r="A32" s="75" t="str">
        <f t="shared" si="3"/>
        <v/>
      </c>
      <c r="B32" s="29"/>
      <c r="C32" s="29"/>
      <c r="D32" s="29"/>
      <c r="E32" s="54"/>
      <c r="F32" s="30"/>
      <c r="G32" s="31"/>
      <c r="H32" s="31"/>
      <c r="I32" s="31"/>
      <c r="J32" s="32"/>
      <c r="K32" s="32"/>
      <c r="L32" s="32"/>
      <c r="M32" s="32"/>
      <c r="N32" s="30"/>
      <c r="O32" s="31"/>
      <c r="P32" s="31"/>
      <c r="Q32" s="31"/>
      <c r="R32" s="75"/>
      <c r="S32" s="32"/>
      <c r="T32" s="32"/>
    </row>
    <row r="33" spans="13:18" ht="21" customHeight="1">
      <c r="M33" s="34"/>
      <c r="N33" s="34"/>
      <c r="R33" s="33"/>
    </row>
    <row r="34" spans="13:18">
      <c r="M34" s="34"/>
      <c r="N34" s="34"/>
    </row>
  </sheetData>
  <mergeCells count="12">
    <mergeCell ref="F2:I2"/>
    <mergeCell ref="C2:E2"/>
    <mergeCell ref="D3:G3"/>
    <mergeCell ref="G6:I6"/>
    <mergeCell ref="O6:Q6"/>
    <mergeCell ref="J2:L2"/>
    <mergeCell ref="N2:O2"/>
    <mergeCell ref="E4:E5"/>
    <mergeCell ref="G4:I4"/>
    <mergeCell ref="O4:Q4"/>
    <mergeCell ref="N5:O5"/>
    <mergeCell ref="P5:S5"/>
  </mergeCells>
  <conditionalFormatting sqref="K4">
    <cfRule type="cellIs" dxfId="370" priority="1026" operator="equal">
      <formula>"""GOOD"""</formula>
    </cfRule>
  </conditionalFormatting>
  <conditionalFormatting sqref="V8">
    <cfRule type="cellIs" dxfId="369" priority="1025" operator="equal">
      <formula>87</formula>
    </cfRule>
  </conditionalFormatting>
  <conditionalFormatting sqref="N7">
    <cfRule type="cellIs" priority="1021" operator="between">
      <formula>1</formula>
      <formula>2</formula>
    </cfRule>
    <cfRule type="cellIs" dxfId="368" priority="1022" operator="equal">
      <formula>"""GOOD"""</formula>
    </cfRule>
  </conditionalFormatting>
  <conditionalFormatting sqref="O7">
    <cfRule type="expression" dxfId="367" priority="822">
      <formula>OR($O7&lt;&gt;"",$P7&lt;&gt;"",$Q7&lt;&gt;"")</formula>
    </cfRule>
  </conditionalFormatting>
  <conditionalFormatting sqref="P7">
    <cfRule type="expression" dxfId="366" priority="821">
      <formula>OR($O7&lt;&gt;"",$P7&lt;&gt;"",$Q7&lt;&gt;"")</formula>
    </cfRule>
  </conditionalFormatting>
  <conditionalFormatting sqref="Q7">
    <cfRule type="expression" dxfId="365" priority="818">
      <formula>OR($O7&lt;&gt;"",$P7&lt;&gt;"",$Q7&lt;&gt;"")</formula>
    </cfRule>
  </conditionalFormatting>
  <conditionalFormatting sqref="O22">
    <cfRule type="expression" dxfId="364" priority="804">
      <formula>OR($O22&lt;&gt;"",$P22&lt;&gt;"",$Q22&lt;&gt;"")</formula>
    </cfRule>
  </conditionalFormatting>
  <conditionalFormatting sqref="O23">
    <cfRule type="expression" dxfId="363" priority="803">
      <formula>OR($O23&lt;&gt;"",$P23&lt;&gt;"",$Q23&lt;&gt;"")</formula>
    </cfRule>
  </conditionalFormatting>
  <conditionalFormatting sqref="O24">
    <cfRule type="expression" dxfId="362" priority="802">
      <formula>OR($O24&lt;&gt;"",$P24&lt;&gt;"",$Q24&lt;&gt;"")</formula>
    </cfRule>
  </conditionalFormatting>
  <conditionalFormatting sqref="O25">
    <cfRule type="expression" dxfId="361" priority="801">
      <formula>OR($O25&lt;&gt;"",$P25&lt;&gt;"",$Q25&lt;&gt;"")</formula>
    </cfRule>
  </conditionalFormatting>
  <conditionalFormatting sqref="O26">
    <cfRule type="expression" dxfId="360" priority="800">
      <formula>OR($O26&lt;&gt;"",$P26&lt;&gt;"",$Q26&lt;&gt;"")</formula>
    </cfRule>
  </conditionalFormatting>
  <conditionalFormatting sqref="O27">
    <cfRule type="expression" dxfId="359" priority="799">
      <formula>OR($O27&lt;&gt;"",$P27&lt;&gt;"",$Q27&lt;&gt;"")</formula>
    </cfRule>
  </conditionalFormatting>
  <conditionalFormatting sqref="O28">
    <cfRule type="expression" dxfId="358" priority="798">
      <formula>OR($O28&lt;&gt;"",$P28&lt;&gt;"",$Q28&lt;&gt;"")</formula>
    </cfRule>
  </conditionalFormatting>
  <conditionalFormatting sqref="O29">
    <cfRule type="expression" dxfId="357" priority="797">
      <formula>OR($O29&lt;&gt;"",$P29&lt;&gt;"",$Q29&lt;&gt;"")</formula>
    </cfRule>
  </conditionalFormatting>
  <conditionalFormatting sqref="O30">
    <cfRule type="expression" dxfId="356" priority="796">
      <formula>OR($O30&lt;&gt;"",$P30&lt;&gt;"",$Q30&lt;&gt;"")</formula>
    </cfRule>
  </conditionalFormatting>
  <conditionalFormatting sqref="O31">
    <cfRule type="expression" dxfId="355" priority="795">
      <formula>OR($O31&lt;&gt;"",$P31&lt;&gt;"",$Q31&lt;&gt;"")</formula>
    </cfRule>
  </conditionalFormatting>
  <conditionalFormatting sqref="P22">
    <cfRule type="expression" dxfId="354" priority="767">
      <formula>OR($O22&lt;&gt;"",$P22&lt;&gt;"",$Q22&lt;&gt;"")</formula>
    </cfRule>
  </conditionalFormatting>
  <conditionalFormatting sqref="Q22">
    <cfRule type="expression" dxfId="353" priority="766">
      <formula>OR($O22&lt;&gt;"",$P22&lt;&gt;"",$Q22&lt;&gt;"")</formula>
    </cfRule>
  </conditionalFormatting>
  <conditionalFormatting sqref="P23">
    <cfRule type="expression" dxfId="352" priority="765">
      <formula>OR($O23&lt;&gt;"",$P23&lt;&gt;"",$Q23&lt;&gt;"")</formula>
    </cfRule>
  </conditionalFormatting>
  <conditionalFormatting sqref="Q23">
    <cfRule type="expression" dxfId="351" priority="764">
      <formula>OR($O23&lt;&gt;"",$P23&lt;&gt;"",$Q23&lt;&gt;"")</formula>
    </cfRule>
  </conditionalFormatting>
  <conditionalFormatting sqref="P24">
    <cfRule type="expression" dxfId="350" priority="763">
      <formula>OR($O24&lt;&gt;"",$P24&lt;&gt;"",$Q24&lt;&gt;"")</formula>
    </cfRule>
  </conditionalFormatting>
  <conditionalFormatting sqref="Q24">
    <cfRule type="expression" dxfId="349" priority="762">
      <formula>OR($O24&lt;&gt;"",$P24&lt;&gt;"",$Q24&lt;&gt;"")</formula>
    </cfRule>
  </conditionalFormatting>
  <conditionalFormatting sqref="P25">
    <cfRule type="expression" dxfId="348" priority="761">
      <formula>OR($O25&lt;&gt;"",$P25&lt;&gt;"",$Q25&lt;&gt;"")</formula>
    </cfRule>
  </conditionalFormatting>
  <conditionalFormatting sqref="Q25">
    <cfRule type="expression" dxfId="347" priority="760">
      <formula>OR($O25&lt;&gt;"",$P25&lt;&gt;"",$Q25&lt;&gt;"")</formula>
    </cfRule>
  </conditionalFormatting>
  <conditionalFormatting sqref="P26">
    <cfRule type="expression" dxfId="346" priority="759">
      <formula>OR($O26&lt;&gt;"",$P26&lt;&gt;"",$Q26&lt;&gt;"")</formula>
    </cfRule>
  </conditionalFormatting>
  <conditionalFormatting sqref="Q26">
    <cfRule type="expression" dxfId="345" priority="758">
      <formula>OR($O26&lt;&gt;"",$P26&lt;&gt;"",$Q26&lt;&gt;"")</formula>
    </cfRule>
  </conditionalFormatting>
  <conditionalFormatting sqref="P27">
    <cfRule type="expression" dxfId="344" priority="757">
      <formula>OR($O27&lt;&gt;"",$P27&lt;&gt;"",$Q27&lt;&gt;"")</formula>
    </cfRule>
  </conditionalFormatting>
  <conditionalFormatting sqref="Q27">
    <cfRule type="expression" dxfId="343" priority="756">
      <formula>OR($O27&lt;&gt;"",$P27&lt;&gt;"",$Q27&lt;&gt;"")</formula>
    </cfRule>
  </conditionalFormatting>
  <conditionalFormatting sqref="P28">
    <cfRule type="expression" dxfId="342" priority="755">
      <formula>OR($O28&lt;&gt;"",$P28&lt;&gt;"",$Q28&lt;&gt;"")</formula>
    </cfRule>
  </conditionalFormatting>
  <conditionalFormatting sqref="Q28">
    <cfRule type="expression" dxfId="341" priority="754">
      <formula>OR($O28&lt;&gt;"",$P28&lt;&gt;"",$Q28&lt;&gt;"")</formula>
    </cfRule>
  </conditionalFormatting>
  <conditionalFormatting sqref="P29">
    <cfRule type="expression" dxfId="340" priority="753">
      <formula>OR($O29&lt;&gt;"",$P29&lt;&gt;"",$Q29&lt;&gt;"")</formula>
    </cfRule>
  </conditionalFormatting>
  <conditionalFormatting sqref="Q29">
    <cfRule type="expression" dxfId="339" priority="752">
      <formula>OR($O29&lt;&gt;"",$P29&lt;&gt;"",$Q29&lt;&gt;"")</formula>
    </cfRule>
  </conditionalFormatting>
  <conditionalFormatting sqref="P30">
    <cfRule type="expression" dxfId="338" priority="751">
      <formula>OR($O30&lt;&gt;"",$P30&lt;&gt;"",$Q30&lt;&gt;"")</formula>
    </cfRule>
  </conditionalFormatting>
  <conditionalFormatting sqref="Q30">
    <cfRule type="expression" dxfId="337" priority="750">
      <formula>OR($O30&lt;&gt;"",$P30&lt;&gt;"",$Q30&lt;&gt;"")</formula>
    </cfRule>
  </conditionalFormatting>
  <conditionalFormatting sqref="P31">
    <cfRule type="expression" dxfId="336" priority="749">
      <formula>OR($O31&lt;&gt;"",$P31&lt;&gt;"",$Q31&lt;&gt;"")</formula>
    </cfRule>
  </conditionalFormatting>
  <conditionalFormatting sqref="Q31">
    <cfRule type="expression" dxfId="335" priority="748">
      <formula>OR($O31&lt;&gt;"",$P31&lt;&gt;"",$Q31&lt;&gt;"")</formula>
    </cfRule>
  </conditionalFormatting>
  <conditionalFormatting sqref="O32">
    <cfRule type="expression" dxfId="334" priority="742">
      <formula>OR($O32&lt;&gt;"",$P32&lt;&gt;"",$Q32&lt;&gt;"")</formula>
    </cfRule>
  </conditionalFormatting>
  <conditionalFormatting sqref="P32">
    <cfRule type="expression" dxfId="333" priority="741">
      <formula>OR($O32&lt;&gt;"",$P32&lt;&gt;"",$Q32&lt;&gt;"")</formula>
    </cfRule>
  </conditionalFormatting>
  <conditionalFormatting sqref="Q32">
    <cfRule type="expression" dxfId="332" priority="740">
      <formula>OR($O32&lt;&gt;"",$P32&lt;&gt;"",$Q32&lt;&gt;"")</formula>
    </cfRule>
  </conditionalFormatting>
  <conditionalFormatting sqref="G32">
    <cfRule type="expression" dxfId="331" priority="564">
      <formula>AND($A32="clikt",$J32&lt;&gt;"GOOD")</formula>
    </cfRule>
    <cfRule type="expression" dxfId="330" priority="565">
      <formula>$J32="GOOD"</formula>
    </cfRule>
  </conditionalFormatting>
  <conditionalFormatting sqref="H32">
    <cfRule type="expression" dxfId="329" priority="562">
      <formula>AND($A32="clikt",$J32&lt;&gt;"GOOD")</formula>
    </cfRule>
    <cfRule type="expression" dxfId="328" priority="563">
      <formula>$J32="GOOD"</formula>
    </cfRule>
  </conditionalFormatting>
  <conditionalFormatting sqref="I32">
    <cfRule type="expression" dxfId="327" priority="560">
      <formula>AND($A32="clikt",$J32&lt;&gt;"GOOD")</formula>
    </cfRule>
    <cfRule type="expression" dxfId="326" priority="561">
      <formula>$J32="GOOD"</formula>
    </cfRule>
  </conditionalFormatting>
  <conditionalFormatting sqref="G31">
    <cfRule type="expression" dxfId="325" priority="548">
      <formula>AND($A31="clikt",$J31&lt;&gt;"GOOD")</formula>
    </cfRule>
    <cfRule type="expression" dxfId="324" priority="549">
      <formula>$J31="GOOD"</formula>
    </cfRule>
  </conditionalFormatting>
  <conditionalFormatting sqref="H31">
    <cfRule type="expression" dxfId="323" priority="546">
      <formula>AND($A31="clikt",$J31&lt;&gt;"GOOD")</formula>
    </cfRule>
    <cfRule type="expression" dxfId="322" priority="547">
      <formula>$J31="GOOD"</formula>
    </cfRule>
  </conditionalFormatting>
  <conditionalFormatting sqref="I31">
    <cfRule type="expression" dxfId="321" priority="544">
      <formula>AND($A31="clikt",$J31&lt;&gt;"GOOD")</formula>
    </cfRule>
    <cfRule type="expression" dxfId="320" priority="545">
      <formula>$J31="GOOD"</formula>
    </cfRule>
  </conditionalFormatting>
  <conditionalFormatting sqref="G30">
    <cfRule type="expression" dxfId="319" priority="542">
      <formula>AND($A30="clikt",$J30&lt;&gt;"GOOD")</formula>
    </cfRule>
    <cfRule type="expression" dxfId="318" priority="543">
      <formula>$J30="GOOD"</formula>
    </cfRule>
  </conditionalFormatting>
  <conditionalFormatting sqref="H30">
    <cfRule type="expression" dxfId="317" priority="540">
      <formula>AND($A30="clikt",$J30&lt;&gt;"GOOD")</formula>
    </cfRule>
    <cfRule type="expression" dxfId="316" priority="541">
      <formula>$J30="GOOD"</formula>
    </cfRule>
  </conditionalFormatting>
  <conditionalFormatting sqref="I30">
    <cfRule type="expression" dxfId="315" priority="538">
      <formula>AND($A30="clikt",$J30&lt;&gt;"GOOD")</formula>
    </cfRule>
    <cfRule type="expression" dxfId="314" priority="539">
      <formula>$J30="GOOD"</formula>
    </cfRule>
  </conditionalFormatting>
  <conditionalFormatting sqref="G7">
    <cfRule type="expression" dxfId="313" priority="347" stopIfTrue="1">
      <formula>$G$4&lt;&gt;"PRACTICE"</formula>
    </cfRule>
    <cfRule type="expression" dxfId="312" priority="536">
      <formula>AND($A7="clikt",$J7&lt;&gt;"GOOD")</formula>
    </cfRule>
    <cfRule type="expression" dxfId="311" priority="537">
      <formula>$J7="GOOD"</formula>
    </cfRule>
  </conditionalFormatting>
  <conditionalFormatting sqref="G21">
    <cfRule type="expression" dxfId="310" priority="504">
      <formula>AND($A21="clikt",$J21&lt;&gt;"GOOD")</formula>
    </cfRule>
    <cfRule type="expression" dxfId="309" priority="505">
      <formula>$J21="GOOD"</formula>
    </cfRule>
  </conditionalFormatting>
  <conditionalFormatting sqref="G22">
    <cfRule type="expression" dxfId="308" priority="502">
      <formula>AND($A22="clikt",$J22&lt;&gt;"GOOD")</formula>
    </cfRule>
    <cfRule type="expression" dxfId="307" priority="503">
      <formula>$J22="GOOD"</formula>
    </cfRule>
  </conditionalFormatting>
  <conditionalFormatting sqref="G23">
    <cfRule type="expression" dxfId="306" priority="500">
      <formula>AND($A23="clikt",$J23&lt;&gt;"GOOD")</formula>
    </cfRule>
    <cfRule type="expression" dxfId="305" priority="501">
      <formula>$J23="GOOD"</formula>
    </cfRule>
  </conditionalFormatting>
  <conditionalFormatting sqref="G24">
    <cfRule type="expression" dxfId="304" priority="498">
      <formula>AND($A24="clikt",$J24&lt;&gt;"GOOD")</formula>
    </cfRule>
    <cfRule type="expression" dxfId="303" priority="499">
      <formula>$J24="GOOD"</formula>
    </cfRule>
  </conditionalFormatting>
  <conditionalFormatting sqref="G25">
    <cfRule type="expression" dxfId="302" priority="496">
      <formula>AND($A25="clikt",$J25&lt;&gt;"GOOD")</formula>
    </cfRule>
    <cfRule type="expression" dxfId="301" priority="497">
      <formula>$J25="GOOD"</formula>
    </cfRule>
  </conditionalFormatting>
  <conditionalFormatting sqref="G26">
    <cfRule type="expression" dxfId="300" priority="494">
      <formula>AND($A26="clikt",$J26&lt;&gt;"GOOD")</formula>
    </cfRule>
    <cfRule type="expression" dxfId="299" priority="495">
      <formula>$J26="GOOD"</formula>
    </cfRule>
  </conditionalFormatting>
  <conditionalFormatting sqref="G27">
    <cfRule type="expression" dxfId="298" priority="492">
      <formula>AND($A27="clikt",$J27&lt;&gt;"GOOD")</formula>
    </cfRule>
    <cfRule type="expression" dxfId="297" priority="493">
      <formula>$J27="GOOD"</formula>
    </cfRule>
  </conditionalFormatting>
  <conditionalFormatting sqref="G28">
    <cfRule type="expression" dxfId="296" priority="490">
      <formula>AND($A28="clikt",$J28&lt;&gt;"GOOD")</formula>
    </cfRule>
    <cfRule type="expression" dxfId="295" priority="491">
      <formula>$J28="GOOD"</formula>
    </cfRule>
  </conditionalFormatting>
  <conditionalFormatting sqref="G29">
    <cfRule type="expression" dxfId="294" priority="488">
      <formula>AND($A29="clikt",$J29&lt;&gt;"GOOD")</formula>
    </cfRule>
    <cfRule type="expression" dxfId="293" priority="489">
      <formula>$J29="GOOD"</formula>
    </cfRule>
  </conditionalFormatting>
  <conditionalFormatting sqref="H21">
    <cfRule type="expression" dxfId="292" priority="460">
      <formula>AND($A21="clikt",$J21&lt;&gt;"GOOD")</formula>
    </cfRule>
    <cfRule type="expression" dxfId="291" priority="461">
      <formula>$J21="GOOD"</formula>
    </cfRule>
  </conditionalFormatting>
  <conditionalFormatting sqref="H22">
    <cfRule type="expression" dxfId="290" priority="458">
      <formula>AND($A22="clikt",$J22&lt;&gt;"GOOD")</formula>
    </cfRule>
    <cfRule type="expression" dxfId="289" priority="459">
      <formula>$J22="GOOD"</formula>
    </cfRule>
  </conditionalFormatting>
  <conditionalFormatting sqref="H23">
    <cfRule type="expression" dxfId="288" priority="456">
      <formula>AND($A23="clikt",$J23&lt;&gt;"GOOD")</formula>
    </cfRule>
    <cfRule type="expression" dxfId="287" priority="457">
      <formula>$J23="GOOD"</formula>
    </cfRule>
  </conditionalFormatting>
  <conditionalFormatting sqref="H24">
    <cfRule type="expression" dxfId="286" priority="454">
      <formula>AND($A24="clikt",$J24&lt;&gt;"GOOD")</formula>
    </cfRule>
    <cfRule type="expression" dxfId="285" priority="455">
      <formula>$J24="GOOD"</formula>
    </cfRule>
  </conditionalFormatting>
  <conditionalFormatting sqref="H25">
    <cfRule type="expression" dxfId="284" priority="452">
      <formula>AND($A25="clikt",$J25&lt;&gt;"GOOD")</formula>
    </cfRule>
    <cfRule type="expression" dxfId="283" priority="453">
      <formula>$J25="GOOD"</formula>
    </cfRule>
  </conditionalFormatting>
  <conditionalFormatting sqref="H26">
    <cfRule type="expression" dxfId="282" priority="450">
      <formula>AND($A26="clikt",$J26&lt;&gt;"GOOD")</formula>
    </cfRule>
    <cfRule type="expression" dxfId="281" priority="451">
      <formula>$J26="GOOD"</formula>
    </cfRule>
  </conditionalFormatting>
  <conditionalFormatting sqref="H27">
    <cfRule type="expression" dxfId="280" priority="448">
      <formula>AND($A27="clikt",$J27&lt;&gt;"GOOD")</formula>
    </cfRule>
    <cfRule type="expression" dxfId="279" priority="449">
      <formula>$J27="GOOD"</formula>
    </cfRule>
  </conditionalFormatting>
  <conditionalFormatting sqref="H28">
    <cfRule type="expression" dxfId="278" priority="446">
      <formula>AND($A28="clikt",$J28&lt;&gt;"GOOD")</formula>
    </cfRule>
    <cfRule type="expression" dxfId="277" priority="447">
      <formula>$J28="GOOD"</formula>
    </cfRule>
  </conditionalFormatting>
  <conditionalFormatting sqref="H29">
    <cfRule type="expression" dxfId="276" priority="444">
      <formula>AND($A29="clikt",$J29&lt;&gt;"GOOD")</formula>
    </cfRule>
    <cfRule type="expression" dxfId="275" priority="445">
      <formula>$J29="GOOD"</formula>
    </cfRule>
  </conditionalFormatting>
  <conditionalFormatting sqref="I21">
    <cfRule type="expression" dxfId="274" priority="416">
      <formula>AND($A21="clikt",$J21&lt;&gt;"GOOD")</formula>
    </cfRule>
    <cfRule type="expression" dxfId="273" priority="417">
      <formula>$J21="GOOD"</formula>
    </cfRule>
  </conditionalFormatting>
  <conditionalFormatting sqref="I22">
    <cfRule type="expression" dxfId="272" priority="414">
      <formula>AND($A22="clikt",$J22&lt;&gt;"GOOD")</formula>
    </cfRule>
    <cfRule type="expression" dxfId="271" priority="415">
      <formula>$J22="GOOD"</formula>
    </cfRule>
  </conditionalFormatting>
  <conditionalFormatting sqref="I23">
    <cfRule type="expression" dxfId="270" priority="412">
      <formula>AND($A23="clikt",$J23&lt;&gt;"GOOD")</formula>
    </cfRule>
    <cfRule type="expression" dxfId="269" priority="413">
      <formula>$J23="GOOD"</formula>
    </cfRule>
  </conditionalFormatting>
  <conditionalFormatting sqref="I24">
    <cfRule type="expression" dxfId="268" priority="410">
      <formula>AND($A24="clikt",$J24&lt;&gt;"GOOD")</formula>
    </cfRule>
    <cfRule type="expression" dxfId="267" priority="411">
      <formula>$J24="GOOD"</formula>
    </cfRule>
  </conditionalFormatting>
  <conditionalFormatting sqref="I25">
    <cfRule type="expression" dxfId="266" priority="408">
      <formula>AND($A25="clikt",$J25&lt;&gt;"GOOD")</formula>
    </cfRule>
    <cfRule type="expression" dxfId="265" priority="409">
      <formula>$J25="GOOD"</formula>
    </cfRule>
  </conditionalFormatting>
  <conditionalFormatting sqref="I26">
    <cfRule type="expression" dxfId="264" priority="406">
      <formula>AND($A26="clikt",$J26&lt;&gt;"GOOD")</formula>
    </cfRule>
    <cfRule type="expression" dxfId="263" priority="407">
      <formula>$J26="GOOD"</formula>
    </cfRule>
  </conditionalFormatting>
  <conditionalFormatting sqref="I27">
    <cfRule type="expression" dxfId="262" priority="404">
      <formula>AND($A27="clikt",$J27&lt;&gt;"GOOD")</formula>
    </cfRule>
    <cfRule type="expression" dxfId="261" priority="405">
      <formula>$J27="GOOD"</formula>
    </cfRule>
  </conditionalFormatting>
  <conditionalFormatting sqref="I28">
    <cfRule type="expression" dxfId="260" priority="402">
      <formula>AND($A28="clikt",$J28&lt;&gt;"GOOD")</formula>
    </cfRule>
    <cfRule type="expression" dxfId="259" priority="403">
      <formula>$J28="GOOD"</formula>
    </cfRule>
  </conditionalFormatting>
  <conditionalFormatting sqref="I29">
    <cfRule type="expression" dxfId="258" priority="400">
      <formula>AND($A29="clikt",$J29&lt;&gt;"GOOD")</formula>
    </cfRule>
    <cfRule type="expression" dxfId="257" priority="401">
      <formula>$J29="GOOD"</formula>
    </cfRule>
  </conditionalFormatting>
  <conditionalFormatting sqref="J21">
    <cfRule type="cellIs" priority="372" operator="between">
      <formula>1</formula>
      <formula>2</formula>
    </cfRule>
    <cfRule type="cellIs" dxfId="256" priority="373" operator="equal">
      <formula>"""GOOD"""</formula>
    </cfRule>
  </conditionalFormatting>
  <conditionalFormatting sqref="J22">
    <cfRule type="cellIs" priority="370" operator="between">
      <formula>1</formula>
      <formula>2</formula>
    </cfRule>
    <cfRule type="cellIs" dxfId="255" priority="371" operator="equal">
      <formula>"""GOOD"""</formula>
    </cfRule>
  </conditionalFormatting>
  <conditionalFormatting sqref="J23">
    <cfRule type="cellIs" priority="368" operator="between">
      <formula>1</formula>
      <formula>2</formula>
    </cfRule>
    <cfRule type="cellIs" dxfId="254" priority="369" operator="equal">
      <formula>"""GOOD"""</formula>
    </cfRule>
  </conditionalFormatting>
  <conditionalFormatting sqref="J24">
    <cfRule type="cellIs" priority="366" operator="between">
      <formula>1</formula>
      <formula>2</formula>
    </cfRule>
    <cfRule type="cellIs" dxfId="253" priority="367" operator="equal">
      <formula>"""GOOD"""</formula>
    </cfRule>
  </conditionalFormatting>
  <conditionalFormatting sqref="J25">
    <cfRule type="cellIs" priority="364" operator="between">
      <formula>1</formula>
      <formula>2</formula>
    </cfRule>
    <cfRule type="cellIs" dxfId="252" priority="365" operator="equal">
      <formula>"""GOOD"""</formula>
    </cfRule>
  </conditionalFormatting>
  <conditionalFormatting sqref="J26">
    <cfRule type="cellIs" priority="362" operator="between">
      <formula>1</formula>
      <formula>2</formula>
    </cfRule>
    <cfRule type="cellIs" dxfId="251" priority="363" operator="equal">
      <formula>"""GOOD"""</formula>
    </cfRule>
  </conditionalFormatting>
  <conditionalFormatting sqref="J27">
    <cfRule type="cellIs" priority="360" operator="between">
      <formula>1</formula>
      <formula>2</formula>
    </cfRule>
    <cfRule type="cellIs" dxfId="250" priority="361" operator="equal">
      <formula>"""GOOD"""</formula>
    </cfRule>
  </conditionalFormatting>
  <conditionalFormatting sqref="J28">
    <cfRule type="cellIs" priority="358" operator="between">
      <formula>1</formula>
      <formula>2</formula>
    </cfRule>
    <cfRule type="cellIs" dxfId="249" priority="359" operator="equal">
      <formula>"""GOOD"""</formula>
    </cfRule>
  </conditionalFormatting>
  <conditionalFormatting sqref="J29">
    <cfRule type="cellIs" priority="356" operator="between">
      <formula>1</formula>
      <formula>2</formula>
    </cfRule>
    <cfRule type="cellIs" dxfId="248" priority="357" operator="equal">
      <formula>"""GOOD"""</formula>
    </cfRule>
  </conditionalFormatting>
  <conditionalFormatting sqref="J30">
    <cfRule type="cellIs" priority="354" operator="between">
      <formula>1</formula>
      <formula>2</formula>
    </cfRule>
    <cfRule type="cellIs" dxfId="247" priority="355" operator="equal">
      <formula>"""GOOD"""</formula>
    </cfRule>
  </conditionalFormatting>
  <conditionalFormatting sqref="J31">
    <cfRule type="cellIs" priority="352" operator="between">
      <formula>1</formula>
      <formula>2</formula>
    </cfRule>
    <cfRule type="cellIs" dxfId="246" priority="353" operator="equal">
      <formula>"""GOOD"""</formula>
    </cfRule>
  </conditionalFormatting>
  <conditionalFormatting sqref="J32">
    <cfRule type="cellIs" priority="350" operator="between">
      <formula>1</formula>
      <formula>2</formula>
    </cfRule>
    <cfRule type="cellIs" dxfId="245" priority="351" operator="equal">
      <formula>"""GOOD"""</formula>
    </cfRule>
  </conditionalFormatting>
  <conditionalFormatting sqref="G8">
    <cfRule type="expression" dxfId="244" priority="329" stopIfTrue="1">
      <formula>$G$4&lt;&gt;"PRACTICE"</formula>
    </cfRule>
    <cfRule type="expression" dxfId="243" priority="330">
      <formula>AND($A8="clikt",$J8&lt;&gt;"GOOD")</formula>
    </cfRule>
    <cfRule type="expression" dxfId="242" priority="331">
      <formula>$J8="GOOD"</formula>
    </cfRule>
  </conditionalFormatting>
  <conditionalFormatting sqref="O8">
    <cfRule type="expression" dxfId="241" priority="322">
      <formula>OR($O8&lt;&gt;"",$P8&lt;&gt;"",$Q8&lt;&gt;"")</formula>
    </cfRule>
  </conditionalFormatting>
  <conditionalFormatting sqref="P8">
    <cfRule type="expression" dxfId="240" priority="321">
      <formula>OR($O8&lt;&gt;"",$P8&lt;&gt;"",$Q8&lt;&gt;"")</formula>
    </cfRule>
  </conditionalFormatting>
  <conditionalFormatting sqref="Q8">
    <cfRule type="expression" dxfId="239" priority="320">
      <formula>OR($O8&lt;&gt;"",$P8&lt;&gt;"",$Q8&lt;&gt;"")</formula>
    </cfRule>
  </conditionalFormatting>
  <conditionalFormatting sqref="H7">
    <cfRule type="expression" dxfId="238" priority="317" stopIfTrue="1">
      <formula>$G$4&lt;&gt;"PRACTICE"</formula>
    </cfRule>
    <cfRule type="expression" dxfId="237" priority="318">
      <formula>AND($A7="clikt",$J7&lt;&gt;"GOOD")</formula>
    </cfRule>
    <cfRule type="expression" dxfId="236" priority="319">
      <formula>$J7="GOOD"</formula>
    </cfRule>
  </conditionalFormatting>
  <conditionalFormatting sqref="I7">
    <cfRule type="expression" dxfId="235" priority="314" stopIfTrue="1">
      <formula>$G$4&lt;&gt;"PRACTICE"</formula>
    </cfRule>
    <cfRule type="expression" dxfId="234" priority="315">
      <formula>AND($A7="clikt",$J7&lt;&gt;"GOOD")</formula>
    </cfRule>
    <cfRule type="expression" dxfId="233" priority="316">
      <formula>$J7="GOOD"</formula>
    </cfRule>
  </conditionalFormatting>
  <conditionalFormatting sqref="H8">
    <cfRule type="expression" dxfId="232" priority="311" stopIfTrue="1">
      <formula>$G$4&lt;&gt;"PRACTICE"</formula>
    </cfRule>
    <cfRule type="expression" dxfId="231" priority="312">
      <formula>AND($A8="clikt",$J8&lt;&gt;"GOOD")</formula>
    </cfRule>
    <cfRule type="expression" dxfId="230" priority="313">
      <formula>$J8="GOOD"</formula>
    </cfRule>
  </conditionalFormatting>
  <conditionalFormatting sqref="I8">
    <cfRule type="expression" dxfId="229" priority="308" stopIfTrue="1">
      <formula>$G$4&lt;&gt;"PRACTICE"</formula>
    </cfRule>
    <cfRule type="expression" dxfId="228" priority="309">
      <formula>AND($A8="clikt",$J8&lt;&gt;"GOOD")</formula>
    </cfRule>
    <cfRule type="expression" dxfId="227" priority="310">
      <formula>$J8="GOOD"</formula>
    </cfRule>
  </conditionalFormatting>
  <conditionalFormatting sqref="G9">
    <cfRule type="expression" dxfId="226" priority="305" stopIfTrue="1">
      <formula>$G$4&lt;&gt;"PRACTICE"</formula>
    </cfRule>
    <cfRule type="expression" dxfId="225" priority="306">
      <formula>AND($A9="clikt",$J9&lt;&gt;"GOOD")</formula>
    </cfRule>
    <cfRule type="expression" dxfId="224" priority="307">
      <formula>$J9="GOOD"</formula>
    </cfRule>
  </conditionalFormatting>
  <conditionalFormatting sqref="H9">
    <cfRule type="expression" dxfId="223" priority="302" stopIfTrue="1">
      <formula>$G$4&lt;&gt;"PRACTICE"</formula>
    </cfRule>
    <cfRule type="expression" dxfId="222" priority="303">
      <formula>AND($A9="clikt",$J9&lt;&gt;"GOOD")</formula>
    </cfRule>
    <cfRule type="expression" dxfId="221" priority="304">
      <formula>$J9="GOOD"</formula>
    </cfRule>
  </conditionalFormatting>
  <conditionalFormatting sqref="I9">
    <cfRule type="expression" dxfId="220" priority="299" stopIfTrue="1">
      <formula>$G$4&lt;&gt;"PRACTICE"</formula>
    </cfRule>
    <cfRule type="expression" dxfId="219" priority="300">
      <formula>AND($A9="clikt",$J9&lt;&gt;"GOOD")</formula>
    </cfRule>
    <cfRule type="expression" dxfId="218" priority="301">
      <formula>$J9="GOOD"</formula>
    </cfRule>
  </conditionalFormatting>
  <conditionalFormatting sqref="G10">
    <cfRule type="expression" dxfId="217" priority="296" stopIfTrue="1">
      <formula>$G$4&lt;&gt;"PRACTICE"</formula>
    </cfRule>
    <cfRule type="expression" dxfId="216" priority="297">
      <formula>AND($A10="clikt",$J10&lt;&gt;"GOOD")</formula>
    </cfRule>
    <cfRule type="expression" dxfId="215" priority="298">
      <formula>$J10="GOOD"</formula>
    </cfRule>
  </conditionalFormatting>
  <conditionalFormatting sqref="H10">
    <cfRule type="expression" dxfId="214" priority="293" stopIfTrue="1">
      <formula>$G$4&lt;&gt;"PRACTICE"</formula>
    </cfRule>
    <cfRule type="expression" dxfId="213" priority="294">
      <formula>AND($A10="clikt",$J10&lt;&gt;"GOOD")</formula>
    </cfRule>
    <cfRule type="expression" dxfId="212" priority="295">
      <formula>$J10="GOOD"</formula>
    </cfRule>
  </conditionalFormatting>
  <conditionalFormatting sqref="I10">
    <cfRule type="expression" dxfId="211" priority="290" stopIfTrue="1">
      <formula>$G$4&lt;&gt;"PRACTICE"</formula>
    </cfRule>
    <cfRule type="expression" dxfId="210" priority="291">
      <formula>AND($A10="clikt",$J10&lt;&gt;"GOOD")</formula>
    </cfRule>
    <cfRule type="expression" dxfId="209" priority="292">
      <formula>$J10="GOOD"</formula>
    </cfRule>
  </conditionalFormatting>
  <conditionalFormatting sqref="G11">
    <cfRule type="expression" dxfId="208" priority="287" stopIfTrue="1">
      <formula>$G$4&lt;&gt;"PRACTICE"</formula>
    </cfRule>
    <cfRule type="expression" dxfId="207" priority="288">
      <formula>AND($A11="clikt",$J11&lt;&gt;"GOOD")</formula>
    </cfRule>
    <cfRule type="expression" dxfId="206" priority="289">
      <formula>$J11="GOOD"</formula>
    </cfRule>
  </conditionalFormatting>
  <conditionalFormatting sqref="H11">
    <cfRule type="expression" dxfId="205" priority="284" stopIfTrue="1">
      <formula>$G$4&lt;&gt;"PRACTICE"</formula>
    </cfRule>
    <cfRule type="expression" dxfId="204" priority="285">
      <formula>AND($A11="clikt",$J11&lt;&gt;"GOOD")</formula>
    </cfRule>
    <cfRule type="expression" dxfId="203" priority="286">
      <formula>$J11="GOOD"</formula>
    </cfRule>
  </conditionalFormatting>
  <conditionalFormatting sqref="I11">
    <cfRule type="expression" dxfId="202" priority="281" stopIfTrue="1">
      <formula>$G$4&lt;&gt;"PRACTICE"</formula>
    </cfRule>
    <cfRule type="expression" dxfId="201" priority="282">
      <formula>AND($A11="clikt",$J11&lt;&gt;"GOOD")</formula>
    </cfRule>
    <cfRule type="expression" dxfId="200" priority="283">
      <formula>$J11="GOOD"</formula>
    </cfRule>
  </conditionalFormatting>
  <conditionalFormatting sqref="G12">
    <cfRule type="expression" dxfId="199" priority="278" stopIfTrue="1">
      <formula>$G$4&lt;&gt;"PRACTICE"</formula>
    </cfRule>
    <cfRule type="expression" dxfId="198" priority="279">
      <formula>AND($A12="clikt",$J12&lt;&gt;"GOOD")</formula>
    </cfRule>
    <cfRule type="expression" dxfId="197" priority="280">
      <formula>$J12="GOOD"</formula>
    </cfRule>
  </conditionalFormatting>
  <conditionalFormatting sqref="H12">
    <cfRule type="expression" dxfId="196" priority="275" stopIfTrue="1">
      <formula>$G$4&lt;&gt;"PRACTICE"</formula>
    </cfRule>
    <cfRule type="expression" dxfId="195" priority="276">
      <formula>AND($A12="clikt",$J12&lt;&gt;"GOOD")</formula>
    </cfRule>
    <cfRule type="expression" dxfId="194" priority="277">
      <formula>$J12="GOOD"</formula>
    </cfRule>
  </conditionalFormatting>
  <conditionalFormatting sqref="I12">
    <cfRule type="expression" dxfId="193" priority="272" stopIfTrue="1">
      <formula>$G$4&lt;&gt;"PRACTICE"</formula>
    </cfRule>
    <cfRule type="expression" dxfId="192" priority="273">
      <formula>AND($A12="clikt",$J12&lt;&gt;"GOOD")</formula>
    </cfRule>
    <cfRule type="expression" dxfId="191" priority="274">
      <formula>$J12="GOOD"</formula>
    </cfRule>
  </conditionalFormatting>
  <conditionalFormatting sqref="G13">
    <cfRule type="expression" dxfId="190" priority="269" stopIfTrue="1">
      <formula>$G$4&lt;&gt;"PRACTICE"</formula>
    </cfRule>
    <cfRule type="expression" dxfId="189" priority="270">
      <formula>AND($A13="clikt",$J13&lt;&gt;"GOOD")</formula>
    </cfRule>
    <cfRule type="expression" dxfId="188" priority="271">
      <formula>$J13="GOOD"</formula>
    </cfRule>
  </conditionalFormatting>
  <conditionalFormatting sqref="H13">
    <cfRule type="expression" dxfId="187" priority="266" stopIfTrue="1">
      <formula>$G$4&lt;&gt;"PRACTICE"</formula>
    </cfRule>
    <cfRule type="expression" dxfId="186" priority="267">
      <formula>AND($A13="clikt",$J13&lt;&gt;"GOOD")</formula>
    </cfRule>
    <cfRule type="expression" dxfId="185" priority="268">
      <formula>$J13="GOOD"</formula>
    </cfRule>
  </conditionalFormatting>
  <conditionalFormatting sqref="I13">
    <cfRule type="expression" dxfId="184" priority="263" stopIfTrue="1">
      <formula>$G$4&lt;&gt;"PRACTICE"</formula>
    </cfRule>
    <cfRule type="expression" dxfId="183" priority="264">
      <formula>AND($A13="clikt",$J13&lt;&gt;"GOOD")</formula>
    </cfRule>
    <cfRule type="expression" dxfId="182" priority="265">
      <formula>$J13="GOOD"</formula>
    </cfRule>
  </conditionalFormatting>
  <conditionalFormatting sqref="G14">
    <cfRule type="expression" dxfId="181" priority="260" stopIfTrue="1">
      <formula>$G$4&lt;&gt;"PRACTICE"</formula>
    </cfRule>
    <cfRule type="expression" dxfId="180" priority="261">
      <formula>AND($A14="clikt",$J14&lt;&gt;"GOOD")</formula>
    </cfRule>
    <cfRule type="expression" dxfId="179" priority="262">
      <formula>$J14="GOOD"</formula>
    </cfRule>
  </conditionalFormatting>
  <conditionalFormatting sqref="H14">
    <cfRule type="expression" dxfId="178" priority="257" stopIfTrue="1">
      <formula>$G$4&lt;&gt;"PRACTICE"</formula>
    </cfRule>
    <cfRule type="expression" dxfId="177" priority="258">
      <formula>AND($A14="clikt",$J14&lt;&gt;"GOOD")</formula>
    </cfRule>
    <cfRule type="expression" dxfId="176" priority="259">
      <formula>$J14="GOOD"</formula>
    </cfRule>
  </conditionalFormatting>
  <conditionalFormatting sqref="I14">
    <cfRule type="expression" dxfId="175" priority="254" stopIfTrue="1">
      <formula>$G$4&lt;&gt;"PRACTICE"</formula>
    </cfRule>
    <cfRule type="expression" dxfId="174" priority="255">
      <formula>AND($A14="clikt",$J14&lt;&gt;"GOOD")</formula>
    </cfRule>
    <cfRule type="expression" dxfId="173" priority="256">
      <formula>$J14="GOOD"</formula>
    </cfRule>
  </conditionalFormatting>
  <conditionalFormatting sqref="G15">
    <cfRule type="expression" dxfId="172" priority="251" stopIfTrue="1">
      <formula>$G$4&lt;&gt;"PRACTICE"</formula>
    </cfRule>
    <cfRule type="expression" dxfId="171" priority="252">
      <formula>AND($A15="clikt",$J15&lt;&gt;"GOOD")</formula>
    </cfRule>
    <cfRule type="expression" dxfId="170" priority="253">
      <formula>$J15="GOOD"</formula>
    </cfRule>
  </conditionalFormatting>
  <conditionalFormatting sqref="H15">
    <cfRule type="expression" dxfId="169" priority="248" stopIfTrue="1">
      <formula>$G$4&lt;&gt;"PRACTICE"</formula>
    </cfRule>
    <cfRule type="expression" dxfId="168" priority="249">
      <formula>AND($A15="clikt",$J15&lt;&gt;"GOOD")</formula>
    </cfRule>
    <cfRule type="expression" dxfId="167" priority="250">
      <formula>$J15="GOOD"</formula>
    </cfRule>
  </conditionalFormatting>
  <conditionalFormatting sqref="I15">
    <cfRule type="expression" dxfId="166" priority="245" stopIfTrue="1">
      <formula>$G$4&lt;&gt;"PRACTICE"</formula>
    </cfRule>
    <cfRule type="expression" dxfId="165" priority="246">
      <formula>AND($A15="clikt",$J15&lt;&gt;"GOOD")</formula>
    </cfRule>
    <cfRule type="expression" dxfId="164" priority="247">
      <formula>$J15="GOOD"</formula>
    </cfRule>
  </conditionalFormatting>
  <conditionalFormatting sqref="G16">
    <cfRule type="expression" dxfId="163" priority="242" stopIfTrue="1">
      <formula>$G$4&lt;&gt;"PRACTICE"</formula>
    </cfRule>
    <cfRule type="expression" dxfId="162" priority="243">
      <formula>AND($A16="clikt",$J16&lt;&gt;"GOOD")</formula>
    </cfRule>
    <cfRule type="expression" dxfId="161" priority="244">
      <formula>$J16="GOOD"</formula>
    </cfRule>
  </conditionalFormatting>
  <conditionalFormatting sqref="H16">
    <cfRule type="expression" dxfId="160" priority="239" stopIfTrue="1">
      <formula>$G$4&lt;&gt;"PRACTICE"</formula>
    </cfRule>
    <cfRule type="expression" dxfId="159" priority="240">
      <formula>AND($A16="clikt",$J16&lt;&gt;"GOOD")</formula>
    </cfRule>
    <cfRule type="expression" dxfId="158" priority="241">
      <formula>$J16="GOOD"</formula>
    </cfRule>
  </conditionalFormatting>
  <conditionalFormatting sqref="I16">
    <cfRule type="expression" dxfId="157" priority="236" stopIfTrue="1">
      <formula>$G$4&lt;&gt;"PRACTICE"</formula>
    </cfRule>
    <cfRule type="expression" dxfId="156" priority="237">
      <formula>AND($A16="clikt",$J16&lt;&gt;"GOOD")</formula>
    </cfRule>
    <cfRule type="expression" dxfId="155" priority="238">
      <formula>$J16="GOOD"</formula>
    </cfRule>
  </conditionalFormatting>
  <conditionalFormatting sqref="G17">
    <cfRule type="expression" dxfId="154" priority="233" stopIfTrue="1">
      <formula>$G$4&lt;&gt;"PRACTICE"</formula>
    </cfRule>
    <cfRule type="expression" dxfId="153" priority="234">
      <formula>AND($A17="clikt",$J17&lt;&gt;"GOOD")</formula>
    </cfRule>
    <cfRule type="expression" dxfId="152" priority="235">
      <formula>$J17="GOOD"</formula>
    </cfRule>
  </conditionalFormatting>
  <conditionalFormatting sqref="H17">
    <cfRule type="expression" dxfId="151" priority="230" stopIfTrue="1">
      <formula>$G$4&lt;&gt;"PRACTICE"</formula>
    </cfRule>
    <cfRule type="expression" dxfId="150" priority="231">
      <formula>AND($A17="clikt",$J17&lt;&gt;"GOOD")</formula>
    </cfRule>
    <cfRule type="expression" dxfId="149" priority="232">
      <formula>$J17="GOOD"</formula>
    </cfRule>
  </conditionalFormatting>
  <conditionalFormatting sqref="I17">
    <cfRule type="expression" dxfId="148" priority="227" stopIfTrue="1">
      <formula>$G$4&lt;&gt;"PRACTICE"</formula>
    </cfRule>
    <cfRule type="expression" dxfId="147" priority="228">
      <formula>AND($A17="clikt",$J17&lt;&gt;"GOOD")</formula>
    </cfRule>
    <cfRule type="expression" dxfId="146" priority="229">
      <formula>$J17="GOOD"</formula>
    </cfRule>
  </conditionalFormatting>
  <conditionalFormatting sqref="G18">
    <cfRule type="expression" dxfId="145" priority="224" stopIfTrue="1">
      <formula>$G$4&lt;&gt;"PRACTICE"</formula>
    </cfRule>
    <cfRule type="expression" dxfId="144" priority="225">
      <formula>AND($A18="clikt",$J18&lt;&gt;"GOOD")</formula>
    </cfRule>
    <cfRule type="expression" dxfId="143" priority="226">
      <formula>$J18="GOOD"</formula>
    </cfRule>
  </conditionalFormatting>
  <conditionalFormatting sqref="H18">
    <cfRule type="expression" dxfId="142" priority="221" stopIfTrue="1">
      <formula>$G$4&lt;&gt;"PRACTICE"</formula>
    </cfRule>
    <cfRule type="expression" dxfId="141" priority="222">
      <formula>AND($A18="clikt",$J18&lt;&gt;"GOOD")</formula>
    </cfRule>
    <cfRule type="expression" dxfId="140" priority="223">
      <formula>$J18="GOOD"</formula>
    </cfRule>
  </conditionalFormatting>
  <conditionalFormatting sqref="I18">
    <cfRule type="expression" dxfId="139" priority="218" stopIfTrue="1">
      <formula>$G$4&lt;&gt;"PRACTICE"</formula>
    </cfRule>
    <cfRule type="expression" dxfId="138" priority="219">
      <formula>AND($A18="clikt",$J18&lt;&gt;"GOOD")</formula>
    </cfRule>
    <cfRule type="expression" dxfId="137" priority="220">
      <formula>$J18="GOOD"</formula>
    </cfRule>
  </conditionalFormatting>
  <conditionalFormatting sqref="G19">
    <cfRule type="expression" dxfId="136" priority="215" stopIfTrue="1">
      <formula>$G$4&lt;&gt;"PRACTICE"</formula>
    </cfRule>
    <cfRule type="expression" dxfId="135" priority="216">
      <formula>AND($A19="clikt",$J19&lt;&gt;"GOOD")</formula>
    </cfRule>
    <cfRule type="expression" dxfId="134" priority="217">
      <formula>$J19="GOOD"</formula>
    </cfRule>
  </conditionalFormatting>
  <conditionalFormatting sqref="H19">
    <cfRule type="expression" dxfId="133" priority="212" stopIfTrue="1">
      <formula>$G$4&lt;&gt;"PRACTICE"</formula>
    </cfRule>
    <cfRule type="expression" dxfId="132" priority="213">
      <formula>AND($A19="clikt",$J19&lt;&gt;"GOOD")</formula>
    </cfRule>
    <cfRule type="expression" dxfId="131" priority="214">
      <formula>$J19="GOOD"</formula>
    </cfRule>
  </conditionalFormatting>
  <conditionalFormatting sqref="I19">
    <cfRule type="expression" dxfId="130" priority="209" stopIfTrue="1">
      <formula>$G$4&lt;&gt;"PRACTICE"</formula>
    </cfRule>
    <cfRule type="expression" dxfId="129" priority="210">
      <formula>AND($A19="clikt",$J19&lt;&gt;"GOOD")</formula>
    </cfRule>
    <cfRule type="expression" dxfId="128" priority="211">
      <formula>$J19="GOOD"</formula>
    </cfRule>
  </conditionalFormatting>
  <conditionalFormatting sqref="G20">
    <cfRule type="expression" dxfId="127" priority="206" stopIfTrue="1">
      <formula>$G$4&lt;&gt;"PRACTICE"</formula>
    </cfRule>
    <cfRule type="expression" dxfId="126" priority="207">
      <formula>AND($A20="clikt",$J20&lt;&gt;"GOOD")</formula>
    </cfRule>
    <cfRule type="expression" dxfId="125" priority="208">
      <formula>$J20="GOOD"</formula>
    </cfRule>
  </conditionalFormatting>
  <conditionalFormatting sqref="H20">
    <cfRule type="expression" dxfId="124" priority="203" stopIfTrue="1">
      <formula>$G$4&lt;&gt;"PRACTICE"</formula>
    </cfRule>
    <cfRule type="expression" dxfId="123" priority="204">
      <formula>AND($A20="clikt",$J20&lt;&gt;"GOOD")</formula>
    </cfRule>
    <cfRule type="expression" dxfId="122" priority="205">
      <formula>$J20="GOOD"</formula>
    </cfRule>
  </conditionalFormatting>
  <conditionalFormatting sqref="I20">
    <cfRule type="expression" dxfId="121" priority="200" stopIfTrue="1">
      <formula>$G$4&lt;&gt;"PRACTICE"</formula>
    </cfRule>
    <cfRule type="expression" dxfId="120" priority="201">
      <formula>AND($A20="clikt",$J20&lt;&gt;"GOOD")</formula>
    </cfRule>
    <cfRule type="expression" dxfId="119" priority="202">
      <formula>$J20="GOOD"</formula>
    </cfRule>
  </conditionalFormatting>
  <conditionalFormatting sqref="O9">
    <cfRule type="expression" dxfId="118" priority="199">
      <formula>OR($O9&lt;&gt;"",$P9&lt;&gt;"",$Q9&lt;&gt;"")</formula>
    </cfRule>
  </conditionalFormatting>
  <conditionalFormatting sqref="O10">
    <cfRule type="expression" dxfId="117" priority="198">
      <formula>OR($O10&lt;&gt;"",$P10&lt;&gt;"",$Q10&lt;&gt;"")</formula>
    </cfRule>
  </conditionalFormatting>
  <conditionalFormatting sqref="O11">
    <cfRule type="expression" dxfId="116" priority="197">
      <formula>OR($O11&lt;&gt;"",$P11&lt;&gt;"",$Q11&lt;&gt;"")</formula>
    </cfRule>
  </conditionalFormatting>
  <conditionalFormatting sqref="O12">
    <cfRule type="expression" dxfId="115" priority="196">
      <formula>OR($O12&lt;&gt;"",$P12&lt;&gt;"",$Q12&lt;&gt;"")</formula>
    </cfRule>
  </conditionalFormatting>
  <conditionalFormatting sqref="O13">
    <cfRule type="expression" dxfId="114" priority="195">
      <formula>OR($O13&lt;&gt;"",$P13&lt;&gt;"",$Q13&lt;&gt;"")</formula>
    </cfRule>
  </conditionalFormatting>
  <conditionalFormatting sqref="O14">
    <cfRule type="expression" dxfId="113" priority="194">
      <formula>OR($O14&lt;&gt;"",$P14&lt;&gt;"",$Q14&lt;&gt;"")</formula>
    </cfRule>
  </conditionalFormatting>
  <conditionalFormatting sqref="O15">
    <cfRule type="expression" dxfId="112" priority="193">
      <formula>OR($O15&lt;&gt;"",$P15&lt;&gt;"",$Q15&lt;&gt;"")</formula>
    </cfRule>
  </conditionalFormatting>
  <conditionalFormatting sqref="O16">
    <cfRule type="expression" dxfId="111" priority="192">
      <formula>OR($O16&lt;&gt;"",$P16&lt;&gt;"",$Q16&lt;&gt;"")</formula>
    </cfRule>
  </conditionalFormatting>
  <conditionalFormatting sqref="O17">
    <cfRule type="expression" dxfId="110" priority="191">
      <formula>OR($O17&lt;&gt;"",$P17&lt;&gt;"",$Q17&lt;&gt;"")</formula>
    </cfRule>
  </conditionalFormatting>
  <conditionalFormatting sqref="O18">
    <cfRule type="expression" dxfId="109" priority="190">
      <formula>OR($O18&lt;&gt;"",$P18&lt;&gt;"",$Q18&lt;&gt;"")</formula>
    </cfRule>
  </conditionalFormatting>
  <conditionalFormatting sqref="O19">
    <cfRule type="expression" dxfId="108" priority="189">
      <formula>OR($O19&lt;&gt;"",$P19&lt;&gt;"",$Q19&lt;&gt;"")</formula>
    </cfRule>
  </conditionalFormatting>
  <conditionalFormatting sqref="O20">
    <cfRule type="expression" dxfId="107" priority="188">
      <formula>OR($O20&lt;&gt;"",$P20&lt;&gt;"",$Q20&lt;&gt;"")</formula>
    </cfRule>
  </conditionalFormatting>
  <conditionalFormatting sqref="P9">
    <cfRule type="expression" dxfId="106" priority="187">
      <formula>OR($O9&lt;&gt;"",$P9&lt;&gt;"",$Q9&lt;&gt;"")</formula>
    </cfRule>
  </conditionalFormatting>
  <conditionalFormatting sqref="P10">
    <cfRule type="expression" dxfId="105" priority="186">
      <formula>OR($O10&lt;&gt;"",$P10&lt;&gt;"",$Q10&lt;&gt;"")</formula>
    </cfRule>
  </conditionalFormatting>
  <conditionalFormatting sqref="P11">
    <cfRule type="expression" dxfId="104" priority="185">
      <formula>OR($O11&lt;&gt;"",$P11&lt;&gt;"",$Q11&lt;&gt;"")</formula>
    </cfRule>
  </conditionalFormatting>
  <conditionalFormatting sqref="P12">
    <cfRule type="expression" dxfId="103" priority="184">
      <formula>OR($O12&lt;&gt;"",$P12&lt;&gt;"",$Q12&lt;&gt;"")</formula>
    </cfRule>
  </conditionalFormatting>
  <conditionalFormatting sqref="P13">
    <cfRule type="expression" dxfId="102" priority="183">
      <formula>OR($O13&lt;&gt;"",$P13&lt;&gt;"",$Q13&lt;&gt;"")</formula>
    </cfRule>
  </conditionalFormatting>
  <conditionalFormatting sqref="P14">
    <cfRule type="expression" dxfId="101" priority="182">
      <formula>OR($O14&lt;&gt;"",$P14&lt;&gt;"",$Q14&lt;&gt;"")</formula>
    </cfRule>
  </conditionalFormatting>
  <conditionalFormatting sqref="P15">
    <cfRule type="expression" dxfId="100" priority="181">
      <formula>OR($O15&lt;&gt;"",$P15&lt;&gt;"",$Q15&lt;&gt;"")</formula>
    </cfRule>
  </conditionalFormatting>
  <conditionalFormatting sqref="P16">
    <cfRule type="expression" dxfId="99" priority="180">
      <formula>OR($O16&lt;&gt;"",$P16&lt;&gt;"",$Q16&lt;&gt;"")</formula>
    </cfRule>
  </conditionalFormatting>
  <conditionalFormatting sqref="P17">
    <cfRule type="expression" dxfId="98" priority="179">
      <formula>OR($O17&lt;&gt;"",$P17&lt;&gt;"",$Q17&lt;&gt;"")</formula>
    </cfRule>
  </conditionalFormatting>
  <conditionalFormatting sqref="P18">
    <cfRule type="expression" dxfId="97" priority="178">
      <formula>OR($O18&lt;&gt;"",$P18&lt;&gt;"",$Q18&lt;&gt;"")</formula>
    </cfRule>
  </conditionalFormatting>
  <conditionalFormatting sqref="P19">
    <cfRule type="expression" dxfId="96" priority="177">
      <formula>OR($O19&lt;&gt;"",$P19&lt;&gt;"",$Q19&lt;&gt;"")</formula>
    </cfRule>
  </conditionalFormatting>
  <conditionalFormatting sqref="P20">
    <cfRule type="expression" dxfId="95" priority="176">
      <formula>OR($O20&lt;&gt;"",$P20&lt;&gt;"",$Q20&lt;&gt;"")</formula>
    </cfRule>
  </conditionalFormatting>
  <conditionalFormatting sqref="Q9">
    <cfRule type="expression" dxfId="94" priority="175">
      <formula>OR($O9&lt;&gt;"",$P9&lt;&gt;"",$Q9&lt;&gt;"")</formula>
    </cfRule>
  </conditionalFormatting>
  <conditionalFormatting sqref="Q10">
    <cfRule type="expression" dxfId="93" priority="174">
      <formula>OR($O10&lt;&gt;"",$P10&lt;&gt;"",$Q10&lt;&gt;"")</formula>
    </cfRule>
  </conditionalFormatting>
  <conditionalFormatting sqref="Q11">
    <cfRule type="expression" dxfId="92" priority="173">
      <formula>OR($O11&lt;&gt;"",$P11&lt;&gt;"",$Q11&lt;&gt;"")</formula>
    </cfRule>
  </conditionalFormatting>
  <conditionalFormatting sqref="Q12">
    <cfRule type="expression" dxfId="91" priority="172">
      <formula>OR($O12&lt;&gt;"",$P12&lt;&gt;"",$Q12&lt;&gt;"")</formula>
    </cfRule>
  </conditionalFormatting>
  <conditionalFormatting sqref="Q13">
    <cfRule type="expression" dxfId="90" priority="171">
      <formula>OR($O13&lt;&gt;"",$P13&lt;&gt;"",$Q13&lt;&gt;"")</formula>
    </cfRule>
  </conditionalFormatting>
  <conditionalFormatting sqref="Q14">
    <cfRule type="expression" dxfId="89" priority="170">
      <formula>OR($O14&lt;&gt;"",$P14&lt;&gt;"",$Q14&lt;&gt;"")</formula>
    </cfRule>
  </conditionalFormatting>
  <conditionalFormatting sqref="Q15">
    <cfRule type="expression" dxfId="88" priority="169">
      <formula>OR($O15&lt;&gt;"",$P15&lt;&gt;"",$Q15&lt;&gt;"")</formula>
    </cfRule>
  </conditionalFormatting>
  <conditionalFormatting sqref="Q16">
    <cfRule type="expression" dxfId="87" priority="168">
      <formula>OR($O16&lt;&gt;"",$P16&lt;&gt;"",$Q16&lt;&gt;"")</formula>
    </cfRule>
  </conditionalFormatting>
  <conditionalFormatting sqref="Q17">
    <cfRule type="expression" dxfId="86" priority="167">
      <formula>OR($O17&lt;&gt;"",$P17&lt;&gt;"",$Q17&lt;&gt;"")</formula>
    </cfRule>
  </conditionalFormatting>
  <conditionalFormatting sqref="Q18">
    <cfRule type="expression" dxfId="85" priority="166">
      <formula>OR($O18&lt;&gt;"",$P18&lt;&gt;"",$Q18&lt;&gt;"")</formula>
    </cfRule>
  </conditionalFormatting>
  <conditionalFormatting sqref="Q19">
    <cfRule type="expression" dxfId="84" priority="165">
      <formula>OR($O19&lt;&gt;"",$P19&lt;&gt;"",$Q19&lt;&gt;"")</formula>
    </cfRule>
  </conditionalFormatting>
  <conditionalFormatting sqref="Q20">
    <cfRule type="expression" dxfId="83" priority="164">
      <formula>OR($O20&lt;&gt;"",$P20&lt;&gt;"",$Q20&lt;&gt;"")</formula>
    </cfRule>
  </conditionalFormatting>
  <conditionalFormatting sqref="R21">
    <cfRule type="expression" dxfId="82" priority="163">
      <formula>AND(O4="TEST",N21&gt;0)</formula>
    </cfRule>
  </conditionalFormatting>
  <conditionalFormatting sqref="J7">
    <cfRule type="expression" dxfId="81" priority="25" stopIfTrue="1">
      <formula>"$O$4=""TEST"""</formula>
    </cfRule>
    <cfRule type="expression" dxfId="80" priority="26">
      <formula>"And($O$4&lt;&gt;""TEST"",J7=""GOOD"")"</formula>
    </cfRule>
  </conditionalFormatting>
  <conditionalFormatting sqref="J8">
    <cfRule type="expression" dxfId="79" priority="23" stopIfTrue="1">
      <formula>"$O$4=""TEST"""</formula>
    </cfRule>
    <cfRule type="expression" dxfId="78" priority="24">
      <formula>"And($O$4&lt;&gt;""TEST"",J7=""GOOD"")"</formula>
    </cfRule>
  </conditionalFormatting>
  <conditionalFormatting sqref="J9">
    <cfRule type="expression" dxfId="77" priority="21" stopIfTrue="1">
      <formula>"$O$4=""TEST"""</formula>
    </cfRule>
    <cfRule type="expression" dxfId="76" priority="22">
      <formula>"And($O$4&lt;&gt;""TEST"",J7=""GOOD"")"</formula>
    </cfRule>
  </conditionalFormatting>
  <conditionalFormatting sqref="J10">
    <cfRule type="expression" dxfId="75" priority="19" stopIfTrue="1">
      <formula>"$O$4=""TEST"""</formula>
    </cfRule>
    <cfRule type="expression" dxfId="74" priority="20">
      <formula>"And($O$4&lt;&gt;""TEST"",J7=""GOOD"")"</formula>
    </cfRule>
  </conditionalFormatting>
  <conditionalFormatting sqref="J11">
    <cfRule type="expression" dxfId="73" priority="17" stopIfTrue="1">
      <formula>"$O$4=""TEST"""</formula>
    </cfRule>
    <cfRule type="expression" dxfId="72" priority="18">
      <formula>"And($O$4&lt;&gt;""TEST"",J7=""GOOD"")"</formula>
    </cfRule>
  </conditionalFormatting>
  <conditionalFormatting sqref="J12">
    <cfRule type="expression" dxfId="71" priority="15" stopIfTrue="1">
      <formula>"$O$4=""TEST"""</formula>
    </cfRule>
    <cfRule type="expression" dxfId="70" priority="16">
      <formula>"And($O$4&lt;&gt;""TEST"",J7=""GOOD"")"</formula>
    </cfRule>
  </conditionalFormatting>
  <conditionalFormatting sqref="J13">
    <cfRule type="expression" dxfId="69" priority="13" stopIfTrue="1">
      <formula>"$O$4=""TEST"""</formula>
    </cfRule>
    <cfRule type="expression" dxfId="68" priority="14">
      <formula>"And($O$4&lt;&gt;""TEST"",J7=""GOOD"")"</formula>
    </cfRule>
  </conditionalFormatting>
  <conditionalFormatting sqref="J14">
    <cfRule type="expression" dxfId="67" priority="11" stopIfTrue="1">
      <formula>"$O$4=""TEST"""</formula>
    </cfRule>
    <cfRule type="expression" dxfId="66" priority="12">
      <formula>"And($O$4&lt;&gt;""TEST"",J7=""GOOD"")"</formula>
    </cfRule>
  </conditionalFormatting>
  <conditionalFormatting sqref="J15">
    <cfRule type="expression" dxfId="65" priority="9" stopIfTrue="1">
      <formula>"$O$4=""TEST"""</formula>
    </cfRule>
    <cfRule type="expression" dxfId="64" priority="10">
      <formula>"And($O$4&lt;&gt;""TEST"",J7=""GOOD"")"</formula>
    </cfRule>
  </conditionalFormatting>
  <conditionalFormatting sqref="J16">
    <cfRule type="expression" dxfId="63" priority="7" stopIfTrue="1">
      <formula>"$O$4=""TEST"""</formula>
    </cfRule>
    <cfRule type="expression" dxfId="62" priority="8">
      <formula>"And($O$4&lt;&gt;""TEST"",J7=""GOOD"")"</formula>
    </cfRule>
  </conditionalFormatting>
  <conditionalFormatting sqref="J17">
    <cfRule type="expression" dxfId="61" priority="5" stopIfTrue="1">
      <formula>"$O$4=""TEST"""</formula>
    </cfRule>
    <cfRule type="expression" dxfId="60" priority="6">
      <formula>"And($O$4&lt;&gt;""TEST"",J7=""GOOD"")"</formula>
    </cfRule>
  </conditionalFormatting>
  <conditionalFormatting sqref="J18">
    <cfRule type="expression" dxfId="59" priority="3" stopIfTrue="1">
      <formula>"$O$4=""TEST"""</formula>
    </cfRule>
    <cfRule type="expression" dxfId="58" priority="4">
      <formula>"And($O$4&lt;&gt;""TEST"",J7=""GOOD"")"</formula>
    </cfRule>
  </conditionalFormatting>
  <conditionalFormatting sqref="J19">
    <cfRule type="expression" dxfId="57" priority="1" stopIfTrue="1">
      <formula>"$O$4=""TEST"""</formula>
    </cfRule>
    <cfRule type="expression" dxfId="56" priority="2">
      <formula>"And($O$4&lt;&gt;""TEST"",J7=""GOOD"")"</formula>
    </cfRule>
  </conditionalFormatting>
  <conditionalFormatting sqref="J20">
    <cfRule type="expression" dxfId="55" priority="29" stopIfTrue="1">
      <formula>"$O$4=""TEST"""</formula>
    </cfRule>
    <cfRule type="expression" dxfId="54" priority="30">
      <formula>"And($O$4&lt;&gt;""TEST"",J7=""GOOD"")"</formula>
    </cfRule>
  </conditionalFormatting>
  <hyperlinks>
    <hyperlink ref="P2" r:id="rId1" xr:uid="{D19F36AD-D22A-4D03-BAF0-251D19FBB8C8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6E81-7BA9-4EF4-9962-07EBDE8EC462}">
  <dimension ref="A1:L49"/>
  <sheetViews>
    <sheetView showGridLines="0" workbookViewId="0">
      <selection activeCell="M20" sqref="M20"/>
    </sheetView>
  </sheetViews>
  <sheetFormatPr defaultRowHeight="18"/>
  <cols>
    <col min="2" max="2" width="8.88671875" style="41"/>
    <col min="3" max="3" width="12.44140625" style="40" customWidth="1"/>
    <col min="5" max="5" width="8.88671875" style="88"/>
    <col min="6" max="6" width="8.88671875" style="62"/>
    <col min="11" max="11" width="8.88671875" style="6"/>
  </cols>
  <sheetData>
    <row r="1" spans="1:12" s="92" customFormat="1" ht="21.6" thickBot="1">
      <c r="A1" s="60" t="str">
        <f>[1]!wwsSetup("useHTTPS", TRUE)</f>
        <v>useHTTPS = "True"</v>
      </c>
      <c r="B1" s="60"/>
      <c r="C1" s="40"/>
      <c r="E1" s="41"/>
      <c r="F1" s="96" t="str">
        <f>[1]!wwsPrintButton("Print","")</f>
        <v>Print</v>
      </c>
      <c r="I1" s="94"/>
      <c r="K1" s="6"/>
    </row>
    <row r="2" spans="1:12" s="92" customFormat="1" ht="21">
      <c r="A2" s="60"/>
      <c r="B2" s="60"/>
      <c r="C2" s="97"/>
      <c r="D2" s="97"/>
      <c r="E2" s="60"/>
      <c r="G2" s="98"/>
      <c r="H2" s="143" t="s">
        <v>187</v>
      </c>
      <c r="I2" s="143"/>
      <c r="J2" s="143"/>
      <c r="K2" s="143"/>
      <c r="L2" s="143"/>
    </row>
    <row r="3" spans="1:12" ht="21">
      <c r="A3" s="144" t="s">
        <v>189</v>
      </c>
      <c r="B3" s="144"/>
      <c r="C3" s="144"/>
      <c r="D3" s="144"/>
      <c r="E3" s="144"/>
      <c r="F3" s="92"/>
      <c r="G3" s="98"/>
      <c r="H3" s="143"/>
      <c r="I3" s="143"/>
      <c r="J3" s="143"/>
      <c r="K3" s="143"/>
      <c r="L3" s="143"/>
    </row>
    <row r="4" spans="1:12">
      <c r="A4" s="92"/>
      <c r="B4" s="145" t="s">
        <v>188</v>
      </c>
      <c r="C4" s="145"/>
      <c r="D4" s="145"/>
      <c r="E4" s="145"/>
      <c r="F4" s="92"/>
      <c r="G4" s="98"/>
      <c r="H4" s="143"/>
      <c r="I4" s="143"/>
      <c r="J4" s="143"/>
      <c r="K4" s="143"/>
      <c r="L4" s="143"/>
    </row>
    <row r="6" spans="1:12">
      <c r="B6" s="43">
        <v>0</v>
      </c>
      <c r="C6" s="64" t="s">
        <v>193</v>
      </c>
      <c r="F6" s="64" t="s">
        <v>194</v>
      </c>
      <c r="H6" s="41"/>
      <c r="I6" s="64" t="s">
        <v>195</v>
      </c>
      <c r="J6" s="61"/>
      <c r="K6" s="64"/>
      <c r="L6" s="61"/>
    </row>
    <row r="7" spans="1:12" s="92" customFormat="1" ht="14.4" customHeight="1">
      <c r="B7" s="146" t="s">
        <v>190</v>
      </c>
      <c r="C7" s="146"/>
      <c r="D7" s="146"/>
      <c r="E7" s="147" t="s">
        <v>191</v>
      </c>
      <c r="F7" s="147"/>
      <c r="G7" s="147"/>
      <c r="H7" s="146" t="s">
        <v>192</v>
      </c>
      <c r="I7" s="146"/>
      <c r="J7" s="146"/>
      <c r="K7" s="6"/>
    </row>
    <row r="8" spans="1:12">
      <c r="C8" s="64" t="s">
        <v>181</v>
      </c>
      <c r="F8" s="64" t="s">
        <v>181</v>
      </c>
      <c r="I8" s="64" t="s">
        <v>182</v>
      </c>
      <c r="J8" s="61"/>
      <c r="K8" s="65"/>
      <c r="L8" s="65"/>
    </row>
    <row r="9" spans="1:12">
      <c r="B9" s="42">
        <v>1</v>
      </c>
      <c r="C9" s="89" t="s">
        <v>69</v>
      </c>
      <c r="E9" s="86">
        <v>1</v>
      </c>
      <c r="F9" s="87" t="s">
        <v>15</v>
      </c>
      <c r="G9" s="66"/>
      <c r="H9" s="86">
        <v>1</v>
      </c>
      <c r="I9" s="87" t="s">
        <v>29</v>
      </c>
      <c r="J9" s="66"/>
      <c r="K9" s="66"/>
      <c r="L9" s="66"/>
    </row>
    <row r="10" spans="1:12">
      <c r="B10" s="42">
        <v>2</v>
      </c>
      <c r="C10" s="89" t="s">
        <v>70</v>
      </c>
      <c r="E10" s="86">
        <v>2</v>
      </c>
      <c r="F10" s="87" t="s">
        <v>9</v>
      </c>
      <c r="G10" s="66"/>
      <c r="H10" s="86">
        <v>2</v>
      </c>
      <c r="I10" s="87" t="s">
        <v>15</v>
      </c>
      <c r="J10" s="66"/>
      <c r="K10" s="66"/>
      <c r="L10" s="66"/>
    </row>
    <row r="11" spans="1:12">
      <c r="B11" s="42">
        <v>3</v>
      </c>
      <c r="C11" s="89" t="s">
        <v>71</v>
      </c>
      <c r="E11" s="86">
        <v>3</v>
      </c>
      <c r="F11" s="87" t="s">
        <v>0</v>
      </c>
      <c r="G11" s="66"/>
      <c r="H11" s="86">
        <v>3</v>
      </c>
      <c r="I11" s="87" t="s">
        <v>9</v>
      </c>
      <c r="J11" s="66"/>
      <c r="K11" s="66"/>
      <c r="L11" s="66"/>
    </row>
    <row r="12" spans="1:12">
      <c r="B12" s="42">
        <v>4</v>
      </c>
      <c r="C12" s="89" t="s">
        <v>72</v>
      </c>
      <c r="E12" s="86">
        <v>4</v>
      </c>
      <c r="F12" s="87" t="s">
        <v>25</v>
      </c>
      <c r="G12" s="66"/>
      <c r="H12" s="86">
        <v>4</v>
      </c>
      <c r="I12" s="87" t="s">
        <v>20</v>
      </c>
      <c r="J12" s="66"/>
      <c r="K12" s="66"/>
      <c r="L12" s="66"/>
    </row>
    <row r="13" spans="1:12">
      <c r="B13" s="42">
        <v>5</v>
      </c>
      <c r="C13" s="89" t="s">
        <v>73</v>
      </c>
      <c r="E13" s="86">
        <v>5</v>
      </c>
      <c r="F13" s="87" t="s">
        <v>43</v>
      </c>
      <c r="G13" s="66"/>
      <c r="H13" s="86">
        <v>5</v>
      </c>
      <c r="I13" s="87" t="s">
        <v>178</v>
      </c>
      <c r="J13" s="66"/>
      <c r="K13" s="66"/>
      <c r="L13" s="66"/>
    </row>
    <row r="14" spans="1:12">
      <c r="B14" s="42">
        <v>6</v>
      </c>
      <c r="C14" s="89" t="s">
        <v>74</v>
      </c>
      <c r="E14" s="86">
        <v>6</v>
      </c>
      <c r="F14" s="87" t="s">
        <v>28</v>
      </c>
      <c r="G14" s="66"/>
      <c r="H14" s="86">
        <v>6</v>
      </c>
      <c r="I14" s="87" t="s">
        <v>16</v>
      </c>
      <c r="J14" s="66"/>
      <c r="K14" s="66"/>
      <c r="L14" s="66"/>
    </row>
    <row r="15" spans="1:12">
      <c r="B15" s="42">
        <v>7</v>
      </c>
      <c r="C15" s="89" t="s">
        <v>75</v>
      </c>
      <c r="E15" s="86">
        <v>7</v>
      </c>
      <c r="F15" s="87" t="s">
        <v>31</v>
      </c>
      <c r="G15" s="66"/>
      <c r="H15" s="86">
        <v>7</v>
      </c>
      <c r="I15" s="87" t="s">
        <v>183</v>
      </c>
      <c r="J15" s="66"/>
      <c r="K15" s="66"/>
      <c r="L15" s="66"/>
    </row>
    <row r="16" spans="1:12">
      <c r="B16" s="42">
        <v>8</v>
      </c>
      <c r="C16" s="89" t="s">
        <v>76</v>
      </c>
      <c r="E16" s="86">
        <v>8</v>
      </c>
      <c r="F16" s="87" t="s">
        <v>35</v>
      </c>
      <c r="G16" s="66"/>
      <c r="H16" s="86">
        <v>8</v>
      </c>
      <c r="I16" s="87" t="s">
        <v>46</v>
      </c>
      <c r="J16" s="66"/>
      <c r="K16" s="66"/>
      <c r="L16" s="66"/>
    </row>
    <row r="17" spans="2:12">
      <c r="B17" s="42">
        <v>9</v>
      </c>
      <c r="C17" s="89" t="s">
        <v>77</v>
      </c>
      <c r="E17" s="86">
        <v>9</v>
      </c>
      <c r="F17" s="87" t="s">
        <v>28</v>
      </c>
      <c r="G17" s="66"/>
      <c r="H17" s="86">
        <v>9</v>
      </c>
      <c r="I17" s="87" t="s">
        <v>41</v>
      </c>
      <c r="J17" s="66"/>
      <c r="K17" s="66"/>
      <c r="L17" s="66"/>
    </row>
    <row r="18" spans="2:12">
      <c r="B18" s="42">
        <v>10</v>
      </c>
      <c r="C18" s="89" t="s">
        <v>78</v>
      </c>
      <c r="E18" s="86">
        <v>10</v>
      </c>
      <c r="F18" s="87" t="s">
        <v>20</v>
      </c>
      <c r="G18" s="66"/>
      <c r="H18" s="86">
        <v>10</v>
      </c>
      <c r="I18" s="87" t="s">
        <v>33</v>
      </c>
      <c r="J18" s="66"/>
      <c r="K18" s="66"/>
      <c r="L18" s="66"/>
    </row>
    <row r="19" spans="2:12">
      <c r="B19" s="42">
        <v>11</v>
      </c>
      <c r="C19" s="89" t="s">
        <v>79</v>
      </c>
      <c r="E19" s="86">
        <v>11</v>
      </c>
      <c r="F19" s="87" t="s">
        <v>4</v>
      </c>
      <c r="G19" s="66"/>
      <c r="H19" s="86">
        <v>11</v>
      </c>
      <c r="I19" s="87" t="s">
        <v>68</v>
      </c>
      <c r="J19" s="66"/>
      <c r="K19" s="66"/>
      <c r="L19" s="66"/>
    </row>
    <row r="20" spans="2:12">
      <c r="B20" s="42">
        <v>12</v>
      </c>
      <c r="C20" s="89" t="s">
        <v>80</v>
      </c>
      <c r="E20" s="86">
        <v>12</v>
      </c>
      <c r="F20" s="87" t="s">
        <v>178</v>
      </c>
      <c r="G20" s="66"/>
      <c r="H20" s="86">
        <v>12</v>
      </c>
      <c r="I20" s="87" t="s">
        <v>39</v>
      </c>
      <c r="J20" s="66"/>
      <c r="K20" s="66"/>
      <c r="L20" s="66"/>
    </row>
    <row r="21" spans="2:12">
      <c r="B21" s="42">
        <v>13</v>
      </c>
      <c r="C21" s="89" t="s">
        <v>81</v>
      </c>
      <c r="E21" s="86">
        <v>13</v>
      </c>
      <c r="F21" s="87" t="s">
        <v>16</v>
      </c>
      <c r="G21" s="66"/>
      <c r="H21" s="86">
        <v>13</v>
      </c>
      <c r="I21" s="87" t="s">
        <v>24</v>
      </c>
      <c r="J21" s="66"/>
      <c r="K21" s="66"/>
      <c r="L21" s="66"/>
    </row>
    <row r="22" spans="2:12">
      <c r="B22" s="42">
        <v>14</v>
      </c>
      <c r="C22" s="89" t="s">
        <v>82</v>
      </c>
      <c r="E22" s="86">
        <v>14</v>
      </c>
      <c r="F22" s="87" t="s">
        <v>16</v>
      </c>
      <c r="G22" s="66"/>
      <c r="H22" s="86">
        <v>14</v>
      </c>
      <c r="I22" s="87" t="s">
        <v>38</v>
      </c>
      <c r="J22" s="66"/>
      <c r="K22" s="66"/>
      <c r="L22" s="66"/>
    </row>
    <row r="23" spans="2:12">
      <c r="B23" s="42">
        <v>15</v>
      </c>
      <c r="C23" s="89" t="s">
        <v>83</v>
      </c>
      <c r="E23" s="86">
        <v>15</v>
      </c>
      <c r="F23" s="87" t="s">
        <v>178</v>
      </c>
      <c r="G23" s="66"/>
      <c r="H23" s="66"/>
      <c r="I23" s="66"/>
      <c r="J23" s="66"/>
      <c r="K23" s="66"/>
      <c r="L23" s="66"/>
    </row>
    <row r="24" spans="2:12">
      <c r="B24" s="42">
        <v>16</v>
      </c>
      <c r="C24" s="89" t="s">
        <v>84</v>
      </c>
      <c r="E24" s="86">
        <v>16</v>
      </c>
      <c r="F24" s="87" t="s">
        <v>8</v>
      </c>
      <c r="G24" s="66"/>
      <c r="H24" s="66"/>
      <c r="I24" s="66"/>
      <c r="J24" s="66"/>
      <c r="K24" s="66"/>
      <c r="L24" s="66"/>
    </row>
    <row r="25" spans="2:12">
      <c r="B25" s="42">
        <v>17</v>
      </c>
      <c r="C25" s="89" t="s">
        <v>85</v>
      </c>
      <c r="E25" s="86">
        <v>17</v>
      </c>
      <c r="F25" s="87" t="s">
        <v>21</v>
      </c>
      <c r="G25" s="66"/>
      <c r="H25" s="66"/>
      <c r="I25" s="66"/>
      <c r="J25" s="66"/>
      <c r="K25" s="66"/>
      <c r="L25" s="66"/>
    </row>
    <row r="26" spans="2:12">
      <c r="B26" s="42">
        <v>18</v>
      </c>
      <c r="C26" s="89" t="s">
        <v>86</v>
      </c>
      <c r="E26" s="86">
        <v>18</v>
      </c>
      <c r="F26" s="87" t="s">
        <v>10</v>
      </c>
      <c r="G26" s="66"/>
      <c r="H26" s="66"/>
      <c r="I26" s="66"/>
      <c r="J26" s="66"/>
      <c r="K26" s="66"/>
      <c r="L26" s="66"/>
    </row>
    <row r="27" spans="2:12">
      <c r="B27" s="42">
        <v>19</v>
      </c>
      <c r="C27" s="89" t="s">
        <v>87</v>
      </c>
      <c r="E27" s="86">
        <v>19</v>
      </c>
      <c r="F27" s="87" t="s">
        <v>60</v>
      </c>
      <c r="G27" s="66"/>
      <c r="H27" s="66"/>
      <c r="I27" s="66"/>
      <c r="J27" s="66"/>
      <c r="K27" s="66"/>
      <c r="L27" s="66"/>
    </row>
    <row r="28" spans="2:12">
      <c r="B28" s="42">
        <v>20</v>
      </c>
      <c r="C28" s="89" t="s">
        <v>88</v>
      </c>
      <c r="E28" s="86">
        <v>20</v>
      </c>
      <c r="F28" s="87" t="s">
        <v>3</v>
      </c>
      <c r="G28" s="66"/>
      <c r="H28" s="66"/>
      <c r="I28" s="66"/>
      <c r="J28" s="66"/>
      <c r="K28" s="66"/>
      <c r="L28" s="66"/>
    </row>
    <row r="29" spans="2:12">
      <c r="B29" s="42">
        <v>21</v>
      </c>
      <c r="C29" s="89" t="s">
        <v>89</v>
      </c>
      <c r="E29" s="86">
        <v>21</v>
      </c>
      <c r="F29" s="87" t="s">
        <v>12</v>
      </c>
      <c r="G29" s="66"/>
      <c r="H29" s="66"/>
      <c r="I29" s="66"/>
      <c r="J29" s="66"/>
      <c r="K29" s="66"/>
      <c r="L29" s="66"/>
    </row>
    <row r="30" spans="2:12">
      <c r="B30" s="42">
        <v>22</v>
      </c>
      <c r="C30" s="89" t="s">
        <v>90</v>
      </c>
      <c r="E30" s="86">
        <v>22</v>
      </c>
      <c r="F30" s="87" t="s">
        <v>41</v>
      </c>
      <c r="G30" s="66"/>
      <c r="H30" s="66"/>
      <c r="I30" s="66"/>
      <c r="J30" s="66"/>
      <c r="K30" s="66"/>
      <c r="L30" s="66"/>
    </row>
    <row r="31" spans="2:12">
      <c r="B31" s="42">
        <v>23</v>
      </c>
      <c r="C31" s="89" t="s">
        <v>91</v>
      </c>
      <c r="E31" s="86">
        <v>23</v>
      </c>
      <c r="F31" s="87" t="s">
        <v>59</v>
      </c>
      <c r="G31" s="66"/>
      <c r="H31" s="66"/>
      <c r="I31" s="66"/>
      <c r="J31" s="66"/>
      <c r="K31" s="66"/>
      <c r="L31" s="66"/>
    </row>
    <row r="32" spans="2:12">
      <c r="B32" s="42">
        <v>24</v>
      </c>
      <c r="C32" s="89" t="s">
        <v>92</v>
      </c>
      <c r="E32" s="86">
        <v>24</v>
      </c>
      <c r="F32" s="87" t="s">
        <v>32</v>
      </c>
      <c r="G32" s="66"/>
      <c r="H32" s="66"/>
      <c r="I32" s="66"/>
      <c r="J32" s="66"/>
      <c r="K32" s="66"/>
      <c r="L32" s="66"/>
    </row>
    <row r="33" spans="2:12">
      <c r="B33" s="42">
        <v>25</v>
      </c>
      <c r="C33" s="89" t="s">
        <v>93</v>
      </c>
      <c r="E33" s="86">
        <v>25</v>
      </c>
      <c r="F33" s="87" t="s">
        <v>22</v>
      </c>
      <c r="G33" s="66"/>
      <c r="H33" s="66"/>
      <c r="I33" s="66"/>
      <c r="J33" s="66"/>
      <c r="K33" s="66"/>
      <c r="L33" s="66"/>
    </row>
    <row r="34" spans="2:12">
      <c r="B34" s="42">
        <f>B33+1</f>
        <v>26</v>
      </c>
      <c r="C34" s="89" t="s">
        <v>94</v>
      </c>
      <c r="E34" s="86">
        <f>E33+1</f>
        <v>26</v>
      </c>
      <c r="F34" s="87" t="s">
        <v>50</v>
      </c>
      <c r="G34" s="66"/>
      <c r="H34" s="66"/>
      <c r="I34" s="66"/>
      <c r="J34" s="66"/>
      <c r="K34" s="66"/>
      <c r="L34" s="66"/>
    </row>
    <row r="35" spans="2:12">
      <c r="B35" s="42">
        <f t="shared" ref="B35:B48" si="0">B34+1</f>
        <v>27</v>
      </c>
      <c r="C35" s="89" t="s">
        <v>95</v>
      </c>
      <c r="E35" s="86">
        <f t="shared" ref="E35:E48" si="1">E34+1</f>
        <v>27</v>
      </c>
      <c r="F35" s="87" t="s">
        <v>18</v>
      </c>
      <c r="G35" s="66"/>
      <c r="H35" s="66"/>
      <c r="I35" s="66"/>
      <c r="J35" s="66"/>
      <c r="K35" s="66"/>
      <c r="L35" s="66"/>
    </row>
    <row r="36" spans="2:12">
      <c r="B36" s="42">
        <f t="shared" si="0"/>
        <v>28</v>
      </c>
      <c r="C36" s="89" t="s">
        <v>96</v>
      </c>
      <c r="E36" s="86">
        <f t="shared" si="1"/>
        <v>28</v>
      </c>
      <c r="F36" s="87" t="s">
        <v>68</v>
      </c>
      <c r="G36" s="66"/>
      <c r="H36" s="66"/>
      <c r="I36" s="66"/>
      <c r="J36" s="66"/>
      <c r="K36" s="66"/>
      <c r="L36" s="66"/>
    </row>
    <row r="37" spans="2:12">
      <c r="B37" s="42">
        <f t="shared" si="0"/>
        <v>29</v>
      </c>
      <c r="C37" s="89" t="s">
        <v>97</v>
      </c>
      <c r="E37" s="86">
        <f t="shared" si="1"/>
        <v>29</v>
      </c>
      <c r="F37" s="87" t="s">
        <v>13</v>
      </c>
      <c r="G37" s="66"/>
      <c r="H37" s="66"/>
      <c r="I37" s="66"/>
      <c r="J37" s="66"/>
      <c r="K37" s="66"/>
      <c r="L37" s="66"/>
    </row>
    <row r="38" spans="2:12">
      <c r="B38" s="42">
        <f t="shared" si="0"/>
        <v>30</v>
      </c>
      <c r="C38" s="89" t="s">
        <v>98</v>
      </c>
      <c r="E38" s="86">
        <f t="shared" si="1"/>
        <v>30</v>
      </c>
      <c r="F38" s="87" t="s">
        <v>33</v>
      </c>
      <c r="G38" s="66"/>
      <c r="H38" s="66"/>
      <c r="I38" s="66"/>
      <c r="J38" s="66"/>
      <c r="K38" s="66"/>
      <c r="L38" s="66"/>
    </row>
    <row r="39" spans="2:12">
      <c r="B39" s="42">
        <f t="shared" si="0"/>
        <v>31</v>
      </c>
      <c r="C39" s="89" t="s">
        <v>99</v>
      </c>
      <c r="E39" s="86">
        <f t="shared" si="1"/>
        <v>31</v>
      </c>
      <c r="F39" s="87" t="s">
        <v>30</v>
      </c>
      <c r="G39" s="66"/>
      <c r="H39" s="66"/>
      <c r="I39" s="66"/>
      <c r="J39" s="66"/>
      <c r="K39" s="66"/>
      <c r="L39" s="66"/>
    </row>
    <row r="40" spans="2:12">
      <c r="B40" s="42">
        <f t="shared" si="0"/>
        <v>32</v>
      </c>
      <c r="C40" s="89" t="s">
        <v>100</v>
      </c>
      <c r="E40" s="86">
        <f t="shared" si="1"/>
        <v>32</v>
      </c>
      <c r="F40" s="87" t="s">
        <v>11</v>
      </c>
      <c r="G40" s="66"/>
      <c r="H40" s="66"/>
      <c r="I40" s="66"/>
      <c r="J40" s="66"/>
      <c r="K40" s="66"/>
      <c r="L40" s="66"/>
    </row>
    <row r="41" spans="2:12">
      <c r="B41" s="42">
        <f t="shared" si="0"/>
        <v>33</v>
      </c>
      <c r="C41" s="89" t="s">
        <v>101</v>
      </c>
      <c r="E41" s="86">
        <f t="shared" si="1"/>
        <v>33</v>
      </c>
      <c r="F41" s="87" t="s">
        <v>36</v>
      </c>
      <c r="G41" s="66"/>
      <c r="H41" s="66"/>
      <c r="I41" s="66"/>
      <c r="J41" s="66"/>
      <c r="K41" s="66"/>
      <c r="L41" s="66"/>
    </row>
    <row r="42" spans="2:12">
      <c r="B42" s="42">
        <f t="shared" si="0"/>
        <v>34</v>
      </c>
      <c r="C42" s="89" t="s">
        <v>102</v>
      </c>
      <c r="E42" s="86">
        <f t="shared" si="1"/>
        <v>34</v>
      </c>
      <c r="F42" s="87" t="s">
        <v>39</v>
      </c>
      <c r="G42" s="66"/>
      <c r="H42" s="66"/>
      <c r="I42" s="66"/>
      <c r="J42" s="66"/>
      <c r="K42" s="66"/>
      <c r="L42" s="66"/>
    </row>
    <row r="43" spans="2:12">
      <c r="B43" s="42">
        <f t="shared" si="0"/>
        <v>35</v>
      </c>
      <c r="C43" s="89" t="s">
        <v>103</v>
      </c>
      <c r="E43" s="86">
        <f t="shared" si="1"/>
        <v>35</v>
      </c>
      <c r="F43" s="87" t="s">
        <v>48</v>
      </c>
      <c r="G43" s="66"/>
      <c r="H43" s="66"/>
      <c r="I43" s="66"/>
      <c r="J43" s="66"/>
      <c r="K43" s="66"/>
      <c r="L43" s="66"/>
    </row>
    <row r="44" spans="2:12">
      <c r="B44" s="42">
        <f t="shared" si="0"/>
        <v>36</v>
      </c>
      <c r="C44" s="89" t="s">
        <v>84</v>
      </c>
      <c r="E44" s="86">
        <f t="shared" si="1"/>
        <v>36</v>
      </c>
      <c r="F44" s="87" t="s">
        <v>36</v>
      </c>
      <c r="G44" s="66"/>
      <c r="H44" s="66"/>
      <c r="I44" s="66"/>
      <c r="J44" s="66"/>
      <c r="K44" s="66"/>
      <c r="L44" s="66"/>
    </row>
    <row r="45" spans="2:12">
      <c r="B45" s="42">
        <f t="shared" si="0"/>
        <v>37</v>
      </c>
      <c r="C45" s="89" t="s">
        <v>104</v>
      </c>
      <c r="E45" s="86">
        <f t="shared" si="1"/>
        <v>37</v>
      </c>
      <c r="F45" s="87" t="s">
        <v>19</v>
      </c>
      <c r="G45" s="66"/>
      <c r="H45" s="66"/>
      <c r="I45" s="66"/>
      <c r="J45" s="66"/>
      <c r="K45" s="66"/>
      <c r="L45" s="66"/>
    </row>
    <row r="46" spans="2:12">
      <c r="B46" s="42">
        <f t="shared" si="0"/>
        <v>38</v>
      </c>
      <c r="C46" s="89" t="s">
        <v>105</v>
      </c>
      <c r="E46" s="86">
        <f t="shared" si="1"/>
        <v>38</v>
      </c>
      <c r="F46" s="87" t="s">
        <v>27</v>
      </c>
      <c r="G46" s="66"/>
      <c r="H46" s="66"/>
      <c r="I46" s="66"/>
      <c r="J46" s="66"/>
      <c r="K46" s="66"/>
      <c r="L46" s="66"/>
    </row>
    <row r="47" spans="2:12">
      <c r="B47" s="42">
        <f t="shared" si="0"/>
        <v>39</v>
      </c>
      <c r="C47" s="89" t="s">
        <v>100</v>
      </c>
      <c r="E47" s="86">
        <f t="shared" si="1"/>
        <v>39</v>
      </c>
      <c r="F47" s="87" t="s">
        <v>38</v>
      </c>
      <c r="G47" s="66"/>
      <c r="H47" s="66"/>
      <c r="I47" s="66"/>
      <c r="J47" s="66"/>
      <c r="K47" s="66"/>
      <c r="L47" s="66"/>
    </row>
    <row r="48" spans="2:12">
      <c r="B48" s="42">
        <f t="shared" si="0"/>
        <v>40</v>
      </c>
      <c r="C48" s="89" t="s">
        <v>106</v>
      </c>
      <c r="E48" s="86">
        <f t="shared" si="1"/>
        <v>40</v>
      </c>
      <c r="F48" s="87" t="s">
        <v>5</v>
      </c>
      <c r="G48" s="66"/>
      <c r="H48" s="66"/>
      <c r="I48" s="66"/>
      <c r="J48" s="66"/>
      <c r="K48" s="66"/>
      <c r="L48" s="66"/>
    </row>
    <row r="49" spans="12:12">
      <c r="L49" s="6" t="s">
        <v>55</v>
      </c>
    </row>
  </sheetData>
  <mergeCells count="6">
    <mergeCell ref="H2:L4"/>
    <mergeCell ref="A3:E3"/>
    <mergeCell ref="B4:E4"/>
    <mergeCell ref="B7:D7"/>
    <mergeCell ref="E7:G7"/>
    <mergeCell ref="H7:J7"/>
  </mergeCells>
  <conditionalFormatting sqref="F9">
    <cfRule type="expression" dxfId="53" priority="54">
      <formula>OR($N9&lt;&gt;"",#REF!&lt;&gt;"",$O9&lt;&gt;"")</formula>
    </cfRule>
  </conditionalFormatting>
  <conditionalFormatting sqref="F10">
    <cfRule type="expression" dxfId="52" priority="53">
      <formula>OR($N10&lt;&gt;"",#REF!&lt;&gt;"",$O10&lt;&gt;"")</formula>
    </cfRule>
  </conditionalFormatting>
  <conditionalFormatting sqref="F11">
    <cfRule type="expression" dxfId="51" priority="52">
      <formula>OR($N11&lt;&gt;"",#REF!&lt;&gt;"",$O11&lt;&gt;"")</formula>
    </cfRule>
  </conditionalFormatting>
  <conditionalFormatting sqref="F12">
    <cfRule type="expression" dxfId="50" priority="51">
      <formula>OR($N12&lt;&gt;"",#REF!&lt;&gt;"",$O12&lt;&gt;"")</formula>
    </cfRule>
  </conditionalFormatting>
  <conditionalFormatting sqref="F13">
    <cfRule type="expression" dxfId="49" priority="50">
      <formula>OR($N13&lt;&gt;"",#REF!&lt;&gt;"",$O13&lt;&gt;"")</formula>
    </cfRule>
  </conditionalFormatting>
  <conditionalFormatting sqref="F14">
    <cfRule type="expression" dxfId="48" priority="49">
      <formula>OR($N14&lt;&gt;"",#REF!&lt;&gt;"",$O14&lt;&gt;"")</formula>
    </cfRule>
  </conditionalFormatting>
  <conditionalFormatting sqref="F15">
    <cfRule type="expression" dxfId="47" priority="48">
      <formula>OR($N15&lt;&gt;"",#REF!&lt;&gt;"",$O15&lt;&gt;"")</formula>
    </cfRule>
  </conditionalFormatting>
  <conditionalFormatting sqref="F16">
    <cfRule type="expression" dxfId="46" priority="47">
      <formula>OR($N16&lt;&gt;"",#REF!&lt;&gt;"",$O16&lt;&gt;"")</formula>
    </cfRule>
  </conditionalFormatting>
  <conditionalFormatting sqref="F17">
    <cfRule type="expression" dxfId="45" priority="46">
      <formula>OR($N17&lt;&gt;"",#REF!&lt;&gt;"",$O17&lt;&gt;"")</formula>
    </cfRule>
  </conditionalFormatting>
  <conditionalFormatting sqref="F18">
    <cfRule type="expression" dxfId="44" priority="45">
      <formula>OR($N18&lt;&gt;"",#REF!&lt;&gt;"",$O18&lt;&gt;"")</formula>
    </cfRule>
  </conditionalFormatting>
  <conditionalFormatting sqref="F19">
    <cfRule type="expression" dxfId="43" priority="44">
      <formula>OR($N19&lt;&gt;"",#REF!&lt;&gt;"",$O19&lt;&gt;"")</formula>
    </cfRule>
  </conditionalFormatting>
  <conditionalFormatting sqref="F20">
    <cfRule type="expression" dxfId="42" priority="43">
      <formula>OR($N20&lt;&gt;"",#REF!&lt;&gt;"",$O20&lt;&gt;"")</formula>
    </cfRule>
  </conditionalFormatting>
  <conditionalFormatting sqref="F21">
    <cfRule type="expression" dxfId="41" priority="42">
      <formula>OR($N21&lt;&gt;"",#REF!&lt;&gt;"",$O21&lt;&gt;"")</formula>
    </cfRule>
  </conditionalFormatting>
  <conditionalFormatting sqref="F22">
    <cfRule type="expression" dxfId="40" priority="41">
      <formula>OR($N22&lt;&gt;"",#REF!&lt;&gt;"",$O22&lt;&gt;"")</formula>
    </cfRule>
  </conditionalFormatting>
  <conditionalFormatting sqref="F23">
    <cfRule type="expression" dxfId="39" priority="40">
      <formula>OR($N23&lt;&gt;"",#REF!&lt;&gt;"",$O23&lt;&gt;"")</formula>
    </cfRule>
  </conditionalFormatting>
  <conditionalFormatting sqref="F24">
    <cfRule type="expression" dxfId="38" priority="39">
      <formula>OR($N24&lt;&gt;"",#REF!&lt;&gt;"",$O24&lt;&gt;"")</formula>
    </cfRule>
  </conditionalFormatting>
  <conditionalFormatting sqref="F25">
    <cfRule type="expression" dxfId="37" priority="38">
      <formula>OR($N25&lt;&gt;"",#REF!&lt;&gt;"",$O25&lt;&gt;"")</formula>
    </cfRule>
  </conditionalFormatting>
  <conditionalFormatting sqref="F26">
    <cfRule type="expression" dxfId="36" priority="37">
      <formula>OR($N26&lt;&gt;"",#REF!&lt;&gt;"",$O26&lt;&gt;"")</formula>
    </cfRule>
  </conditionalFormatting>
  <conditionalFormatting sqref="F27">
    <cfRule type="expression" dxfId="35" priority="36">
      <formula>OR($N27&lt;&gt;"",#REF!&lt;&gt;"",$O27&lt;&gt;"")</formula>
    </cfRule>
  </conditionalFormatting>
  <conditionalFormatting sqref="F28">
    <cfRule type="expression" dxfId="34" priority="35">
      <formula>OR($N28&lt;&gt;"",#REF!&lt;&gt;"",$O28&lt;&gt;"")</formula>
    </cfRule>
  </conditionalFormatting>
  <conditionalFormatting sqref="F29">
    <cfRule type="expression" dxfId="33" priority="34">
      <formula>OR($N29&lt;&gt;"",#REF!&lt;&gt;"",$O29&lt;&gt;"")</formula>
    </cfRule>
  </conditionalFormatting>
  <conditionalFormatting sqref="F30">
    <cfRule type="expression" dxfId="32" priority="33">
      <formula>OR($N30&lt;&gt;"",#REF!&lt;&gt;"",$O30&lt;&gt;"")</formula>
    </cfRule>
  </conditionalFormatting>
  <conditionalFormatting sqref="F31">
    <cfRule type="expression" dxfId="31" priority="32">
      <formula>OR($N31&lt;&gt;"",#REF!&lt;&gt;"",$O31&lt;&gt;"")</formula>
    </cfRule>
  </conditionalFormatting>
  <conditionalFormatting sqref="F32">
    <cfRule type="expression" dxfId="30" priority="31">
      <formula>OR($N32&lt;&gt;"",#REF!&lt;&gt;"",$O32&lt;&gt;"")</formula>
    </cfRule>
  </conditionalFormatting>
  <conditionalFormatting sqref="F33">
    <cfRule type="expression" dxfId="29" priority="30">
      <formula>OR($N33&lt;&gt;"",#REF!&lt;&gt;"",$O33&lt;&gt;"")</formula>
    </cfRule>
  </conditionalFormatting>
  <conditionalFormatting sqref="F34">
    <cfRule type="expression" dxfId="28" priority="29">
      <formula>OR($N34&lt;&gt;"",#REF!&lt;&gt;"",$O34&lt;&gt;"")</formula>
    </cfRule>
  </conditionalFormatting>
  <conditionalFormatting sqref="F35">
    <cfRule type="expression" dxfId="27" priority="28">
      <formula>OR($N35&lt;&gt;"",#REF!&lt;&gt;"",$O35&lt;&gt;"")</formula>
    </cfRule>
  </conditionalFormatting>
  <conditionalFormatting sqref="F36">
    <cfRule type="expression" dxfId="26" priority="27">
      <formula>OR($N36&lt;&gt;"",#REF!&lt;&gt;"",$O36&lt;&gt;"")</formula>
    </cfRule>
  </conditionalFormatting>
  <conditionalFormatting sqref="F37">
    <cfRule type="expression" dxfId="25" priority="26">
      <formula>OR($N37&lt;&gt;"",#REF!&lt;&gt;"",$O37&lt;&gt;"")</formula>
    </cfRule>
  </conditionalFormatting>
  <conditionalFormatting sqref="F38">
    <cfRule type="expression" dxfId="24" priority="25">
      <formula>OR($N38&lt;&gt;"",#REF!&lt;&gt;"",$O38&lt;&gt;"")</formula>
    </cfRule>
  </conditionalFormatting>
  <conditionalFormatting sqref="F39">
    <cfRule type="expression" dxfId="23" priority="24">
      <formula>OR($N39&lt;&gt;"",#REF!&lt;&gt;"",$O39&lt;&gt;"")</formula>
    </cfRule>
  </conditionalFormatting>
  <conditionalFormatting sqref="F40">
    <cfRule type="expression" dxfId="22" priority="23">
      <formula>OR($N40&lt;&gt;"",#REF!&lt;&gt;"",$O40&lt;&gt;"")</formula>
    </cfRule>
  </conditionalFormatting>
  <conditionalFormatting sqref="F41">
    <cfRule type="expression" dxfId="21" priority="22">
      <formula>OR($N41&lt;&gt;"",#REF!&lt;&gt;"",$O41&lt;&gt;"")</formula>
    </cfRule>
  </conditionalFormatting>
  <conditionalFormatting sqref="F42">
    <cfRule type="expression" dxfId="20" priority="21">
      <formula>OR($N42&lt;&gt;"",#REF!&lt;&gt;"",$O42&lt;&gt;"")</formula>
    </cfRule>
  </conditionalFormatting>
  <conditionalFormatting sqref="F43">
    <cfRule type="expression" dxfId="19" priority="20">
      <formula>OR($N43&lt;&gt;"",#REF!&lt;&gt;"",$O43&lt;&gt;"")</formula>
    </cfRule>
  </conditionalFormatting>
  <conditionalFormatting sqref="F44">
    <cfRule type="expression" dxfId="18" priority="19">
      <formula>OR($N44&lt;&gt;"",#REF!&lt;&gt;"",$O44&lt;&gt;"")</formula>
    </cfRule>
  </conditionalFormatting>
  <conditionalFormatting sqref="F45">
    <cfRule type="expression" dxfId="17" priority="18">
      <formula>OR($N45&lt;&gt;"",#REF!&lt;&gt;"",$O45&lt;&gt;"")</formula>
    </cfRule>
  </conditionalFormatting>
  <conditionalFormatting sqref="F46">
    <cfRule type="expression" dxfId="16" priority="17">
      <formula>OR($N46&lt;&gt;"",#REF!&lt;&gt;"",$O46&lt;&gt;"")</formula>
    </cfRule>
  </conditionalFormatting>
  <conditionalFormatting sqref="F47">
    <cfRule type="expression" dxfId="15" priority="16">
      <formula>OR($N47&lt;&gt;"",#REF!&lt;&gt;"",$O47&lt;&gt;"")</formula>
    </cfRule>
  </conditionalFormatting>
  <conditionalFormatting sqref="F48">
    <cfRule type="expression" dxfId="14" priority="15">
      <formula>OR($N48&lt;&gt;"",#REF!&lt;&gt;"",$O48&lt;&gt;"")</formula>
    </cfRule>
  </conditionalFormatting>
  <conditionalFormatting sqref="I9">
    <cfRule type="expression" dxfId="13" priority="14">
      <formula>OR($N9&lt;&gt;"",#REF!&lt;&gt;"",$O9&lt;&gt;"")</formula>
    </cfRule>
  </conditionalFormatting>
  <conditionalFormatting sqref="I10">
    <cfRule type="expression" dxfId="12" priority="13">
      <formula>OR($N10&lt;&gt;"",#REF!&lt;&gt;"",$O10&lt;&gt;"")</formula>
    </cfRule>
  </conditionalFormatting>
  <conditionalFormatting sqref="I11">
    <cfRule type="expression" dxfId="11" priority="12">
      <formula>OR($N11&lt;&gt;"",#REF!&lt;&gt;"",$O11&lt;&gt;"")</formula>
    </cfRule>
  </conditionalFormatting>
  <conditionalFormatting sqref="I12">
    <cfRule type="expression" dxfId="10" priority="11">
      <formula>OR($N12&lt;&gt;"",#REF!&lt;&gt;"",$O12&lt;&gt;"")</formula>
    </cfRule>
  </conditionalFormatting>
  <conditionalFormatting sqref="I13">
    <cfRule type="expression" dxfId="9" priority="10">
      <formula>OR($N13&lt;&gt;"",#REF!&lt;&gt;"",$O13&lt;&gt;"")</formula>
    </cfRule>
  </conditionalFormatting>
  <conditionalFormatting sqref="I14">
    <cfRule type="expression" dxfId="8" priority="9">
      <formula>OR($N14&lt;&gt;"",#REF!&lt;&gt;"",$O14&lt;&gt;"")</formula>
    </cfRule>
  </conditionalFormatting>
  <conditionalFormatting sqref="I15">
    <cfRule type="expression" dxfId="7" priority="8">
      <formula>OR($N15&lt;&gt;"",#REF!&lt;&gt;"",$O15&lt;&gt;"")</formula>
    </cfRule>
  </conditionalFormatting>
  <conditionalFormatting sqref="I16">
    <cfRule type="expression" dxfId="6" priority="7">
      <formula>OR($N16&lt;&gt;"",#REF!&lt;&gt;"",$O16&lt;&gt;"")</formula>
    </cfRule>
  </conditionalFormatting>
  <conditionalFormatting sqref="I17">
    <cfRule type="expression" dxfId="5" priority="6">
      <formula>OR($N17&lt;&gt;"",#REF!&lt;&gt;"",$O17&lt;&gt;"")</formula>
    </cfRule>
  </conditionalFormatting>
  <conditionalFormatting sqref="I18">
    <cfRule type="expression" dxfId="4" priority="5">
      <formula>OR($N18&lt;&gt;"",#REF!&lt;&gt;"",$O18&lt;&gt;"")</formula>
    </cfRule>
  </conditionalFormatting>
  <conditionalFormatting sqref="I19">
    <cfRule type="expression" dxfId="3" priority="4">
      <formula>OR($N19&lt;&gt;"",#REF!&lt;&gt;"",$O19&lt;&gt;"")</formula>
    </cfRule>
  </conditionalFormatting>
  <conditionalFormatting sqref="I20">
    <cfRule type="expression" dxfId="2" priority="3">
      <formula>OR($N20&lt;&gt;"",#REF!&lt;&gt;"",$O20&lt;&gt;"")</formula>
    </cfRule>
  </conditionalFormatting>
  <conditionalFormatting sqref="I21">
    <cfRule type="expression" dxfId="1" priority="2">
      <formula>OR($N21&lt;&gt;"",#REF!&lt;&gt;"",$O21&lt;&gt;"")</formula>
    </cfRule>
  </conditionalFormatting>
  <conditionalFormatting sqref="I22">
    <cfRule type="expression" dxfId="0" priority="1">
      <formula>OR($N22&lt;&gt;"",#REF!&lt;&gt;"",$O22&lt;&gt;"")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FFC10-2E99-43C6-9B7B-B3FF96E20208}">
  <dimension ref="A1"/>
  <sheetViews>
    <sheetView workbookViewId="0">
      <selection activeCell="I25" sqref="I25"/>
    </sheetView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Phonics B Set 1</vt:lpstr>
      <vt:lpstr>Phonics B Set 2</vt:lpstr>
      <vt:lpstr>Phonics B Possible 4</vt:lpstr>
      <vt:lpstr>Phonics B Set 3</vt:lpstr>
      <vt:lpstr>Phonics Lists B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2020-01-15T21:32:38Z</dcterms:created>
  <dcterms:modified xsi:type="dcterms:W3CDTF">2020-08-05T18:53:49Z</dcterms:modified>
</cp:coreProperties>
</file>