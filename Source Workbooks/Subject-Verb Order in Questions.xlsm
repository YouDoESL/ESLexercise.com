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Working HACC Sheets\"/>
    </mc:Choice>
  </mc:AlternateContent>
  <xr:revisionPtr revIDLastSave="0" documentId="13_ncr:1_{704C00C9-F281-46FF-8DBE-93EA125240C1}" xr6:coauthVersionLast="45" xr6:coauthVersionMax="45" xr10:uidLastSave="{00000000-0000-0000-0000-000000000000}"/>
  <bookViews>
    <workbookView xWindow="-108" yWindow="-108" windowWidth="23256" windowHeight="12576" firstSheet="1" activeTab="3" xr2:uid="{00000000-000D-0000-FFFF-FFFF00000000}"/>
  </bookViews>
  <sheets>
    <sheet name="Modal verb forms" sheetId="2" r:id="rId1"/>
    <sheet name="SubVerbQnsV1" sheetId="3" r:id="rId2"/>
    <sheet name="BW version" sheetId="4" r:id="rId3"/>
    <sheet name="SubVerbInQns" sheetId="5" r:id="rId4"/>
  </sheets>
  <externalReferences>
    <externalReference r:id="rId5"/>
  </externalReferences>
  <definedNames>
    <definedName name="_xlnm.Print_Area" localSheetId="2">'BW version'!$A$1:$J$45</definedName>
    <definedName name="_xlnm.Print_Area" localSheetId="1">SubVerbQnsV1!$A$1:$I$44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39" i="5" l="1"/>
  <c r="K36" i="5"/>
  <c r="K32" i="5"/>
  <c r="K24" i="5"/>
  <c r="K16" i="5"/>
  <c r="K27" i="5"/>
  <c r="K22" i="5"/>
  <c r="K21" i="5"/>
  <c r="K20" i="5"/>
  <c r="K15" i="5"/>
  <c r="K14" i="5"/>
  <c r="K13" i="5"/>
  <c r="J39" i="5"/>
  <c r="J37" i="5"/>
  <c r="J35" i="5"/>
  <c r="J33" i="5"/>
  <c r="J32" i="5"/>
  <c r="J29" i="5"/>
  <c r="J27" i="5"/>
  <c r="J26" i="5"/>
  <c r="J25" i="5"/>
  <c r="J24" i="5"/>
  <c r="K41" i="5"/>
  <c r="H40" i="5"/>
  <c r="E40" i="5"/>
  <c r="H39" i="5"/>
  <c r="E39" i="5"/>
  <c r="H38" i="5"/>
  <c r="E38" i="5"/>
  <c r="H37" i="5"/>
  <c r="E37" i="5"/>
  <c r="H36" i="5"/>
  <c r="E36" i="5"/>
  <c r="H35" i="5"/>
  <c r="E35" i="5"/>
  <c r="H34" i="5"/>
  <c r="E34" i="5"/>
  <c r="H33" i="5"/>
  <c r="E33" i="5"/>
  <c r="H32" i="5"/>
  <c r="E32" i="5"/>
  <c r="H31" i="5"/>
  <c r="E31" i="5"/>
  <c r="H30" i="5"/>
  <c r="E30" i="5"/>
  <c r="H29" i="5"/>
  <c r="E29" i="5"/>
  <c r="H28" i="5"/>
  <c r="E28" i="5"/>
  <c r="H27" i="5"/>
  <c r="E27" i="5"/>
  <c r="H26" i="5"/>
  <c r="E26" i="5"/>
  <c r="H25" i="5"/>
  <c r="E25" i="5"/>
  <c r="H24" i="5"/>
  <c r="E24" i="5"/>
  <c r="H23" i="5"/>
  <c r="E23" i="5"/>
  <c r="H22" i="5"/>
  <c r="E22" i="5"/>
  <c r="H21" i="5"/>
  <c r="E21" i="5"/>
  <c r="H20" i="5"/>
  <c r="E20" i="5"/>
  <c r="H19" i="5"/>
  <c r="E19" i="5"/>
  <c r="H18" i="5"/>
  <c r="E18" i="5"/>
  <c r="H17" i="5"/>
  <c r="E17" i="5"/>
  <c r="H16" i="5"/>
  <c r="E16" i="5"/>
  <c r="H15" i="5"/>
  <c r="E15" i="5"/>
  <c r="H14" i="5"/>
  <c r="E14" i="5"/>
  <c r="H13" i="5"/>
  <c r="E13" i="5"/>
  <c r="H12" i="5"/>
  <c r="E12" i="5"/>
  <c r="H11" i="5"/>
  <c r="E11" i="5"/>
  <c r="E10" i="5"/>
  <c r="H10" i="5"/>
  <c r="H9" i="5"/>
  <c r="E9" i="5"/>
  <c r="H8" i="5"/>
  <c r="K38" i="5" l="1"/>
  <c r="J19" i="5"/>
  <c r="K25" i="5"/>
  <c r="J31" i="5"/>
  <c r="K37" i="5"/>
  <c r="K26" i="5"/>
  <c r="J38" i="5"/>
  <c r="K33" i="5"/>
  <c r="J22" i="5"/>
  <c r="J28" i="5"/>
  <c r="J34" i="5"/>
  <c r="J40" i="5"/>
  <c r="J23" i="5"/>
  <c r="K29" i="5"/>
  <c r="K35" i="5"/>
  <c r="K18" i="5"/>
  <c r="J30" i="5"/>
  <c r="J36" i="5"/>
  <c r="K17" i="5"/>
  <c r="J16" i="5"/>
  <c r="J15" i="5"/>
  <c r="K12" i="5"/>
  <c r="K11" i="5"/>
  <c r="K10" i="5"/>
  <c r="J9" i="5"/>
  <c r="K9" i="5"/>
  <c r="K40" i="5"/>
  <c r="K34" i="5"/>
  <c r="K31" i="5"/>
  <c r="K30" i="5"/>
  <c r="K28" i="5"/>
  <c r="K23" i="5"/>
  <c r="J21" i="5"/>
  <c r="J20" i="5"/>
  <c r="K19" i="5"/>
  <c r="J18" i="5"/>
  <c r="J17" i="5"/>
  <c r="J14" i="5"/>
  <c r="J13" i="5"/>
  <c r="J12" i="5"/>
  <c r="J11" i="5"/>
  <c r="J10" i="5"/>
  <c r="B10" i="4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10" i="3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J26" i="2"/>
  <c r="B26" i="2" s="1"/>
  <c r="J25" i="2"/>
  <c r="B25" i="2" s="1"/>
  <c r="J24" i="2"/>
  <c r="B24" i="2" s="1"/>
  <c r="J21" i="2"/>
  <c r="B21" i="2" s="1"/>
  <c r="J20" i="2"/>
  <c r="B20" i="2" s="1"/>
  <c r="J10" i="2"/>
  <c r="B10" i="2" s="1"/>
  <c r="J14" i="2"/>
  <c r="B14" i="2" s="1"/>
  <c r="J13" i="2"/>
  <c r="B13" i="2" s="1"/>
  <c r="J12" i="2"/>
  <c r="B12" i="2" s="1"/>
  <c r="J11" i="2"/>
  <c r="B11" i="2" s="1"/>
  <c r="J28" i="2"/>
  <c r="B28" i="2" s="1"/>
  <c r="J23" i="2"/>
  <c r="B23" i="2" s="1"/>
  <c r="J22" i="2"/>
  <c r="B22" i="2" s="1"/>
  <c r="J18" i="2"/>
  <c r="B18" i="2" s="1"/>
  <c r="E30" i="4"/>
  <c r="E22" i="4"/>
  <c r="G27" i="3"/>
  <c r="D25" i="3"/>
  <c r="D12" i="3"/>
  <c r="E36" i="4"/>
  <c r="E24" i="4"/>
  <c r="D30" i="3"/>
  <c r="D14" i="3"/>
  <c r="H12" i="4"/>
  <c r="D10" i="3"/>
  <c r="D32" i="3"/>
  <c r="E12" i="4"/>
  <c r="H13" i="4"/>
  <c r="G16" i="3"/>
  <c r="H27" i="4"/>
  <c r="H25" i="4"/>
  <c r="G23" i="3"/>
  <c r="G9" i="3"/>
  <c r="E26" i="4"/>
  <c r="H32" i="4"/>
  <c r="E28" i="4"/>
  <c r="E29" i="4"/>
  <c r="D19" i="3"/>
  <c r="D23" i="3"/>
  <c r="H36" i="4"/>
  <c r="E40" i="4"/>
  <c r="G20" i="3"/>
  <c r="E31" i="4"/>
  <c r="H39" i="4"/>
  <c r="D13" i="3"/>
  <c r="H14" i="4"/>
  <c r="G29" i="3"/>
  <c r="G15" i="3"/>
  <c r="H15" i="4"/>
  <c r="G39" i="3"/>
  <c r="H22" i="4"/>
  <c r="G31" i="3"/>
  <c r="H19" i="4"/>
  <c r="E11" i="4"/>
  <c r="D34" i="3"/>
  <c r="H18" i="4"/>
  <c r="E32" i="4"/>
  <c r="G13" i="3"/>
  <c r="G40" i="3"/>
  <c r="E27" i="4"/>
  <c r="E18" i="4"/>
  <c r="E16" i="4"/>
  <c r="D16" i="3"/>
  <c r="D38" i="3"/>
  <c r="E37" i="4"/>
  <c r="E38" i="4"/>
  <c r="H33" i="4"/>
  <c r="G37" i="3"/>
  <c r="D11" i="3"/>
  <c r="E13" i="4"/>
  <c r="E35" i="4"/>
  <c r="H20" i="4"/>
  <c r="D27" i="3"/>
  <c r="G22" i="3"/>
  <c r="H31" i="4"/>
  <c r="G25" i="3"/>
  <c r="G32" i="3"/>
  <c r="D9" i="3"/>
  <c r="D36" i="3"/>
  <c r="H30" i="4"/>
  <c r="H16" i="4"/>
  <c r="G24" i="3"/>
  <c r="E34" i="4"/>
  <c r="G21" i="3"/>
  <c r="H29" i="4"/>
  <c r="G33" i="3"/>
  <c r="D33" i="3"/>
  <c r="G28" i="3"/>
  <c r="H17" i="4"/>
  <c r="D21" i="3"/>
  <c r="G17" i="3"/>
  <c r="D37" i="3"/>
  <c r="E39" i="4"/>
  <c r="D18" i="3"/>
  <c r="E15" i="4"/>
  <c r="E20" i="4"/>
  <c r="D15" i="3"/>
  <c r="G26" i="3"/>
  <c r="H24" i="4"/>
  <c r="E17" i="4"/>
  <c r="D26" i="3"/>
  <c r="H28" i="4"/>
  <c r="G10" i="3"/>
  <c r="F8" i="4"/>
  <c r="H40" i="4"/>
  <c r="D17" i="3"/>
  <c r="D35" i="3"/>
  <c r="G12" i="3"/>
  <c r="H34" i="4"/>
  <c r="D24" i="3"/>
  <c r="H38" i="4"/>
  <c r="G30" i="3"/>
  <c r="D28" i="3"/>
  <c r="D40" i="3"/>
  <c r="G36" i="3"/>
  <c r="H21" i="4"/>
  <c r="E33" i="4"/>
  <c r="F8" i="3"/>
  <c r="D31" i="3"/>
  <c r="D22" i="3"/>
  <c r="G18" i="3"/>
  <c r="H11" i="4"/>
  <c r="H37" i="4"/>
  <c r="G38" i="3"/>
  <c r="D29" i="3"/>
  <c r="D39" i="3"/>
  <c r="G34" i="3"/>
  <c r="E19" i="4"/>
  <c r="G14" i="3"/>
  <c r="H23" i="4"/>
  <c r="E23" i="4"/>
  <c r="E14" i="4"/>
  <c r="G11" i="3"/>
  <c r="G19" i="3"/>
  <c r="E21" i="4"/>
  <c r="D20" i="3"/>
  <c r="H35" i="4"/>
  <c r="E25" i="4"/>
  <c r="G35" i="3"/>
  <c r="H26" i="4"/>
  <c r="C40" i="5" l="1"/>
  <c r="C34" i="5"/>
  <c r="C39" i="5"/>
  <c r="C33" i="5"/>
  <c r="C27" i="5"/>
  <c r="C21" i="5"/>
  <c r="C15" i="5"/>
  <c r="C38" i="5"/>
  <c r="C32" i="5"/>
  <c r="C26" i="5"/>
  <c r="C20" i="5"/>
  <c r="C14" i="5"/>
  <c r="C37" i="5"/>
  <c r="C31" i="5"/>
  <c r="C25" i="5"/>
  <c r="C19" i="5"/>
  <c r="C13" i="5"/>
  <c r="C36" i="5"/>
  <c r="C30" i="5"/>
  <c r="C24" i="5"/>
  <c r="C18" i="5"/>
  <c r="C12" i="5"/>
  <c r="C29" i="5"/>
  <c r="C23" i="5"/>
  <c r="C17" i="5"/>
  <c r="C11" i="5"/>
  <c r="C35" i="5"/>
  <c r="C22" i="5"/>
  <c r="C16" i="5"/>
  <c r="C10" i="5"/>
  <c r="C28" i="5"/>
  <c r="C9" i="5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H40" i="3"/>
  <c r="I40" i="3" s="1"/>
  <c r="H39" i="3"/>
  <c r="A39" i="3" s="1"/>
  <c r="H38" i="3"/>
  <c r="H37" i="3"/>
  <c r="I37" i="3" s="1"/>
  <c r="H36" i="3"/>
  <c r="A36" i="3" s="1"/>
  <c r="H35" i="3"/>
  <c r="H34" i="3"/>
  <c r="I34" i="3" s="1"/>
  <c r="H33" i="3"/>
  <c r="A33" i="3" s="1"/>
  <c r="H32" i="3"/>
  <c r="I32" i="3" s="1"/>
  <c r="H31" i="3"/>
  <c r="I31" i="3" s="1"/>
  <c r="H30" i="3"/>
  <c r="A30" i="3" s="1"/>
  <c r="H29" i="3"/>
  <c r="H28" i="3"/>
  <c r="I28" i="3" s="1"/>
  <c r="H27" i="3"/>
  <c r="A27" i="3" s="1"/>
  <c r="H26" i="3"/>
  <c r="A26" i="3" s="1"/>
  <c r="H25" i="3"/>
  <c r="I25" i="3" s="1"/>
  <c r="H24" i="3"/>
  <c r="A24" i="3" s="1"/>
  <c r="H23" i="3"/>
  <c r="H22" i="3"/>
  <c r="I22" i="3" s="1"/>
  <c r="H21" i="3"/>
  <c r="A21" i="3" s="1"/>
  <c r="H20" i="3"/>
  <c r="H19" i="3"/>
  <c r="I19" i="3" s="1"/>
  <c r="H18" i="3"/>
  <c r="A18" i="3" s="1"/>
  <c r="H17" i="3"/>
  <c r="H16" i="3"/>
  <c r="I16" i="3" s="1"/>
  <c r="H15" i="3"/>
  <c r="A15" i="3" s="1"/>
  <c r="H14" i="3"/>
  <c r="I14" i="3" s="1"/>
  <c r="H13" i="3"/>
  <c r="I13" i="3" s="1"/>
  <c r="H12" i="3"/>
  <c r="A12" i="3" s="1"/>
  <c r="H11" i="3"/>
  <c r="H10" i="3"/>
  <c r="I10" i="3" s="1"/>
  <c r="H9" i="3"/>
  <c r="A9" i="3" s="1"/>
  <c r="K25" i="2"/>
  <c r="K26" i="2"/>
  <c r="K18" i="2"/>
  <c r="K23" i="2"/>
  <c r="K22" i="2"/>
  <c r="K28" i="2"/>
  <c r="J39" i="2"/>
  <c r="B39" i="2" s="1"/>
  <c r="J37" i="2"/>
  <c r="K37" i="2" s="1"/>
  <c r="J35" i="2"/>
  <c r="K35" i="2" s="1"/>
  <c r="J33" i="2"/>
  <c r="K33" i="2" s="1"/>
  <c r="J32" i="2"/>
  <c r="K32" i="2" s="1"/>
  <c r="J29" i="2"/>
  <c r="J27" i="2"/>
  <c r="B27" i="2" s="1"/>
  <c r="J17" i="2"/>
  <c r="K10" i="2"/>
  <c r="J40" i="2"/>
  <c r="J38" i="2"/>
  <c r="B38" i="2" s="1"/>
  <c r="J36" i="2"/>
  <c r="B36" i="2" s="1"/>
  <c r="J34" i="2"/>
  <c r="K34" i="2" s="1"/>
  <c r="J31" i="2"/>
  <c r="K31" i="2" s="1"/>
  <c r="J30" i="2"/>
  <c r="K21" i="2"/>
  <c r="J19" i="2"/>
  <c r="K19" i="2" s="1"/>
  <c r="J16" i="2"/>
  <c r="B16" i="2" s="1"/>
  <c r="J15" i="2"/>
  <c r="J9" i="2"/>
  <c r="K9" i="2" s="1"/>
  <c r="C10" i="2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F41" i="5" l="1"/>
  <c r="I36" i="3"/>
  <c r="I33" i="3"/>
  <c r="A32" i="3"/>
  <c r="I21" i="3"/>
  <c r="I12" i="3"/>
  <c r="A24" i="4"/>
  <c r="J24" i="4"/>
  <c r="A12" i="4"/>
  <c r="J12" i="4"/>
  <c r="A29" i="4"/>
  <c r="J29" i="4"/>
  <c r="A23" i="4"/>
  <c r="J23" i="4"/>
  <c r="A17" i="4"/>
  <c r="J17" i="4"/>
  <c r="A11" i="4"/>
  <c r="J11" i="4"/>
  <c r="A40" i="4"/>
  <c r="J40" i="4"/>
  <c r="A34" i="4"/>
  <c r="J34" i="4"/>
  <c r="A28" i="4"/>
  <c r="J28" i="4"/>
  <c r="A22" i="4"/>
  <c r="J22" i="4"/>
  <c r="A16" i="4"/>
  <c r="J16" i="4"/>
  <c r="A10" i="4"/>
  <c r="J10" i="4"/>
  <c r="A39" i="4"/>
  <c r="J39" i="4"/>
  <c r="A33" i="4"/>
  <c r="J33" i="4"/>
  <c r="A27" i="4"/>
  <c r="J27" i="4"/>
  <c r="A21" i="4"/>
  <c r="J21" i="4"/>
  <c r="A15" i="4"/>
  <c r="J15" i="4"/>
  <c r="A9" i="4"/>
  <c r="J9" i="4"/>
  <c r="A38" i="4"/>
  <c r="J38" i="4"/>
  <c r="A32" i="4"/>
  <c r="J32" i="4"/>
  <c r="A26" i="4"/>
  <c r="J26" i="4"/>
  <c r="A20" i="4"/>
  <c r="J20" i="4"/>
  <c r="A14" i="4"/>
  <c r="J14" i="4"/>
  <c r="A37" i="4"/>
  <c r="J37" i="4"/>
  <c r="A31" i="4"/>
  <c r="J31" i="4"/>
  <c r="A25" i="4"/>
  <c r="J25" i="4"/>
  <c r="A19" i="4"/>
  <c r="J19" i="4"/>
  <c r="A13" i="4"/>
  <c r="J13" i="4"/>
  <c r="A18" i="4"/>
  <c r="J18" i="4"/>
  <c r="A35" i="4"/>
  <c r="J35" i="4"/>
  <c r="A30" i="4"/>
  <c r="J30" i="4"/>
  <c r="A36" i="4"/>
  <c r="J36" i="4"/>
  <c r="A14" i="3"/>
  <c r="I15" i="3"/>
  <c r="A31" i="3"/>
  <c r="I39" i="3"/>
  <c r="A37" i="3"/>
  <c r="A34" i="3"/>
  <c r="I30" i="3"/>
  <c r="A28" i="3"/>
  <c r="I27" i="3"/>
  <c r="I26" i="3"/>
  <c r="A25" i="3"/>
  <c r="I24" i="3"/>
  <c r="A19" i="3"/>
  <c r="I18" i="3"/>
  <c r="A16" i="3"/>
  <c r="A40" i="3"/>
  <c r="I38" i="3"/>
  <c r="A38" i="3"/>
  <c r="I35" i="3"/>
  <c r="A35" i="3"/>
  <c r="A29" i="3"/>
  <c r="I29" i="3"/>
  <c r="I23" i="3"/>
  <c r="A23" i="3"/>
  <c r="A22" i="3"/>
  <c r="I20" i="3"/>
  <c r="A20" i="3"/>
  <c r="I17" i="3"/>
  <c r="A17" i="3"/>
  <c r="A13" i="3"/>
  <c r="I11" i="3"/>
  <c r="A11" i="3"/>
  <c r="A10" i="3"/>
  <c r="I9" i="3"/>
  <c r="B15" i="2"/>
  <c r="K15" i="2"/>
  <c r="B29" i="2"/>
  <c r="K29" i="2"/>
  <c r="B40" i="2"/>
  <c r="K40" i="2"/>
  <c r="B30" i="2"/>
  <c r="K30" i="2"/>
  <c r="B35" i="2"/>
  <c r="B17" i="2"/>
  <c r="K17" i="2"/>
  <c r="B34" i="2"/>
  <c r="B31" i="2"/>
  <c r="B33" i="2"/>
  <c r="B32" i="2"/>
  <c r="B37" i="2"/>
  <c r="B19" i="2"/>
  <c r="K38" i="2"/>
  <c r="K11" i="2"/>
  <c r="K12" i="2"/>
  <c r="K36" i="2"/>
  <c r="K39" i="2"/>
  <c r="K27" i="2"/>
  <c r="K24" i="2"/>
  <c r="K14" i="2"/>
  <c r="K13" i="2"/>
  <c r="K20" i="2"/>
  <c r="K16" i="2"/>
  <c r="B9" i="2"/>
  <c r="D41" i="3" l="1"/>
  <c r="D41" i="4"/>
  <c r="E41" i="2"/>
</calcChain>
</file>

<file path=xl/sharedStrings.xml><?xml version="1.0" encoding="utf-8"?>
<sst xmlns="http://schemas.openxmlformats.org/spreadsheetml/2006/main" count="386" uniqueCount="101">
  <si>
    <t>Howard Area Community Center -- ESL3</t>
  </si>
  <si>
    <t>Verb Forms</t>
  </si>
  <si>
    <r>
      <t xml:space="preserve">For each pair, mark "y" next to the  correct </t>
    </r>
    <r>
      <rPr>
        <u/>
        <sz val="16"/>
        <color theme="1"/>
        <rFont val="Calibri"/>
        <family val="2"/>
        <scheme val="minor"/>
      </rPr>
      <t>question</t>
    </r>
    <r>
      <rPr>
        <sz val="16"/>
        <color theme="1"/>
        <rFont val="Calibri"/>
        <family val="2"/>
        <scheme val="minor"/>
      </rPr>
      <t xml:space="preserve"> form</t>
    </r>
  </si>
  <si>
    <t>and "n" next to the incorrect one.</t>
  </si>
  <si>
    <t>Student's name:</t>
  </si>
  <si>
    <t>Rules:</t>
  </si>
  <si>
    <t>He should start?</t>
  </si>
  <si>
    <t>Should he start?</t>
  </si>
  <si>
    <t>A question starts with a modal and ends with a ?</t>
  </si>
  <si>
    <t>Is it expensive?</t>
  </si>
  <si>
    <t>It is expensive?</t>
  </si>
  <si>
    <t>"It" requires the singular form of "be".</t>
  </si>
  <si>
    <t>Is she smart?</t>
  </si>
  <si>
    <t>She is smart?</t>
  </si>
  <si>
    <t>"She" requires the singular form of "be".</t>
  </si>
  <si>
    <t>Is he a boy?</t>
  </si>
  <si>
    <t>He is a boy?</t>
  </si>
  <si>
    <t>"He", "is" and "a" are all singular.</t>
  </si>
  <si>
    <t>Can she start soon?</t>
  </si>
  <si>
    <t>She can start soon?</t>
  </si>
  <si>
    <t xml:space="preserve">The modal "can" requires the infinitive "start" </t>
  </si>
  <si>
    <t>Not a question, since doesn't start with "Should".</t>
  </si>
  <si>
    <t>It will end tomorrow?</t>
  </si>
  <si>
    <t>Will it end tomorrow?</t>
  </si>
  <si>
    <t>The modal "will" requires the infinitive "end".</t>
  </si>
  <si>
    <t>Will be it here?</t>
  </si>
  <si>
    <t>Will it be here?</t>
  </si>
  <si>
    <t xml:space="preserve">The modal "will" requires the infinitive "be". </t>
  </si>
  <si>
    <t>Is the girl happy?</t>
  </si>
  <si>
    <t>The girl is happy?</t>
  </si>
  <si>
    <t>"is" must have a singular subject.</t>
  </si>
  <si>
    <t>Is he not here?</t>
  </si>
  <si>
    <t>He not here?</t>
  </si>
  <si>
    <t>"He" is singular, whether here or not.</t>
  </si>
  <si>
    <t>Boys no are here?</t>
  </si>
  <si>
    <t>Are no boys here?</t>
  </si>
  <si>
    <t>"are' must have a plural subject.</t>
  </si>
  <si>
    <t>Should he be here?</t>
  </si>
  <si>
    <t>He should be here?</t>
  </si>
  <si>
    <t>The modal "should" requires the infinitive "be".</t>
  </si>
  <si>
    <t>Can she start?</t>
  </si>
  <si>
    <t>She can start?</t>
  </si>
  <si>
    <t>A question requires a "?"</t>
  </si>
  <si>
    <t>He should no be here?</t>
  </si>
  <si>
    <t>Should he not be here?</t>
  </si>
  <si>
    <t>Any negative modal will be followed by "not"..</t>
  </si>
  <si>
    <t>The girls are happy?</t>
  </si>
  <si>
    <t>Are the girls happy?</t>
  </si>
  <si>
    <t>If it were a question, it would say "Can she ..."</t>
  </si>
  <si>
    <t>Are three girls here?</t>
  </si>
  <si>
    <t>Three girls here?</t>
  </si>
  <si>
    <t>Is she a girl?</t>
  </si>
  <si>
    <t>She is a girl?</t>
  </si>
  <si>
    <t>Can they wait here?</t>
  </si>
  <si>
    <t>They can wait here?</t>
  </si>
  <si>
    <t>The modal "can" requires the infinitive "wait".</t>
  </si>
  <si>
    <t>A boy there?</t>
  </si>
  <si>
    <t>Is a boy there?</t>
  </si>
  <si>
    <t>Are they girls?</t>
  </si>
  <si>
    <t>They are girls?</t>
  </si>
  <si>
    <t>He a boy?</t>
  </si>
  <si>
    <t>There two cars?</t>
  </si>
  <si>
    <t>Are there two cars?</t>
  </si>
  <si>
    <t>"cars" require a plural form of "be".</t>
  </si>
  <si>
    <t>Will they come?</t>
  </si>
  <si>
    <t>They will come?</t>
  </si>
  <si>
    <t>Is there a car here?</t>
  </si>
  <si>
    <t>There is a car here?</t>
  </si>
  <si>
    <t xml:space="preserve">One car requires "is" </t>
  </si>
  <si>
    <t>It is a car?</t>
  </si>
  <si>
    <t>Is it a car?</t>
  </si>
  <si>
    <t>"It", "is" and "a" are all singular.</t>
  </si>
  <si>
    <t>Are they bananas?</t>
  </si>
  <si>
    <t>They are bananas?</t>
  </si>
  <si>
    <t>"They" and "are" both require plural</t>
  </si>
  <si>
    <t>If it is a question it's "Will they ...?"</t>
  </si>
  <si>
    <t>Are the boys here?</t>
  </si>
  <si>
    <t>The boys here?</t>
  </si>
  <si>
    <t>He no can speak English?</t>
  </si>
  <si>
    <t>Can he not speak English?</t>
  </si>
  <si>
    <t>Any negative modal will be followed by "not".</t>
  </si>
  <si>
    <t>Will it not be here?</t>
  </si>
  <si>
    <t>It will be not here?</t>
  </si>
  <si>
    <t>Modal, then "not", then the verb.</t>
  </si>
  <si>
    <t>They happy?</t>
  </si>
  <si>
    <t>Are they happy?</t>
  </si>
  <si>
    <t>They are plural, of course.</t>
  </si>
  <si>
    <t xml:space="preserve"> CORRECT</t>
  </si>
  <si>
    <t>#end</t>
  </si>
  <si>
    <r>
      <t xml:space="preserve">For each pair, mark "y" next to the  correct </t>
    </r>
    <r>
      <rPr>
        <u/>
        <sz val="16"/>
        <rFont val="Calibri"/>
        <family val="2"/>
        <scheme val="minor"/>
      </rPr>
      <t>question</t>
    </r>
    <r>
      <rPr>
        <sz val="16"/>
        <rFont val="Calibri"/>
        <family val="2"/>
        <scheme val="minor"/>
      </rPr>
      <t xml:space="preserve"> form</t>
    </r>
  </si>
  <si>
    <t>Subject-Verb Order in Questions</t>
  </si>
  <si>
    <t>Howard Area Community Center -- ESL4</t>
  </si>
  <si>
    <t>Stan Nevin</t>
  </si>
  <si>
    <t>n</t>
  </si>
  <si>
    <t>y</t>
  </si>
  <si>
    <t>Will she go?</t>
  </si>
  <si>
    <t>She will go?</t>
  </si>
  <si>
    <t>Rules for questions:</t>
  </si>
  <si>
    <r>
      <t xml:space="preserve">For each pair, check the box next to the </t>
    </r>
    <r>
      <rPr>
        <u/>
        <sz val="16"/>
        <color theme="1"/>
        <rFont val="Calibri"/>
        <family val="2"/>
        <scheme val="minor"/>
      </rPr>
      <t>correct</t>
    </r>
    <r>
      <rPr>
        <sz val="16"/>
        <color theme="1"/>
        <rFont val="Calibri"/>
        <family val="2"/>
        <scheme val="minor"/>
      </rPr>
      <t xml:space="preserve"> </t>
    </r>
    <r>
      <rPr>
        <u/>
        <sz val="16"/>
        <color theme="1"/>
        <rFont val="Calibri"/>
        <family val="2"/>
        <scheme val="minor"/>
      </rPr>
      <t>question</t>
    </r>
    <r>
      <rPr>
        <sz val="16"/>
        <color theme="1"/>
        <rFont val="Calibri"/>
        <family val="2"/>
        <scheme val="minor"/>
      </rPr>
      <t xml:space="preserve"> </t>
    </r>
    <r>
      <rPr>
        <u/>
        <sz val="16"/>
        <color theme="1"/>
        <rFont val="Calibri"/>
        <family val="2"/>
        <scheme val="minor"/>
      </rPr>
      <t>form.</t>
    </r>
  </si>
  <si>
    <t>He no can speak French?</t>
  </si>
  <si>
    <t>Can he not speak French?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</si>
</sst>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Times New Roman"/>
      <family val="1"/>
    </font>
    <font>
      <sz val="11"/>
      <name val="Calibri"/>
      <family val="2"/>
      <scheme val="minor"/>
    </font>
    <font>
      <sz val="18"/>
      <name val="Calibri"/>
      <family val="2"/>
      <scheme val="minor"/>
    </font>
    <font>
      <sz val="16"/>
      <name val="Calibri"/>
      <family val="2"/>
      <scheme val="minor"/>
    </font>
    <font>
      <sz val="14"/>
      <name val="Times New Roman"/>
      <family val="1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Times New Roman"/>
      <family val="1"/>
    </font>
    <font>
      <sz val="16"/>
      <name val="Times New Roman"/>
      <family val="1"/>
    </font>
    <font>
      <u/>
      <sz val="16"/>
      <name val="Times New Roman"/>
      <family val="1"/>
    </font>
    <font>
      <u/>
      <sz val="18"/>
      <name val="Calibri"/>
      <family val="2"/>
      <scheme val="minor"/>
    </font>
    <font>
      <sz val="16"/>
      <color theme="0"/>
      <name val="Times New Roman"/>
      <family val="1"/>
    </font>
    <font>
      <u/>
      <sz val="16"/>
      <color theme="1"/>
      <name val="Calibri"/>
      <family val="2"/>
      <scheme val="minor"/>
    </font>
    <font>
      <sz val="11"/>
      <name val="Calibri"/>
      <family val="2"/>
    </font>
    <font>
      <u/>
      <sz val="16"/>
      <name val="Calibri"/>
      <family val="2"/>
      <scheme val="minor"/>
    </font>
    <font>
      <sz val="16"/>
      <color theme="1"/>
      <name val="Calibri"/>
      <family val="2"/>
    </font>
    <font>
      <sz val="15"/>
      <name val="Calibri"/>
      <family val="2"/>
      <scheme val="minor"/>
    </font>
    <font>
      <sz val="15"/>
      <color theme="1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0"/>
      <name val="Times New Roman"/>
      <family val="1"/>
    </font>
    <font>
      <sz val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112">
    <xf numFmtId="0" fontId="0" fillId="0" borderId="0" xfId="0"/>
    <xf numFmtId="0" fontId="1" fillId="0" borderId="0" xfId="0" applyFont="1"/>
    <xf numFmtId="0" fontId="3" fillId="0" borderId="0" xfId="0" applyFont="1" applyProtection="1"/>
    <xf numFmtId="0" fontId="1" fillId="3" borderId="0" xfId="0" applyFont="1" applyFill="1" applyProtection="1"/>
    <xf numFmtId="0" fontId="1" fillId="3" borderId="0" xfId="0" applyFont="1" applyFill="1"/>
    <xf numFmtId="0" fontId="3" fillId="0" borderId="0" xfId="0" applyFont="1" applyAlignment="1" applyProtection="1">
      <alignment horizontal="right"/>
    </xf>
    <xf numFmtId="0" fontId="3" fillId="0" borderId="0" xfId="0" applyFont="1" applyAlignment="1" applyProtection="1">
      <alignment horizontal="center"/>
    </xf>
    <xf numFmtId="0" fontId="0" fillId="3" borderId="0" xfId="0" applyFill="1"/>
    <xf numFmtId="0" fontId="3" fillId="3" borderId="0" xfId="0" applyFont="1" applyFill="1"/>
    <xf numFmtId="0" fontId="8" fillId="0" borderId="0" xfId="0" applyFont="1"/>
    <xf numFmtId="0" fontId="1" fillId="3" borderId="0" xfId="0" applyFont="1" applyFill="1" applyAlignment="1">
      <alignment horizontal="right"/>
    </xf>
    <xf numFmtId="0" fontId="3" fillId="3" borderId="0" xfId="0" applyFont="1" applyFill="1" applyBorder="1"/>
    <xf numFmtId="0" fontId="3" fillId="3" borderId="0" xfId="0" applyFont="1" applyFill="1" applyAlignment="1">
      <alignment horizontal="right"/>
    </xf>
    <xf numFmtId="0" fontId="3" fillId="0" borderId="0" xfId="0" applyFont="1" applyAlignment="1" applyProtection="1">
      <alignment horizontal="left"/>
    </xf>
    <xf numFmtId="0" fontId="4" fillId="3" borderId="0" xfId="0" applyFont="1" applyFill="1" applyAlignment="1" applyProtection="1">
      <alignment horizontal="left"/>
    </xf>
    <xf numFmtId="0" fontId="3" fillId="3" borderId="0" xfId="0" applyFont="1" applyFill="1" applyAlignment="1">
      <alignment horizontal="left"/>
    </xf>
    <xf numFmtId="0" fontId="1" fillId="3" borderId="0" xfId="0" applyFont="1" applyFill="1" applyBorder="1"/>
    <xf numFmtId="0" fontId="9" fillId="3" borderId="0" xfId="0" applyFont="1" applyFill="1" applyBorder="1"/>
    <xf numFmtId="0" fontId="3" fillId="3" borderId="0" xfId="0" applyFont="1" applyFill="1" applyProtection="1"/>
    <xf numFmtId="0" fontId="0" fillId="0" borderId="0" xfId="0" applyAlignment="1">
      <alignment horizontal="center"/>
    </xf>
    <xf numFmtId="0" fontId="3" fillId="3" borderId="0" xfId="0" applyFont="1" applyFill="1" applyAlignment="1">
      <alignment horizontal="center"/>
    </xf>
    <xf numFmtId="0" fontId="14" fillId="0" borderId="0" xfId="0" applyFont="1"/>
    <xf numFmtId="0" fontId="11" fillId="3" borderId="1" xfId="0" applyFont="1" applyFill="1" applyBorder="1" applyAlignment="1" applyProtection="1">
      <alignment horizontal="center"/>
      <protection locked="0"/>
    </xf>
    <xf numFmtId="0" fontId="1" fillId="3" borderId="0" xfId="0" applyFont="1" applyFill="1" applyAlignment="1" applyProtection="1">
      <alignment horizontal="center"/>
    </xf>
    <xf numFmtId="0" fontId="1" fillId="0" borderId="0" xfId="0" applyFont="1" applyProtection="1"/>
    <xf numFmtId="0" fontId="0" fillId="0" borderId="0" xfId="0" applyProtection="1"/>
    <xf numFmtId="0" fontId="1" fillId="3" borderId="0" xfId="0" applyFont="1" applyFill="1" applyBorder="1" applyProtection="1"/>
    <xf numFmtId="0" fontId="3" fillId="3" borderId="0" xfId="0" applyFont="1" applyFill="1" applyBorder="1" applyProtection="1"/>
    <xf numFmtId="0" fontId="0" fillId="3" borderId="0" xfId="0" applyFill="1" applyProtection="1"/>
    <xf numFmtId="0" fontId="0" fillId="0" borderId="0" xfId="0" applyAlignment="1" applyProtection="1">
      <alignment horizontal="center"/>
    </xf>
    <xf numFmtId="0" fontId="1" fillId="3" borderId="0" xfId="0" applyFont="1" applyFill="1" applyAlignment="1" applyProtection="1">
      <alignment horizontal="right"/>
    </xf>
    <xf numFmtId="0" fontId="3" fillId="3" borderId="0" xfId="0" applyFont="1" applyFill="1" applyAlignment="1" applyProtection="1">
      <alignment horizontal="right"/>
    </xf>
    <xf numFmtId="0" fontId="6" fillId="0" borderId="0" xfId="0" applyFont="1" applyAlignment="1" applyProtection="1">
      <alignment horizontal="left"/>
    </xf>
    <xf numFmtId="0" fontId="8" fillId="0" borderId="0" xfId="0" applyFont="1" applyAlignment="1" applyProtection="1"/>
    <xf numFmtId="0" fontId="5" fillId="3" borderId="0" xfId="0" applyFont="1" applyFill="1" applyAlignment="1" applyProtection="1">
      <alignment horizontal="left"/>
    </xf>
    <xf numFmtId="0" fontId="9" fillId="3" borderId="0" xfId="0" applyFont="1" applyFill="1" applyBorder="1" applyProtection="1"/>
    <xf numFmtId="0" fontId="3" fillId="3" borderId="0" xfId="0" applyFont="1" applyFill="1" applyAlignment="1" applyProtection="1">
      <alignment horizontal="left"/>
    </xf>
    <xf numFmtId="0" fontId="9" fillId="3" borderId="0" xfId="0" applyFont="1" applyFill="1" applyAlignment="1" applyProtection="1">
      <alignment horizontal="right"/>
    </xf>
    <xf numFmtId="0" fontId="5" fillId="3" borderId="0" xfId="0" applyFont="1" applyFill="1" applyAlignment="1" applyProtection="1">
      <alignment horizontal="right"/>
    </xf>
    <xf numFmtId="0" fontId="11" fillId="3" borderId="0" xfId="0" applyFont="1" applyFill="1" applyAlignment="1" applyProtection="1">
      <alignment horizontal="left" vertical="center" wrapText="1"/>
    </xf>
    <xf numFmtId="0" fontId="12" fillId="3" borderId="0" xfId="0" applyFont="1" applyFill="1" applyBorder="1" applyAlignment="1" applyProtection="1">
      <alignment vertical="center" wrapText="1"/>
    </xf>
    <xf numFmtId="0" fontId="14" fillId="0" borderId="0" xfId="0" applyFont="1" applyAlignment="1" applyProtection="1">
      <alignment horizontal="right"/>
    </xf>
    <xf numFmtId="0" fontId="11" fillId="0" borderId="0" xfId="0" applyFont="1" applyAlignment="1" applyProtection="1">
      <alignment horizontal="right"/>
    </xf>
    <xf numFmtId="0" fontId="11" fillId="3" borderId="6" xfId="0" applyFont="1" applyFill="1" applyBorder="1" applyAlignment="1" applyProtection="1">
      <alignment horizontal="center"/>
    </xf>
    <xf numFmtId="0" fontId="11" fillId="0" borderId="0" xfId="0" applyFont="1" applyAlignment="1" applyProtection="1">
      <alignment horizontal="left"/>
    </xf>
    <xf numFmtId="0" fontId="14" fillId="3" borderId="0" xfId="0" applyFont="1" applyFill="1" applyBorder="1" applyProtection="1"/>
    <xf numFmtId="0" fontId="11" fillId="3" borderId="7" xfId="0" applyFont="1" applyFill="1" applyBorder="1" applyAlignment="1" applyProtection="1">
      <alignment horizontal="center"/>
    </xf>
    <xf numFmtId="0" fontId="11" fillId="3" borderId="8" xfId="0" applyFont="1" applyFill="1" applyBorder="1" applyAlignment="1" applyProtection="1">
      <alignment horizontal="center"/>
    </xf>
    <xf numFmtId="9" fontId="8" fillId="3" borderId="0" xfId="1" applyFont="1" applyFill="1" applyAlignment="1" applyProtection="1">
      <alignment horizontal="left"/>
    </xf>
    <xf numFmtId="0" fontId="3" fillId="3" borderId="0" xfId="0" applyFont="1" applyFill="1" applyAlignment="1" applyProtection="1">
      <alignment horizontal="center"/>
    </xf>
    <xf numFmtId="0" fontId="2" fillId="3" borderId="0" xfId="0" applyFont="1" applyFill="1" applyAlignment="1" applyProtection="1">
      <alignment horizontal="left" vertical="center" wrapText="1"/>
    </xf>
    <xf numFmtId="0" fontId="16" fillId="3" borderId="0" xfId="0" applyFont="1" applyFill="1" applyProtection="1"/>
    <xf numFmtId="0" fontId="5" fillId="3" borderId="0" xfId="0" applyFont="1" applyFill="1" applyProtection="1"/>
    <xf numFmtId="0" fontId="10" fillId="2" borderId="1" xfId="0" applyFont="1" applyFill="1" applyBorder="1" applyAlignment="1" applyProtection="1">
      <alignment horizontal="center" vertical="center"/>
    </xf>
    <xf numFmtId="0" fontId="2" fillId="3" borderId="0" xfId="0" applyFont="1" applyFill="1" applyAlignment="1" applyProtection="1">
      <alignment horizontal="center" vertical="center" wrapText="1"/>
    </xf>
    <xf numFmtId="0" fontId="10" fillId="3" borderId="0" xfId="0" applyFont="1" applyFill="1" applyBorder="1" applyAlignment="1" applyProtection="1">
      <alignment horizontal="center" vertical="center"/>
    </xf>
    <xf numFmtId="0" fontId="14" fillId="3" borderId="0" xfId="0" applyFont="1" applyFill="1" applyBorder="1" applyAlignment="1" applyProtection="1">
      <alignment vertical="center"/>
    </xf>
    <xf numFmtId="0" fontId="11" fillId="2" borderId="1" xfId="0" applyFont="1" applyFill="1" applyBorder="1" applyAlignment="1" applyProtection="1">
      <alignment horizontal="center"/>
      <protection locked="0"/>
    </xf>
    <xf numFmtId="0" fontId="8" fillId="0" borderId="0" xfId="0" applyFont="1" applyProtection="1"/>
    <xf numFmtId="0" fontId="11" fillId="3" borderId="0" xfId="0" applyFont="1" applyFill="1" applyBorder="1" applyAlignment="1" applyProtection="1">
      <alignment horizontal="center"/>
    </xf>
    <xf numFmtId="0" fontId="6" fillId="3" borderId="0" xfId="0" applyFont="1" applyFill="1" applyAlignment="1" applyProtection="1">
      <alignment horizontal="left"/>
    </xf>
    <xf numFmtId="0" fontId="14" fillId="3" borderId="0" xfId="0" applyFont="1" applyFill="1" applyAlignment="1" applyProtection="1">
      <alignment horizontal="right"/>
    </xf>
    <xf numFmtId="0" fontId="11" fillId="3" borderId="0" xfId="0" applyFont="1" applyFill="1" applyAlignment="1" applyProtection="1">
      <alignment horizontal="right"/>
    </xf>
    <xf numFmtId="0" fontId="11" fillId="3" borderId="0" xfId="0" applyFont="1" applyFill="1" applyAlignment="1" applyProtection="1">
      <alignment horizontal="left"/>
    </xf>
    <xf numFmtId="0" fontId="11" fillId="3" borderId="1" xfId="0" applyFont="1" applyFill="1" applyBorder="1" applyAlignment="1" applyProtection="1">
      <alignment horizontal="center" vertical="center"/>
    </xf>
    <xf numFmtId="9" fontId="5" fillId="3" borderId="0" xfId="1" applyFont="1" applyFill="1" applyAlignment="1" applyProtection="1">
      <alignment horizontal="left"/>
    </xf>
    <xf numFmtId="0" fontId="11" fillId="3" borderId="0" xfId="0" applyFont="1" applyFill="1" applyBorder="1" applyAlignment="1" applyProtection="1">
      <alignment horizontal="center" vertical="center"/>
    </xf>
    <xf numFmtId="0" fontId="11" fillId="3" borderId="1" xfId="0" applyFont="1" applyFill="1" applyBorder="1" applyAlignment="1" applyProtection="1">
      <alignment vertical="center"/>
    </xf>
    <xf numFmtId="0" fontId="4" fillId="3" borderId="0" xfId="0" applyFont="1" applyFill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5" fillId="3" borderId="0" xfId="0" applyFont="1" applyFill="1" applyAlignment="1" applyProtection="1">
      <alignment horizontal="center"/>
    </xf>
    <xf numFmtId="0" fontId="10" fillId="2" borderId="1" xfId="0" applyFont="1" applyFill="1" applyBorder="1" applyAlignment="1" applyProtection="1">
      <alignment horizontal="left" vertical="center" wrapText="1"/>
      <protection locked="0"/>
    </xf>
    <xf numFmtId="0" fontId="14" fillId="3" borderId="6" xfId="0" applyFont="1" applyFill="1" applyBorder="1" applyAlignment="1" applyProtection="1">
      <alignment horizontal="center"/>
    </xf>
    <xf numFmtId="0" fontId="1" fillId="3" borderId="0" xfId="0" applyFont="1" applyFill="1" applyAlignment="1" applyProtection="1">
      <alignment horizontal="left"/>
    </xf>
    <xf numFmtId="0" fontId="0" fillId="0" borderId="0" xfId="0" applyAlignment="1" applyProtection="1">
      <alignment horizontal="left"/>
    </xf>
    <xf numFmtId="0" fontId="0" fillId="0" borderId="0" xfId="0" applyAlignment="1">
      <alignment horizontal="left"/>
    </xf>
    <xf numFmtId="0" fontId="11" fillId="3" borderId="1" xfId="0" applyFont="1" applyFill="1" applyBorder="1" applyAlignment="1" applyProtection="1">
      <alignment horizontal="left" vertical="center"/>
    </xf>
    <xf numFmtId="0" fontId="8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center"/>
    </xf>
    <xf numFmtId="0" fontId="18" fillId="3" borderId="9" xfId="0" applyFont="1" applyFill="1" applyBorder="1" applyAlignment="1" applyProtection="1">
      <alignment horizontal="right" vertical="center"/>
    </xf>
    <xf numFmtId="0" fontId="14" fillId="3" borderId="0" xfId="0" applyFont="1" applyFill="1" applyBorder="1" applyAlignment="1" applyProtection="1">
      <alignment vertical="center" wrapText="1"/>
    </xf>
    <xf numFmtId="9" fontId="20" fillId="3" borderId="0" xfId="1" applyFont="1" applyFill="1" applyAlignment="1" applyProtection="1">
      <alignment horizontal="left"/>
    </xf>
    <xf numFmtId="0" fontId="21" fillId="3" borderId="0" xfId="0" applyFont="1" applyFill="1" applyAlignment="1" applyProtection="1">
      <alignment horizontal="center"/>
    </xf>
    <xf numFmtId="0" fontId="22" fillId="0" borderId="0" xfId="0" applyFont="1" applyAlignment="1" applyProtection="1">
      <alignment horizontal="center"/>
    </xf>
    <xf numFmtId="0" fontId="21" fillId="3" borderId="0" xfId="0" applyFont="1" applyFill="1" applyAlignment="1">
      <alignment horizontal="center"/>
    </xf>
    <xf numFmtId="0" fontId="4" fillId="3" borderId="0" xfId="0" applyFont="1" applyFill="1" applyAlignment="1" applyProtection="1">
      <alignment horizontal="center"/>
    </xf>
    <xf numFmtId="0" fontId="5" fillId="3" borderId="0" xfId="0" applyFont="1" applyFill="1" applyAlignment="1" applyProtection="1">
      <alignment horizontal="center"/>
    </xf>
    <xf numFmtId="0" fontId="4" fillId="3" borderId="0" xfId="0" applyFont="1" applyFill="1" applyAlignment="1" applyProtection="1">
      <alignment horizontal="center"/>
    </xf>
    <xf numFmtId="0" fontId="13" fillId="3" borderId="0" xfId="0" applyFont="1" applyFill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11" fillId="3" borderId="1" xfId="0" applyFont="1" applyFill="1" applyBorder="1" applyAlignment="1" applyProtection="1">
      <alignment vertical="center"/>
    </xf>
    <xf numFmtId="9" fontId="5" fillId="3" borderId="5" xfId="1" applyFont="1" applyFill="1" applyBorder="1" applyAlignment="1" applyProtection="1">
      <alignment horizontal="right"/>
    </xf>
    <xf numFmtId="0" fontId="10" fillId="2" borderId="3" xfId="0" applyFont="1" applyFill="1" applyBorder="1" applyAlignment="1" applyProtection="1">
      <alignment vertical="center" wrapText="1"/>
      <protection locked="0"/>
    </xf>
    <xf numFmtId="0" fontId="10" fillId="2" borderId="4" xfId="0" applyFont="1" applyFill="1" applyBorder="1" applyAlignment="1" applyProtection="1">
      <alignment vertical="center" wrapText="1"/>
      <protection locked="0"/>
    </xf>
    <xf numFmtId="0" fontId="10" fillId="3" borderId="2" xfId="0" applyFont="1" applyFill="1" applyBorder="1" applyAlignment="1" applyProtection="1">
      <alignment horizontal="right" vertical="center" wrapText="1"/>
    </xf>
    <xf numFmtId="0" fontId="10" fillId="3" borderId="3" xfId="0" applyFont="1" applyFill="1" applyBorder="1" applyAlignment="1" applyProtection="1">
      <alignment horizontal="right" vertical="center" wrapText="1"/>
    </xf>
    <xf numFmtId="9" fontId="19" fillId="3" borderId="5" xfId="1" applyFont="1" applyFill="1" applyBorder="1" applyAlignment="1" applyProtection="1">
      <alignment horizontal="right"/>
    </xf>
    <xf numFmtId="0" fontId="22" fillId="3" borderId="0" xfId="0" applyFont="1" applyFill="1" applyAlignment="1" applyProtection="1">
      <alignment horizontal="center" vertical="top"/>
    </xf>
    <xf numFmtId="0" fontId="5" fillId="3" borderId="0" xfId="0" applyFont="1" applyFill="1" applyAlignment="1" applyProtection="1">
      <alignment horizontal="center"/>
    </xf>
    <xf numFmtId="0" fontId="11" fillId="3" borderId="2" xfId="0" applyFont="1" applyFill="1" applyBorder="1" applyAlignment="1" applyProtection="1">
      <alignment horizontal="right" vertical="center" wrapText="1"/>
    </xf>
    <xf numFmtId="0" fontId="11" fillId="3" borderId="3" xfId="0" applyFont="1" applyFill="1" applyBorder="1" applyAlignment="1" applyProtection="1">
      <alignment horizontal="right" vertical="center" wrapText="1"/>
    </xf>
    <xf numFmtId="0" fontId="11" fillId="3" borderId="3" xfId="0" applyFont="1" applyFill="1" applyBorder="1" applyAlignment="1" applyProtection="1">
      <alignment vertical="center" wrapText="1"/>
      <protection locked="0"/>
    </xf>
    <xf numFmtId="0" fontId="11" fillId="3" borderId="4" xfId="0" applyFont="1" applyFill="1" applyBorder="1" applyAlignment="1" applyProtection="1">
      <alignment vertical="center" wrapText="1"/>
      <protection locked="0"/>
    </xf>
    <xf numFmtId="0" fontId="0" fillId="0" borderId="0" xfId="0" applyBorder="1"/>
    <xf numFmtId="0" fontId="23" fillId="3" borderId="0" xfId="0" applyFont="1" applyFill="1" applyBorder="1" applyAlignment="1" applyProtection="1">
      <alignment horizontal="left" vertical="center"/>
    </xf>
    <xf numFmtId="0" fontId="18" fillId="3" borderId="10" xfId="0" applyFont="1" applyFill="1" applyBorder="1" applyAlignment="1" applyProtection="1">
      <alignment horizontal="right" vertical="center"/>
    </xf>
    <xf numFmtId="0" fontId="10" fillId="2" borderId="6" xfId="0" applyFont="1" applyFill="1" applyBorder="1" applyAlignment="1" applyProtection="1">
      <alignment horizontal="center" vertical="center" wrapText="1"/>
      <protection locked="0"/>
    </xf>
    <xf numFmtId="0" fontId="14" fillId="3" borderId="3" xfId="0" applyFont="1" applyFill="1" applyBorder="1" applyAlignment="1" applyProtection="1">
      <alignment horizontal="center"/>
    </xf>
    <xf numFmtId="0" fontId="11" fillId="3" borderId="2" xfId="0" applyFont="1" applyFill="1" applyBorder="1" applyAlignment="1" applyProtection="1">
      <alignment horizontal="left" vertical="center"/>
    </xf>
    <xf numFmtId="0" fontId="11" fillId="3" borderId="3" xfId="0" applyFont="1" applyFill="1" applyBorder="1" applyAlignment="1" applyProtection="1">
      <alignment horizontal="left" vertical="center"/>
    </xf>
    <xf numFmtId="0" fontId="11" fillId="3" borderId="4" xfId="0" applyFont="1" applyFill="1" applyBorder="1" applyAlignment="1" applyProtection="1">
      <alignment horizontal="left" vertical="center"/>
    </xf>
    <xf numFmtId="0" fontId="24" fillId="3" borderId="0" xfId="0" applyFont="1" applyFill="1" applyAlignment="1" applyProtection="1">
      <alignment horizontal="right"/>
    </xf>
  </cellXfs>
  <cellStyles count="2">
    <cellStyle name="Normal" xfId="0" builtinId="0"/>
    <cellStyle name="Percent" xfId="1" builtinId="5"/>
  </cellStyles>
  <dxfs count="441"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b val="0"/>
        <i/>
      </font>
      <fill>
        <patternFill>
          <bgColor theme="7" tint="-0.24994659260841701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</dxf>
    <dxf>
      <fill>
        <patternFill>
          <bgColor rgb="FF00B050"/>
        </patternFill>
      </fill>
    </dxf>
    <dxf>
      <font>
        <color theme="1"/>
      </font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b val="0"/>
        <i/>
      </font>
      <fill>
        <patternFill>
          <bgColor theme="7" tint="-0.24994659260841701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</dxf>
    <dxf>
      <fill>
        <patternFill>
          <bgColor rgb="FF00B050"/>
        </patternFill>
      </fill>
    </dxf>
    <dxf>
      <font>
        <color theme="1"/>
      </font>
    </dxf>
    <dxf>
      <font>
        <strike/>
      </font>
      <fill>
        <patternFill>
          <bgColor theme="0" tint="-4.9989318521683403E-2"/>
        </patternFill>
      </fill>
    </dxf>
    <dxf>
      <font>
        <strike/>
      </font>
      <fill>
        <patternFill>
          <bgColor theme="0" tint="-4.9989318521683403E-2"/>
        </patternFill>
      </fill>
    </dxf>
    <dxf>
      <font>
        <strike/>
      </font>
      <fill>
        <patternFill>
          <bgColor theme="0" tint="-4.9989318521683403E-2"/>
        </patternFill>
      </fill>
    </dxf>
    <dxf>
      <font>
        <strike/>
      </font>
      <fill>
        <patternFill>
          <bgColor theme="0" tint="-4.9989318521683403E-2"/>
        </patternFill>
      </fill>
    </dxf>
    <dxf>
      <font>
        <strike/>
      </font>
      <fill>
        <patternFill>
          <bgColor theme="0" tint="-4.9989318521683403E-2"/>
        </patternFill>
      </fill>
    </dxf>
    <dxf>
      <font>
        <strike/>
      </font>
      <fill>
        <patternFill>
          <bgColor theme="0" tint="-4.9989318521683403E-2"/>
        </patternFill>
      </fill>
    </dxf>
    <dxf>
      <font>
        <strike/>
        <color theme="1"/>
      </font>
      <fill>
        <patternFill>
          <bgColor theme="0" tint="-4.9989318521683403E-2"/>
        </patternFill>
      </fill>
    </dxf>
    <dxf>
      <font>
        <strike/>
        <color theme="1"/>
      </font>
      <fill>
        <patternFill>
          <bgColor theme="0" tint="-4.9989318521683403E-2"/>
        </patternFill>
      </fill>
    </dxf>
    <dxf>
      <font>
        <strike/>
        <color theme="1"/>
      </font>
      <fill>
        <patternFill>
          <bgColor theme="0" tint="-4.9989318521683403E-2"/>
        </patternFill>
      </fill>
    </dxf>
    <dxf>
      <font>
        <strike/>
        <color theme="1"/>
      </font>
      <fill>
        <patternFill>
          <bgColor theme="0" tint="-4.9989318521683403E-2"/>
        </patternFill>
      </fill>
    </dxf>
    <dxf>
      <font>
        <strike/>
        <color theme="1"/>
      </font>
      <fill>
        <patternFill>
          <bgColor theme="0" tint="-4.9989318521683403E-2"/>
        </patternFill>
      </fill>
    </dxf>
    <dxf>
      <font>
        <strike/>
        <color theme="1"/>
      </font>
      <fill>
        <patternFill>
          <bgColor theme="0" tint="-4.9989318521683403E-2"/>
        </patternFill>
      </fill>
    </dxf>
    <dxf>
      <font>
        <strike/>
        <color theme="1"/>
      </font>
      <fill>
        <patternFill>
          <bgColor theme="0" tint="-4.9989318521683403E-2"/>
        </patternFill>
      </fill>
    </dxf>
    <dxf>
      <font>
        <strike/>
        <color theme="1"/>
      </font>
      <fill>
        <patternFill>
          <bgColor theme="0" tint="-4.9989318521683403E-2"/>
        </patternFill>
      </fill>
    </dxf>
    <dxf>
      <font>
        <strike/>
        <color theme="1"/>
      </font>
      <fill>
        <patternFill>
          <bgColor theme="0" tint="-4.9989318521683403E-2"/>
        </patternFill>
      </fill>
    </dxf>
    <dxf>
      <font>
        <strike/>
        <color theme="1"/>
      </font>
      <fill>
        <patternFill>
          <bgColor theme="0" tint="-4.9989318521683403E-2"/>
        </patternFill>
      </fill>
    </dxf>
    <dxf>
      <font>
        <strike/>
      </font>
      <fill>
        <patternFill>
          <bgColor theme="0" tint="-4.9989318521683403E-2"/>
        </patternFill>
      </fill>
    </dxf>
    <dxf>
      <font>
        <strike/>
      </font>
      <fill>
        <patternFill>
          <bgColor theme="0" tint="-4.9989318521683403E-2"/>
        </patternFill>
      </fill>
    </dxf>
    <dxf>
      <font>
        <strike/>
      </font>
      <fill>
        <patternFill>
          <bgColor theme="0" tint="-4.9989318521683403E-2"/>
        </patternFill>
      </fill>
    </dxf>
    <dxf>
      <font>
        <strike/>
      </font>
      <fill>
        <patternFill>
          <bgColor theme="0" tint="-4.9989318521683403E-2"/>
        </patternFill>
      </fill>
    </dxf>
    <dxf>
      <font>
        <strike/>
      </font>
      <fill>
        <patternFill>
          <bgColor theme="0" tint="-4.9989318521683403E-2"/>
        </patternFill>
      </fill>
    </dxf>
    <dxf>
      <font>
        <strike/>
      </font>
      <fill>
        <patternFill>
          <bgColor theme="0" tint="-4.9989318521683403E-2"/>
        </patternFill>
      </fill>
    </dxf>
    <dxf>
      <font>
        <strike/>
      </font>
      <fill>
        <patternFill>
          <bgColor theme="0" tint="-4.9989318521683403E-2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5" tint="0.59996337778862885"/>
      </font>
      <fill>
        <patternFill>
          <bgColor theme="7" tint="0.79998168889431442"/>
        </patternFill>
      </fill>
    </dxf>
    <dxf>
      <font>
        <color theme="1"/>
      </font>
    </dxf>
    <dxf>
      <font>
        <color theme="5" tint="0.59996337778862885"/>
      </font>
      <fill>
        <patternFill>
          <bgColor theme="7" tint="0.79998168889431442"/>
        </patternFill>
      </fill>
    </dxf>
    <dxf>
      <font>
        <color theme="5" tint="0.59996337778862885"/>
      </font>
      <fill>
        <patternFill>
          <bgColor theme="7" tint="0.79998168889431442"/>
        </patternFill>
      </fill>
    </dxf>
    <dxf>
      <fill>
        <patternFill>
          <bgColor rgb="FF00B050"/>
        </patternFill>
      </fill>
    </dxf>
    <dxf>
      <font>
        <b val="0"/>
        <i/>
      </font>
      <fill>
        <patternFill>
          <bgColor theme="7" tint="-0.24994659260841701"/>
        </patternFill>
      </fill>
    </dxf>
    <dxf>
      <font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Checkbox"/>
      <definedName name="wwsInput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100"/>
  <sheetViews>
    <sheetView showGridLines="0" workbookViewId="0">
      <selection activeCell="G8" sqref="G8:I8"/>
    </sheetView>
  </sheetViews>
  <sheetFormatPr defaultRowHeight="14.4" x14ac:dyDescent="0.3"/>
  <cols>
    <col min="1" max="1" width="2.88671875" customWidth="1"/>
    <col min="2" max="2" width="13.109375" style="10" customWidth="1"/>
    <col min="3" max="3" width="4.6640625" style="12" customWidth="1"/>
    <col min="4" max="4" width="3.6640625" style="19" customWidth="1"/>
    <col min="5" max="5" width="28" customWidth="1"/>
    <col min="6" max="6" width="3.6640625" style="7" customWidth="1"/>
    <col min="7" max="7" width="5.88671875" style="7" customWidth="1"/>
    <col min="8" max="8" width="33.33203125" style="19" customWidth="1"/>
    <col min="9" max="9" width="3.6640625" style="19" customWidth="1"/>
    <col min="10" max="10" width="6.5546875" style="15" customWidth="1"/>
    <col min="11" max="11" width="51.5546875" style="8" customWidth="1"/>
    <col min="12" max="12" width="3.6640625" style="1" customWidth="1"/>
    <col min="13" max="13" width="3.6640625" style="19" customWidth="1"/>
    <col min="14" max="14" width="3.109375" customWidth="1"/>
    <col min="15" max="15" width="3.33203125" style="19" customWidth="1"/>
  </cols>
  <sheetData>
    <row r="1" spans="1:19" ht="18" customHeight="1" x14ac:dyDescent="0.3">
      <c r="A1" s="4"/>
      <c r="B1" s="3"/>
      <c r="C1" s="18"/>
      <c r="D1" s="23"/>
      <c r="E1" s="5"/>
      <c r="F1" s="6"/>
      <c r="G1" s="6"/>
      <c r="H1" s="6"/>
      <c r="I1" s="6"/>
      <c r="J1" s="13"/>
      <c r="K1" s="2"/>
      <c r="L1" s="24"/>
      <c r="M1" s="23"/>
      <c r="N1" s="25"/>
      <c r="O1" s="6"/>
      <c r="P1" s="25"/>
      <c r="Q1" s="25"/>
    </row>
    <row r="2" spans="1:19" ht="18" customHeight="1" x14ac:dyDescent="0.45">
      <c r="A2" s="4"/>
      <c r="B2" s="3"/>
      <c r="C2" s="18"/>
      <c r="D2" s="87" t="s">
        <v>0</v>
      </c>
      <c r="E2" s="87"/>
      <c r="F2" s="87"/>
      <c r="G2" s="87"/>
      <c r="H2" s="87"/>
      <c r="I2" s="87"/>
      <c r="J2" s="14"/>
      <c r="K2" s="68"/>
      <c r="L2" s="26"/>
      <c r="M2" s="27"/>
      <c r="N2" s="26"/>
      <c r="O2" s="26"/>
      <c r="P2" s="26"/>
      <c r="Q2" s="26"/>
      <c r="R2" s="16"/>
      <c r="S2" s="16"/>
    </row>
    <row r="3" spans="1:19" ht="7.2" customHeight="1" x14ac:dyDescent="0.45">
      <c r="A3" s="4"/>
      <c r="B3" s="3"/>
      <c r="C3" s="18"/>
      <c r="D3" s="68"/>
      <c r="E3" s="25"/>
      <c r="F3" s="28"/>
      <c r="G3" s="28"/>
      <c r="H3" s="29"/>
      <c r="I3" s="29"/>
      <c r="J3" s="14"/>
      <c r="K3" s="68"/>
      <c r="L3" s="26"/>
      <c r="M3" s="68"/>
      <c r="N3" s="26"/>
      <c r="O3" s="29"/>
      <c r="P3" s="26"/>
      <c r="Q3" s="26"/>
      <c r="R3" s="16"/>
      <c r="S3" s="16"/>
    </row>
    <row r="4" spans="1:19" ht="23.4" x14ac:dyDescent="0.45">
      <c r="B4" s="30"/>
      <c r="C4" s="31"/>
      <c r="D4" s="29"/>
      <c r="E4" s="88" t="s">
        <v>1</v>
      </c>
      <c r="F4" s="88"/>
      <c r="G4" s="88"/>
      <c r="H4" s="88"/>
      <c r="I4" s="88"/>
      <c r="J4" s="32"/>
      <c r="K4" s="51"/>
      <c r="L4" s="26"/>
      <c r="M4" s="29"/>
      <c r="N4" s="26"/>
      <c r="O4" s="26"/>
      <c r="P4" s="26"/>
      <c r="Q4" s="26"/>
      <c r="R4" s="16"/>
      <c r="S4" s="16"/>
    </row>
    <row r="5" spans="1:19" ht="21" x14ac:dyDescent="0.4">
      <c r="B5" s="30"/>
      <c r="C5" s="31"/>
      <c r="D5" s="29"/>
      <c r="E5" s="25"/>
      <c r="F5" s="69" t="s">
        <v>2</v>
      </c>
      <c r="G5" s="33"/>
      <c r="H5" s="69"/>
      <c r="I5" s="69"/>
      <c r="J5" s="34"/>
      <c r="K5" s="70"/>
      <c r="L5" s="35"/>
      <c r="M5" s="69"/>
      <c r="N5" s="26"/>
      <c r="O5" s="69"/>
      <c r="P5" s="26"/>
      <c r="Q5" s="26"/>
      <c r="R5" s="16"/>
      <c r="S5" s="16"/>
    </row>
    <row r="6" spans="1:19" ht="21" x14ac:dyDescent="0.4">
      <c r="B6" s="30"/>
      <c r="C6" s="31"/>
      <c r="D6" s="89" t="s">
        <v>3</v>
      </c>
      <c r="E6" s="89"/>
      <c r="F6" s="89"/>
      <c r="G6" s="89"/>
      <c r="H6" s="89"/>
      <c r="I6" s="89"/>
      <c r="J6" s="34"/>
      <c r="K6" s="70"/>
      <c r="L6" s="35"/>
      <c r="M6" s="27"/>
      <c r="N6" s="26"/>
      <c r="O6" s="26"/>
      <c r="P6" s="26"/>
      <c r="Q6" s="26"/>
      <c r="R6" s="16"/>
      <c r="S6" s="16"/>
    </row>
    <row r="7" spans="1:19" x14ac:dyDescent="0.3">
      <c r="B7" s="30"/>
      <c r="C7" s="31"/>
      <c r="D7" s="29"/>
      <c r="E7" s="25"/>
      <c r="F7" s="28"/>
      <c r="G7" s="28"/>
      <c r="H7" s="29"/>
      <c r="I7" s="29"/>
      <c r="J7" s="36"/>
      <c r="K7" s="18"/>
      <c r="L7" s="26"/>
      <c r="M7" s="29"/>
      <c r="N7" s="26"/>
      <c r="O7" s="29"/>
      <c r="P7" s="26"/>
      <c r="Q7" s="26"/>
      <c r="R7" s="16"/>
      <c r="S7" s="16"/>
    </row>
    <row r="8" spans="1:19" ht="21" x14ac:dyDescent="0.4">
      <c r="A8" s="9"/>
      <c r="B8" s="37"/>
      <c r="C8" s="38"/>
      <c r="D8" s="69"/>
      <c r="E8" s="94" t="s">
        <v>4</v>
      </c>
      <c r="F8" s="95"/>
      <c r="G8" s="92"/>
      <c r="H8" s="92"/>
      <c r="I8" s="93"/>
      <c r="J8" s="39"/>
      <c r="K8" s="40" t="s">
        <v>5</v>
      </c>
      <c r="L8" s="35"/>
      <c r="M8" s="69"/>
      <c r="N8" s="35"/>
      <c r="O8" s="26"/>
      <c r="P8" s="26"/>
      <c r="Q8" s="26"/>
      <c r="R8" s="16"/>
      <c r="S8" s="16"/>
    </row>
    <row r="9" spans="1:19" s="9" customFormat="1" ht="21" x14ac:dyDescent="0.4">
      <c r="A9" s="21"/>
      <c r="B9" s="41">
        <f>IF(J9="*",1,0)</f>
        <v>0</v>
      </c>
      <c r="C9" s="42">
        <v>1</v>
      </c>
      <c r="D9" s="90" t="s">
        <v>6</v>
      </c>
      <c r="E9" s="90"/>
      <c r="F9" s="57"/>
      <c r="G9" s="43"/>
      <c r="H9" s="67" t="s">
        <v>7</v>
      </c>
      <c r="I9" s="57"/>
      <c r="J9" s="44" t="str">
        <f>IF(AND(F9="n",I9="y"),"*",IF(OR(F9="y",I9="n"),"?",""))</f>
        <v/>
      </c>
      <c r="K9" s="44" t="str">
        <f t="shared" ref="K9:K39" si="0">IF(J9="?","Modal, then subject, then verb.","")</f>
        <v/>
      </c>
      <c r="L9" s="45" t="s">
        <v>8</v>
      </c>
      <c r="M9" s="69"/>
      <c r="N9" s="45"/>
      <c r="O9" s="69"/>
      <c r="P9" s="35"/>
      <c r="Q9" s="35"/>
      <c r="R9" s="17"/>
      <c r="S9" s="17"/>
    </row>
    <row r="10" spans="1:19" s="9" customFormat="1" ht="21" x14ac:dyDescent="0.4">
      <c r="A10" s="21"/>
      <c r="B10" s="41">
        <f t="shared" ref="B10:B40" si="1">IF(J10="*",1,0)</f>
        <v>0</v>
      </c>
      <c r="C10" s="42">
        <f>1+C9</f>
        <v>2</v>
      </c>
      <c r="D10" s="90" t="s">
        <v>9</v>
      </c>
      <c r="E10" s="90"/>
      <c r="F10" s="57"/>
      <c r="G10" s="46"/>
      <c r="H10" s="67" t="s">
        <v>10</v>
      </c>
      <c r="I10" s="57"/>
      <c r="J10" s="44" t="str">
        <f>IF(AND(F10="y",I10="n"),"*",IF(OR(F10="y",I10="n"),"?",""))</f>
        <v/>
      </c>
      <c r="K10" s="44" t="str">
        <f>IF(J10="?","'Be' verb before subject.","")</f>
        <v/>
      </c>
      <c r="L10" s="45" t="s">
        <v>11</v>
      </c>
      <c r="M10" s="69"/>
      <c r="N10" s="45"/>
      <c r="O10" s="69"/>
      <c r="P10" s="35"/>
      <c r="Q10" s="35"/>
      <c r="R10" s="17"/>
      <c r="S10" s="17"/>
    </row>
    <row r="11" spans="1:19" s="9" customFormat="1" ht="21" x14ac:dyDescent="0.4">
      <c r="A11" s="21"/>
      <c r="B11" s="41">
        <f t="shared" si="1"/>
        <v>0</v>
      </c>
      <c r="C11" s="42">
        <f t="shared" ref="C11:C40" si="2">1+C10</f>
        <v>3</v>
      </c>
      <c r="D11" s="90" t="s">
        <v>12</v>
      </c>
      <c r="E11" s="90"/>
      <c r="F11" s="57"/>
      <c r="G11" s="46"/>
      <c r="H11" s="67" t="s">
        <v>13</v>
      </c>
      <c r="I11" s="57"/>
      <c r="J11" s="44" t="str">
        <f>IF(AND(F11="y",I11="n"),"*",IF(OR(F11="y",I11="n"),"?",""))</f>
        <v/>
      </c>
      <c r="K11" s="44" t="str">
        <f t="shared" ref="K11:K12" si="3">IF(J11="?","'Be' verb before subject.","")</f>
        <v/>
      </c>
      <c r="L11" s="45" t="s">
        <v>14</v>
      </c>
      <c r="M11" s="69"/>
      <c r="N11" s="45"/>
      <c r="O11" s="69"/>
      <c r="P11" s="35"/>
      <c r="Q11" s="35"/>
      <c r="R11" s="17"/>
      <c r="S11" s="17"/>
    </row>
    <row r="12" spans="1:19" s="9" customFormat="1" ht="21" x14ac:dyDescent="0.4">
      <c r="A12" s="21"/>
      <c r="B12" s="41">
        <f t="shared" si="1"/>
        <v>0</v>
      </c>
      <c r="C12" s="42">
        <f t="shared" si="2"/>
        <v>4</v>
      </c>
      <c r="D12" s="90" t="s">
        <v>15</v>
      </c>
      <c r="E12" s="90"/>
      <c r="F12" s="57"/>
      <c r="G12" s="46"/>
      <c r="H12" s="67" t="s">
        <v>16</v>
      </c>
      <c r="I12" s="57"/>
      <c r="J12" s="44" t="str">
        <f>IF(AND(F12="y",I12="n"),"*",IF(OR(F12="y",I12="n"),"?",""))</f>
        <v/>
      </c>
      <c r="K12" s="44" t="str">
        <f t="shared" si="3"/>
        <v/>
      </c>
      <c r="L12" s="45" t="s">
        <v>17</v>
      </c>
      <c r="M12" s="69"/>
      <c r="N12" s="45"/>
      <c r="O12" s="69"/>
      <c r="P12" s="35"/>
      <c r="Q12" s="35"/>
      <c r="R12" s="17"/>
      <c r="S12" s="17"/>
    </row>
    <row r="13" spans="1:19" s="9" customFormat="1" ht="21" x14ac:dyDescent="0.4">
      <c r="A13" s="21"/>
      <c r="B13" s="41">
        <f t="shared" si="1"/>
        <v>0</v>
      </c>
      <c r="C13" s="42">
        <f t="shared" si="2"/>
        <v>5</v>
      </c>
      <c r="D13" s="90" t="s">
        <v>18</v>
      </c>
      <c r="E13" s="90"/>
      <c r="F13" s="57"/>
      <c r="G13" s="46"/>
      <c r="H13" s="67" t="s">
        <v>19</v>
      </c>
      <c r="I13" s="57"/>
      <c r="J13" s="44" t="str">
        <f>IF(AND(F13="y",I13="n"),"*",IF(OR(F13="y",I13="n"),"?",""))</f>
        <v/>
      </c>
      <c r="K13" s="44" t="str">
        <f t="shared" si="0"/>
        <v/>
      </c>
      <c r="L13" s="45" t="s">
        <v>20</v>
      </c>
      <c r="M13" s="69"/>
      <c r="N13" s="45"/>
      <c r="O13" s="69"/>
      <c r="P13" s="35"/>
      <c r="Q13" s="35"/>
      <c r="R13" s="17"/>
      <c r="S13" s="17"/>
    </row>
    <row r="14" spans="1:19" s="9" customFormat="1" ht="21" x14ac:dyDescent="0.4">
      <c r="A14" s="21"/>
      <c r="B14" s="41">
        <f t="shared" si="1"/>
        <v>0</v>
      </c>
      <c r="C14" s="42">
        <f t="shared" si="2"/>
        <v>6</v>
      </c>
      <c r="D14" s="90" t="s">
        <v>7</v>
      </c>
      <c r="E14" s="90"/>
      <c r="F14" s="57"/>
      <c r="G14" s="46"/>
      <c r="H14" s="67" t="s">
        <v>6</v>
      </c>
      <c r="I14" s="57"/>
      <c r="J14" s="44" t="str">
        <f>IF(AND(F14="y",I14="n"),"*",IF(OR(F14="y",I14="n"),"?",""))</f>
        <v/>
      </c>
      <c r="K14" s="44" t="str">
        <f t="shared" si="0"/>
        <v/>
      </c>
      <c r="L14" s="45" t="s">
        <v>21</v>
      </c>
      <c r="M14" s="69"/>
      <c r="N14" s="45"/>
      <c r="O14" s="69"/>
      <c r="P14" s="35"/>
      <c r="Q14" s="35"/>
      <c r="R14" s="17"/>
      <c r="S14" s="17"/>
    </row>
    <row r="15" spans="1:19" s="9" customFormat="1" ht="21" x14ac:dyDescent="0.4">
      <c r="A15" s="21"/>
      <c r="B15" s="41">
        <f t="shared" si="1"/>
        <v>0</v>
      </c>
      <c r="C15" s="42">
        <f t="shared" si="2"/>
        <v>7</v>
      </c>
      <c r="D15" s="90" t="s">
        <v>22</v>
      </c>
      <c r="E15" s="90"/>
      <c r="F15" s="57"/>
      <c r="G15" s="46"/>
      <c r="H15" s="67" t="s">
        <v>23</v>
      </c>
      <c r="I15" s="57"/>
      <c r="J15" s="44" t="str">
        <f>IF(AND(F15="n",I15="y"),"*",IF(OR(F15="y",I15="n"),"?",""))</f>
        <v/>
      </c>
      <c r="K15" s="44" t="str">
        <f>IF(J15="?","Modal, then subject, then verb.","")</f>
        <v/>
      </c>
      <c r="L15" s="45" t="s">
        <v>24</v>
      </c>
      <c r="M15" s="69"/>
      <c r="N15" s="45"/>
      <c r="O15" s="69"/>
      <c r="P15" s="35"/>
      <c r="Q15" s="35"/>
      <c r="R15" s="17"/>
      <c r="S15" s="17"/>
    </row>
    <row r="16" spans="1:19" s="9" customFormat="1" ht="21" x14ac:dyDescent="0.4">
      <c r="A16" s="21"/>
      <c r="B16" s="41">
        <f t="shared" si="1"/>
        <v>0</v>
      </c>
      <c r="C16" s="42">
        <f t="shared" si="2"/>
        <v>8</v>
      </c>
      <c r="D16" s="90" t="s">
        <v>25</v>
      </c>
      <c r="E16" s="90"/>
      <c r="F16" s="57"/>
      <c r="G16" s="46"/>
      <c r="H16" s="67" t="s">
        <v>26</v>
      </c>
      <c r="I16" s="57"/>
      <c r="J16" s="44" t="str">
        <f>IF(AND(F16="n",I16="y"),"*",IF(OR(F16="y",I16="n"),"?",""))</f>
        <v/>
      </c>
      <c r="K16" s="44" t="str">
        <f t="shared" si="0"/>
        <v/>
      </c>
      <c r="L16" s="45" t="s">
        <v>27</v>
      </c>
      <c r="M16" s="69"/>
      <c r="N16" s="45"/>
      <c r="O16" s="69"/>
      <c r="P16" s="35"/>
      <c r="Q16" s="35"/>
      <c r="R16" s="17"/>
      <c r="S16" s="17"/>
    </row>
    <row r="17" spans="1:19" s="9" customFormat="1" ht="21" x14ac:dyDescent="0.4">
      <c r="A17" s="21"/>
      <c r="B17" s="41">
        <f t="shared" si="1"/>
        <v>0</v>
      </c>
      <c r="C17" s="42">
        <f t="shared" si="2"/>
        <v>9</v>
      </c>
      <c r="D17" s="90" t="s">
        <v>28</v>
      </c>
      <c r="E17" s="90"/>
      <c r="F17" s="57"/>
      <c r="G17" s="46"/>
      <c r="H17" s="67" t="s">
        <v>29</v>
      </c>
      <c r="I17" s="57"/>
      <c r="J17" s="44" t="str">
        <f>IF(AND(F17="y",I17="n"),"*",IF(OR(F17="n",I17="y"),"?",""))</f>
        <v/>
      </c>
      <c r="K17" s="44" t="str">
        <f t="shared" ref="K17:K19" si="4">IF(J17="?","'Be' verb before subject.","")</f>
        <v/>
      </c>
      <c r="L17" s="45" t="s">
        <v>30</v>
      </c>
      <c r="M17" s="69"/>
      <c r="N17" s="45"/>
      <c r="O17" s="69"/>
      <c r="P17" s="35"/>
      <c r="Q17" s="35"/>
      <c r="R17" s="17"/>
      <c r="S17" s="17"/>
    </row>
    <row r="18" spans="1:19" s="9" customFormat="1" ht="21" x14ac:dyDescent="0.4">
      <c r="A18" s="21"/>
      <c r="B18" s="41">
        <f t="shared" si="1"/>
        <v>0</v>
      </c>
      <c r="C18" s="42">
        <f t="shared" si="2"/>
        <v>10</v>
      </c>
      <c r="D18" s="90" t="s">
        <v>31</v>
      </c>
      <c r="E18" s="90"/>
      <c r="F18" s="57"/>
      <c r="G18" s="46"/>
      <c r="H18" s="67" t="s">
        <v>32</v>
      </c>
      <c r="I18" s="57"/>
      <c r="J18" s="44" t="str">
        <f>IF(AND(F18="y",I18="n"),"*",IF(OR(F18="n",I18="y"),"?",""))</f>
        <v/>
      </c>
      <c r="K18" s="44" t="str">
        <f t="shared" si="4"/>
        <v/>
      </c>
      <c r="L18" s="45" t="s">
        <v>33</v>
      </c>
      <c r="M18" s="69"/>
      <c r="N18" s="45"/>
      <c r="O18" s="69"/>
      <c r="Q18" s="17"/>
      <c r="R18" s="56"/>
      <c r="S18" s="17"/>
    </row>
    <row r="19" spans="1:19" s="9" customFormat="1" ht="21" x14ac:dyDescent="0.4">
      <c r="A19" s="21"/>
      <c r="B19" s="41">
        <f t="shared" si="1"/>
        <v>0</v>
      </c>
      <c r="C19" s="42">
        <f t="shared" si="2"/>
        <v>11</v>
      </c>
      <c r="D19" s="90" t="s">
        <v>34</v>
      </c>
      <c r="E19" s="90"/>
      <c r="F19" s="57"/>
      <c r="G19" s="46"/>
      <c r="H19" s="67" t="s">
        <v>35</v>
      </c>
      <c r="I19" s="57"/>
      <c r="J19" s="44" t="str">
        <f>IF(AND(F19="n",I19="y"),"*",IF(OR(F19="y",I19="n"),"?",""))</f>
        <v/>
      </c>
      <c r="K19" s="44" t="str">
        <f t="shared" si="4"/>
        <v/>
      </c>
      <c r="L19" s="45" t="s">
        <v>36</v>
      </c>
      <c r="M19" s="69"/>
      <c r="N19" s="45"/>
      <c r="O19" s="69"/>
      <c r="Q19" s="17"/>
      <c r="R19" s="56"/>
      <c r="S19" s="17"/>
    </row>
    <row r="20" spans="1:19" s="9" customFormat="1" ht="21" x14ac:dyDescent="0.4">
      <c r="A20" s="21"/>
      <c r="B20" s="41">
        <f t="shared" si="1"/>
        <v>0</v>
      </c>
      <c r="C20" s="42">
        <f t="shared" si="2"/>
        <v>12</v>
      </c>
      <c r="D20" s="90" t="s">
        <v>37</v>
      </c>
      <c r="E20" s="90"/>
      <c r="F20" s="57"/>
      <c r="G20" s="46"/>
      <c r="H20" s="67" t="s">
        <v>38</v>
      </c>
      <c r="I20" s="57"/>
      <c r="J20" s="44" t="str">
        <f>IF(AND(F20="y",I20="n"),"*",IF(OR(F20="y",I20="n"),"?",""))</f>
        <v/>
      </c>
      <c r="K20" s="44" t="str">
        <f t="shared" si="0"/>
        <v/>
      </c>
      <c r="L20" s="45" t="s">
        <v>39</v>
      </c>
      <c r="M20" s="69"/>
      <c r="N20" s="45"/>
      <c r="O20" s="69"/>
      <c r="P20" s="35"/>
      <c r="Q20" s="35"/>
      <c r="R20" s="17"/>
      <c r="S20" s="17"/>
    </row>
    <row r="21" spans="1:19" s="9" customFormat="1" ht="21" x14ac:dyDescent="0.4">
      <c r="A21" s="21"/>
      <c r="B21" s="41">
        <f t="shared" si="1"/>
        <v>0</v>
      </c>
      <c r="C21" s="42">
        <f t="shared" si="2"/>
        <v>13</v>
      </c>
      <c r="D21" s="90" t="s">
        <v>40</v>
      </c>
      <c r="E21" s="90"/>
      <c r="F21" s="57"/>
      <c r="G21" s="46"/>
      <c r="H21" s="67" t="s">
        <v>41</v>
      </c>
      <c r="I21" s="57"/>
      <c r="J21" s="44" t="str">
        <f>IF(AND(F21="y",I21="n"),"*",IF(OR(F21="y",I21="n"),"?",""))</f>
        <v/>
      </c>
      <c r="K21" s="44" t="str">
        <f t="shared" si="0"/>
        <v/>
      </c>
      <c r="L21" s="45" t="s">
        <v>42</v>
      </c>
      <c r="M21" s="69"/>
      <c r="N21" s="45"/>
      <c r="O21" s="69"/>
      <c r="P21" s="35"/>
      <c r="Q21" s="35"/>
      <c r="R21" s="17"/>
      <c r="S21" s="17"/>
    </row>
    <row r="22" spans="1:19" s="9" customFormat="1" ht="21" x14ac:dyDescent="0.4">
      <c r="A22" s="21"/>
      <c r="B22" s="41">
        <f t="shared" si="1"/>
        <v>0</v>
      </c>
      <c r="C22" s="42">
        <f t="shared" si="2"/>
        <v>14</v>
      </c>
      <c r="D22" s="90" t="s">
        <v>43</v>
      </c>
      <c r="E22" s="90"/>
      <c r="F22" s="57"/>
      <c r="G22" s="46"/>
      <c r="H22" s="67" t="s">
        <v>44</v>
      </c>
      <c r="I22" s="57"/>
      <c r="J22" s="44" t="str">
        <f>IF(AND(F22="n",I22="y"),"*",IF(OR(F22="y",I22="n"),"?",""))</f>
        <v/>
      </c>
      <c r="K22" s="44" t="str">
        <f t="shared" si="0"/>
        <v/>
      </c>
      <c r="L22" s="45" t="s">
        <v>45</v>
      </c>
      <c r="M22" s="69"/>
      <c r="N22" s="45"/>
      <c r="O22" s="69"/>
      <c r="P22" s="35"/>
      <c r="S22" s="17"/>
    </row>
    <row r="23" spans="1:19" s="9" customFormat="1" ht="21" x14ac:dyDescent="0.4">
      <c r="A23" s="21"/>
      <c r="B23" s="41">
        <f t="shared" si="1"/>
        <v>0</v>
      </c>
      <c r="C23" s="42">
        <f t="shared" si="2"/>
        <v>15</v>
      </c>
      <c r="D23" s="90" t="s">
        <v>46</v>
      </c>
      <c r="E23" s="90"/>
      <c r="F23" s="57"/>
      <c r="G23" s="46"/>
      <c r="H23" s="67" t="s">
        <v>47</v>
      </c>
      <c r="I23" s="57"/>
      <c r="J23" s="44" t="str">
        <f>IF(AND(F23="n",I23="y"),"*",IF(OR(F23="y",I23="n"),"?",""))</f>
        <v/>
      </c>
      <c r="K23" s="44" t="str">
        <f t="shared" ref="K23:K26" si="5">IF(J23="?","'Be' verb before subject.","")</f>
        <v/>
      </c>
      <c r="L23" s="45" t="s">
        <v>36</v>
      </c>
      <c r="M23" s="69"/>
      <c r="N23" s="45"/>
      <c r="O23" s="69"/>
      <c r="P23" s="35"/>
      <c r="S23" s="17"/>
    </row>
    <row r="24" spans="1:19" s="9" customFormat="1" ht="21" x14ac:dyDescent="0.4">
      <c r="A24" s="21"/>
      <c r="B24" s="41">
        <f t="shared" si="1"/>
        <v>0</v>
      </c>
      <c r="C24" s="42">
        <f t="shared" si="2"/>
        <v>16</v>
      </c>
      <c r="D24" s="90" t="s">
        <v>40</v>
      </c>
      <c r="E24" s="90"/>
      <c r="F24" s="57"/>
      <c r="G24" s="46"/>
      <c r="H24" s="67" t="s">
        <v>41</v>
      </c>
      <c r="I24" s="53"/>
      <c r="J24" s="44" t="str">
        <f>IF(AND(F24="y",I24="n"),"*",IF(OR(F24="y",I24="n"),"?",""))</f>
        <v/>
      </c>
      <c r="K24" s="44" t="str">
        <f t="shared" si="0"/>
        <v/>
      </c>
      <c r="L24" s="45" t="s">
        <v>48</v>
      </c>
      <c r="M24" s="69"/>
      <c r="N24" s="45"/>
      <c r="O24" s="69"/>
      <c r="P24" s="35"/>
      <c r="S24" s="17"/>
    </row>
    <row r="25" spans="1:19" s="9" customFormat="1" ht="21" x14ac:dyDescent="0.4">
      <c r="A25" s="21"/>
      <c r="B25" s="41">
        <f t="shared" si="1"/>
        <v>0</v>
      </c>
      <c r="C25" s="42">
        <f t="shared" si="2"/>
        <v>17</v>
      </c>
      <c r="D25" s="90" t="s">
        <v>49</v>
      </c>
      <c r="E25" s="90"/>
      <c r="F25" s="57"/>
      <c r="G25" s="46"/>
      <c r="H25" s="67" t="s">
        <v>50</v>
      </c>
      <c r="I25" s="53"/>
      <c r="J25" s="44" t="str">
        <f>IF(AND(F25="y",I25="n"),"*",IF(OR(F25="y",I25="n"),"?",""))</f>
        <v/>
      </c>
      <c r="K25" s="44" t="str">
        <f t="shared" si="5"/>
        <v/>
      </c>
      <c r="L25" s="45" t="s">
        <v>36</v>
      </c>
      <c r="M25" s="69"/>
      <c r="N25" s="45"/>
      <c r="O25" s="69"/>
      <c r="P25" s="35"/>
      <c r="S25" s="17"/>
    </row>
    <row r="26" spans="1:19" s="9" customFormat="1" ht="21" x14ac:dyDescent="0.4">
      <c r="A26" s="21"/>
      <c r="B26" s="41">
        <f t="shared" si="1"/>
        <v>0</v>
      </c>
      <c r="C26" s="42">
        <f t="shared" si="2"/>
        <v>18</v>
      </c>
      <c r="D26" s="90" t="s">
        <v>51</v>
      </c>
      <c r="E26" s="90"/>
      <c r="F26" s="57"/>
      <c r="G26" s="46"/>
      <c r="H26" s="67" t="s">
        <v>52</v>
      </c>
      <c r="I26" s="53"/>
      <c r="J26" s="44" t="str">
        <f>IF(AND(F26="y",I26="n"),"*",IF(OR(F26="y",I26="n"),"?",""))</f>
        <v/>
      </c>
      <c r="K26" s="44" t="str">
        <f t="shared" si="5"/>
        <v/>
      </c>
      <c r="L26" s="45" t="s">
        <v>30</v>
      </c>
      <c r="M26" s="69"/>
      <c r="N26" s="45"/>
      <c r="O26" s="69"/>
      <c r="P26" s="35"/>
      <c r="Q26" s="35"/>
      <c r="R26" s="17"/>
      <c r="S26" s="17"/>
    </row>
    <row r="27" spans="1:19" s="9" customFormat="1" ht="21" x14ac:dyDescent="0.4">
      <c r="A27" s="21"/>
      <c r="B27" s="41">
        <f t="shared" si="1"/>
        <v>0</v>
      </c>
      <c r="C27" s="42">
        <f t="shared" si="2"/>
        <v>19</v>
      </c>
      <c r="D27" s="90" t="s">
        <v>53</v>
      </c>
      <c r="E27" s="90"/>
      <c r="F27" s="57"/>
      <c r="G27" s="46"/>
      <c r="H27" s="67" t="s">
        <v>54</v>
      </c>
      <c r="I27" s="57"/>
      <c r="J27" s="44" t="str">
        <f>IF(AND(F27="y",I27="n"),"*",IF(OR(F27="n",I27="y"),"?",""))</f>
        <v/>
      </c>
      <c r="K27" s="44" t="str">
        <f t="shared" si="0"/>
        <v/>
      </c>
      <c r="L27" s="45" t="s">
        <v>55</v>
      </c>
      <c r="M27" s="69"/>
      <c r="N27" s="45"/>
      <c r="O27" s="69"/>
      <c r="P27" s="35"/>
      <c r="Q27" s="35"/>
      <c r="R27" s="17"/>
      <c r="S27" s="17"/>
    </row>
    <row r="28" spans="1:19" s="9" customFormat="1" ht="21" x14ac:dyDescent="0.4">
      <c r="A28" s="21"/>
      <c r="B28" s="41">
        <f t="shared" si="1"/>
        <v>0</v>
      </c>
      <c r="C28" s="42">
        <f t="shared" si="2"/>
        <v>20</v>
      </c>
      <c r="D28" s="90" t="s">
        <v>56</v>
      </c>
      <c r="E28" s="90"/>
      <c r="F28" s="57"/>
      <c r="G28" s="46"/>
      <c r="H28" s="67" t="s">
        <v>57</v>
      </c>
      <c r="I28" s="57"/>
      <c r="J28" s="44" t="str">
        <f>IF(AND(F28="n",I28="y"),"*",IF(OR(F28="y",I28="n"),"?",""))</f>
        <v/>
      </c>
      <c r="K28" s="44" t="str">
        <f t="shared" ref="K28:K35" si="6">IF(J28="?","'Be' verb before subject.","")</f>
        <v/>
      </c>
      <c r="L28" s="45" t="s">
        <v>30</v>
      </c>
      <c r="M28" s="69"/>
      <c r="N28" s="45"/>
      <c r="O28" s="69"/>
      <c r="P28" s="35"/>
      <c r="Q28" s="35"/>
      <c r="R28" s="17"/>
      <c r="S28" s="17"/>
    </row>
    <row r="29" spans="1:19" s="9" customFormat="1" ht="21" x14ac:dyDescent="0.4">
      <c r="A29" s="21"/>
      <c r="B29" s="41">
        <f t="shared" si="1"/>
        <v>0</v>
      </c>
      <c r="C29" s="42">
        <f t="shared" si="2"/>
        <v>21</v>
      </c>
      <c r="D29" s="90" t="s">
        <v>58</v>
      </c>
      <c r="E29" s="90"/>
      <c r="F29" s="57"/>
      <c r="G29" s="46"/>
      <c r="H29" s="67" t="s">
        <v>59</v>
      </c>
      <c r="I29" s="57"/>
      <c r="J29" s="44" t="str">
        <f>IF(AND(F29="y",I29="n"),"*",IF(OR(F29="n",I29="y"),"?",""))</f>
        <v/>
      </c>
      <c r="K29" s="44" t="str">
        <f t="shared" si="6"/>
        <v/>
      </c>
      <c r="L29" s="45" t="s">
        <v>36</v>
      </c>
      <c r="M29" s="69"/>
      <c r="N29" s="45"/>
      <c r="O29" s="69"/>
      <c r="P29" s="35"/>
      <c r="Q29" s="35"/>
      <c r="R29" s="17"/>
      <c r="S29" s="17"/>
    </row>
    <row r="30" spans="1:19" s="9" customFormat="1" ht="21" x14ac:dyDescent="0.4">
      <c r="A30" s="21"/>
      <c r="B30" s="41">
        <f t="shared" si="1"/>
        <v>0</v>
      </c>
      <c r="C30" s="42">
        <f t="shared" si="2"/>
        <v>22</v>
      </c>
      <c r="D30" s="90" t="s">
        <v>60</v>
      </c>
      <c r="E30" s="90"/>
      <c r="F30" s="57"/>
      <c r="G30" s="46"/>
      <c r="H30" s="67" t="s">
        <v>15</v>
      </c>
      <c r="I30" s="57"/>
      <c r="J30" s="44" t="str">
        <f>IF(AND(F30="n",I30="y"),"*",IF(OR(F30="y",I30="n"),"?",""))</f>
        <v/>
      </c>
      <c r="K30" s="44" t="str">
        <f t="shared" si="6"/>
        <v/>
      </c>
      <c r="L30" s="45" t="s">
        <v>36</v>
      </c>
      <c r="M30" s="69"/>
      <c r="N30" s="45"/>
      <c r="O30" s="69"/>
      <c r="P30" s="35"/>
      <c r="Q30" s="35"/>
      <c r="R30" s="17"/>
      <c r="S30" s="17"/>
    </row>
    <row r="31" spans="1:19" s="9" customFormat="1" ht="21" x14ac:dyDescent="0.4">
      <c r="A31" s="21"/>
      <c r="B31" s="41">
        <f t="shared" si="1"/>
        <v>0</v>
      </c>
      <c r="C31" s="42">
        <f t="shared" si="2"/>
        <v>23</v>
      </c>
      <c r="D31" s="90" t="s">
        <v>61</v>
      </c>
      <c r="E31" s="90"/>
      <c r="F31" s="57"/>
      <c r="G31" s="46"/>
      <c r="H31" s="67" t="s">
        <v>62</v>
      </c>
      <c r="I31" s="57"/>
      <c r="J31" s="44" t="str">
        <f>IF(AND(F31="n",I31="y"),"*",IF(OR(F31="y",I31="n"),"?",""))</f>
        <v/>
      </c>
      <c r="K31" s="44" t="str">
        <f t="shared" si="6"/>
        <v/>
      </c>
      <c r="L31" s="45" t="s">
        <v>63</v>
      </c>
      <c r="M31" s="69"/>
      <c r="N31" s="45"/>
      <c r="O31" s="69"/>
      <c r="P31" s="35"/>
      <c r="Q31" s="35"/>
      <c r="R31" s="17"/>
      <c r="S31" s="17"/>
    </row>
    <row r="32" spans="1:19" s="9" customFormat="1" ht="21" x14ac:dyDescent="0.4">
      <c r="A32" s="21"/>
      <c r="B32" s="41">
        <f t="shared" si="1"/>
        <v>0</v>
      </c>
      <c r="C32" s="42">
        <f t="shared" si="2"/>
        <v>24</v>
      </c>
      <c r="D32" s="90" t="s">
        <v>64</v>
      </c>
      <c r="E32" s="90"/>
      <c r="F32" s="57"/>
      <c r="G32" s="46"/>
      <c r="H32" s="67" t="s">
        <v>65</v>
      </c>
      <c r="I32" s="57"/>
      <c r="J32" s="44" t="str">
        <f>IF(AND(F32="y",I32="n"),"*",IF(OR(F32="n",I32="y"),"?",""))</f>
        <v/>
      </c>
      <c r="K32" s="44" t="str">
        <f t="shared" si="0"/>
        <v/>
      </c>
      <c r="L32" s="45" t="s">
        <v>42</v>
      </c>
      <c r="M32" s="69"/>
      <c r="N32" s="45"/>
      <c r="O32" s="69"/>
      <c r="P32" s="35"/>
      <c r="Q32" s="35"/>
      <c r="R32" s="17"/>
      <c r="S32" s="17"/>
    </row>
    <row r="33" spans="1:19" s="9" customFormat="1" ht="21" x14ac:dyDescent="0.4">
      <c r="A33" s="21"/>
      <c r="B33" s="41">
        <f t="shared" si="1"/>
        <v>0</v>
      </c>
      <c r="C33" s="42">
        <f t="shared" si="2"/>
        <v>25</v>
      </c>
      <c r="D33" s="90" t="s">
        <v>66</v>
      </c>
      <c r="E33" s="90"/>
      <c r="F33" s="57"/>
      <c r="G33" s="46"/>
      <c r="H33" s="67" t="s">
        <v>67</v>
      </c>
      <c r="I33" s="57"/>
      <c r="J33" s="44" t="str">
        <f>IF(AND(F33="y",I33="n"),"*",IF(OR(F33="n",I33="y"),"?",""))</f>
        <v/>
      </c>
      <c r="K33" s="44" t="str">
        <f t="shared" si="6"/>
        <v/>
      </c>
      <c r="L33" s="45" t="s">
        <v>68</v>
      </c>
      <c r="M33" s="69"/>
      <c r="N33" s="45"/>
      <c r="O33" s="69"/>
      <c r="P33" s="35"/>
      <c r="Q33" s="35"/>
      <c r="R33" s="17"/>
      <c r="S33" s="17"/>
    </row>
    <row r="34" spans="1:19" s="9" customFormat="1" ht="21" x14ac:dyDescent="0.4">
      <c r="A34" s="21"/>
      <c r="B34" s="41">
        <f t="shared" si="1"/>
        <v>0</v>
      </c>
      <c r="C34" s="42">
        <f t="shared" si="2"/>
        <v>26</v>
      </c>
      <c r="D34" s="90" t="s">
        <v>69</v>
      </c>
      <c r="E34" s="90"/>
      <c r="F34" s="57"/>
      <c r="G34" s="46"/>
      <c r="H34" s="67" t="s">
        <v>70</v>
      </c>
      <c r="I34" s="57"/>
      <c r="J34" s="44" t="str">
        <f>IF(AND(F34="n",I34="y"),"*",IF(OR(F34="y",I34="n"),"?",""))</f>
        <v/>
      </c>
      <c r="K34" s="44" t="str">
        <f t="shared" si="6"/>
        <v/>
      </c>
      <c r="L34" s="45" t="s">
        <v>71</v>
      </c>
      <c r="M34" s="69"/>
      <c r="N34" s="45"/>
      <c r="O34" s="69"/>
      <c r="P34" s="35"/>
      <c r="Q34" s="35"/>
      <c r="R34" s="17"/>
      <c r="S34" s="17"/>
    </row>
    <row r="35" spans="1:19" s="9" customFormat="1" ht="21" x14ac:dyDescent="0.4">
      <c r="A35" s="21"/>
      <c r="B35" s="41">
        <f t="shared" si="1"/>
        <v>0</v>
      </c>
      <c r="C35" s="42">
        <f t="shared" si="2"/>
        <v>27</v>
      </c>
      <c r="D35" s="90" t="s">
        <v>72</v>
      </c>
      <c r="E35" s="90"/>
      <c r="F35" s="57"/>
      <c r="G35" s="46"/>
      <c r="H35" s="67" t="s">
        <v>73</v>
      </c>
      <c r="I35" s="57"/>
      <c r="J35" s="44" t="str">
        <f>IF(AND(F35="y",I35="n"),"*",IF(OR(F35="n",I35="y"),"?",""))</f>
        <v/>
      </c>
      <c r="K35" s="44" t="str">
        <f t="shared" si="6"/>
        <v/>
      </c>
      <c r="L35" s="45" t="s">
        <v>74</v>
      </c>
      <c r="M35" s="69"/>
      <c r="N35" s="45"/>
      <c r="O35" s="69"/>
      <c r="P35" s="35"/>
      <c r="Q35" s="35"/>
      <c r="R35" s="17"/>
      <c r="S35" s="17"/>
    </row>
    <row r="36" spans="1:19" s="9" customFormat="1" ht="21" x14ac:dyDescent="0.4">
      <c r="A36" s="21"/>
      <c r="B36" s="41">
        <f t="shared" si="1"/>
        <v>0</v>
      </c>
      <c r="C36" s="42">
        <f t="shared" si="2"/>
        <v>28</v>
      </c>
      <c r="D36" s="90" t="s">
        <v>65</v>
      </c>
      <c r="E36" s="90"/>
      <c r="F36" s="57"/>
      <c r="G36" s="46"/>
      <c r="H36" s="67" t="s">
        <v>64</v>
      </c>
      <c r="I36" s="57"/>
      <c r="J36" s="44" t="str">
        <f>IF(AND(F36="n",I36="y"),"*",IF(OR(F36="y",I36="n"),"?",""))</f>
        <v/>
      </c>
      <c r="K36" s="44" t="str">
        <f t="shared" si="0"/>
        <v/>
      </c>
      <c r="L36" s="45" t="s">
        <v>75</v>
      </c>
      <c r="M36" s="69"/>
      <c r="N36" s="45"/>
      <c r="O36" s="69"/>
      <c r="P36" s="35"/>
      <c r="Q36" s="35"/>
      <c r="R36" s="17"/>
      <c r="S36" s="17"/>
    </row>
    <row r="37" spans="1:19" s="9" customFormat="1" ht="21" x14ac:dyDescent="0.4">
      <c r="A37" s="21"/>
      <c r="B37" s="41">
        <f t="shared" si="1"/>
        <v>0</v>
      </c>
      <c r="C37" s="42">
        <f t="shared" si="2"/>
        <v>29</v>
      </c>
      <c r="D37" s="90" t="s">
        <v>76</v>
      </c>
      <c r="E37" s="90"/>
      <c r="F37" s="57"/>
      <c r="G37" s="46"/>
      <c r="H37" s="67" t="s">
        <v>77</v>
      </c>
      <c r="I37" s="57"/>
      <c r="J37" s="44" t="str">
        <f>IF(AND(F37="y",I37="n"),"*",IF(OR(F37="n",I37="y"),"?",""))</f>
        <v/>
      </c>
      <c r="K37" s="44" t="str">
        <f t="shared" ref="K37" si="7">IF(J37="?","'Be' verb before subject.","")</f>
        <v/>
      </c>
      <c r="L37" s="45" t="s">
        <v>30</v>
      </c>
      <c r="M37" s="69"/>
      <c r="N37" s="45"/>
      <c r="O37" s="69"/>
      <c r="P37" s="35"/>
      <c r="Q37" s="35"/>
      <c r="R37" s="17"/>
      <c r="S37" s="17"/>
    </row>
    <row r="38" spans="1:19" s="9" customFormat="1" ht="21" x14ac:dyDescent="0.4">
      <c r="A38" s="21"/>
      <c r="B38" s="41">
        <f t="shared" si="1"/>
        <v>0</v>
      </c>
      <c r="C38" s="42">
        <f t="shared" si="2"/>
        <v>30</v>
      </c>
      <c r="D38" s="90" t="s">
        <v>78</v>
      </c>
      <c r="E38" s="90"/>
      <c r="F38" s="57"/>
      <c r="G38" s="46"/>
      <c r="H38" s="67" t="s">
        <v>79</v>
      </c>
      <c r="I38" s="57"/>
      <c r="J38" s="44" t="str">
        <f>IF(AND(F38="n",I38="y"),"*",IF(OR(F38="y",I38="n"),"?",""))</f>
        <v/>
      </c>
      <c r="K38" s="44" t="str">
        <f t="shared" si="0"/>
        <v/>
      </c>
      <c r="L38" s="45" t="s">
        <v>80</v>
      </c>
      <c r="M38" s="69"/>
      <c r="N38" s="45"/>
      <c r="O38" s="69"/>
      <c r="P38" s="35"/>
      <c r="Q38" s="35"/>
      <c r="R38" s="17"/>
      <c r="S38" s="17"/>
    </row>
    <row r="39" spans="1:19" s="9" customFormat="1" ht="21" x14ac:dyDescent="0.4">
      <c r="A39" s="21"/>
      <c r="B39" s="41">
        <f t="shared" si="1"/>
        <v>0</v>
      </c>
      <c r="C39" s="42">
        <f t="shared" si="2"/>
        <v>31</v>
      </c>
      <c r="D39" s="90" t="s">
        <v>81</v>
      </c>
      <c r="E39" s="90"/>
      <c r="F39" s="57"/>
      <c r="G39" s="46"/>
      <c r="H39" s="67" t="s">
        <v>82</v>
      </c>
      <c r="I39" s="57"/>
      <c r="J39" s="44" t="str">
        <f>IF(AND(F39="y",I39="n"),"*",IF(OR(F39="n",I39="y"),"?",""))</f>
        <v/>
      </c>
      <c r="K39" s="44" t="str">
        <f t="shared" si="0"/>
        <v/>
      </c>
      <c r="L39" s="45" t="s">
        <v>83</v>
      </c>
      <c r="M39" s="69"/>
      <c r="N39" s="45"/>
      <c r="O39" s="69"/>
      <c r="P39" s="35"/>
      <c r="Q39" s="35"/>
      <c r="R39" s="17"/>
      <c r="S39" s="17"/>
    </row>
    <row r="40" spans="1:19" s="9" customFormat="1" ht="21" x14ac:dyDescent="0.4">
      <c r="A40" s="21"/>
      <c r="B40" s="41">
        <f t="shared" si="1"/>
        <v>0</v>
      </c>
      <c r="C40" s="42">
        <f t="shared" si="2"/>
        <v>32</v>
      </c>
      <c r="D40" s="90" t="s">
        <v>84</v>
      </c>
      <c r="E40" s="90"/>
      <c r="F40" s="57"/>
      <c r="G40" s="47"/>
      <c r="H40" s="67" t="s">
        <v>85</v>
      </c>
      <c r="I40" s="57"/>
      <c r="J40" s="44" t="str">
        <f>IF(AND(F40="n",I40="y"),"*",IF(OR(F40="y",I40="n"),"?",""))</f>
        <v/>
      </c>
      <c r="K40" s="44" t="str">
        <f t="shared" ref="K40" si="8">IF(J40="?","'Be' verb before subject.","")</f>
        <v/>
      </c>
      <c r="L40" s="45" t="s">
        <v>86</v>
      </c>
      <c r="M40" s="69"/>
      <c r="N40" s="45"/>
      <c r="O40" s="69"/>
      <c r="P40" s="35"/>
      <c r="Q40" s="35"/>
      <c r="R40" s="17"/>
      <c r="S40" s="17"/>
    </row>
    <row r="41" spans="1:19" s="9" customFormat="1" ht="21" x14ac:dyDescent="0.4">
      <c r="A41" s="58"/>
      <c r="B41" s="37"/>
      <c r="C41" s="38"/>
      <c r="D41" s="69"/>
      <c r="E41" s="91">
        <f>SUM(B9:B40)/32</f>
        <v>0</v>
      </c>
      <c r="F41" s="91"/>
      <c r="G41" s="48" t="s">
        <v>87</v>
      </c>
      <c r="H41" s="69"/>
      <c r="I41" s="59"/>
      <c r="J41" s="34"/>
      <c r="K41" s="52"/>
      <c r="L41" s="35"/>
      <c r="M41" s="69"/>
      <c r="N41" s="35"/>
      <c r="O41" s="69"/>
      <c r="P41" s="35"/>
      <c r="Q41" s="35"/>
      <c r="R41" s="17"/>
      <c r="S41" s="17"/>
    </row>
    <row r="42" spans="1:19" ht="21" x14ac:dyDescent="0.4">
      <c r="A42" s="25"/>
      <c r="B42" s="30"/>
      <c r="C42" s="31"/>
      <c r="D42" s="29"/>
      <c r="E42" s="25"/>
      <c r="F42" s="28"/>
      <c r="G42" s="28"/>
      <c r="H42" s="29"/>
      <c r="I42" s="59"/>
      <c r="J42" s="36"/>
      <c r="K42" s="18"/>
      <c r="L42" s="26"/>
      <c r="M42" s="29"/>
      <c r="N42" s="26"/>
      <c r="O42" s="29"/>
      <c r="P42" s="26"/>
      <c r="Q42" s="26"/>
      <c r="R42" s="16"/>
      <c r="S42" s="16"/>
    </row>
    <row r="43" spans="1:19" ht="21" x14ac:dyDescent="0.4">
      <c r="A43" s="25"/>
      <c r="B43" s="30"/>
      <c r="C43" s="31"/>
      <c r="D43" s="29"/>
      <c r="E43" s="25"/>
      <c r="F43" s="28"/>
      <c r="G43" s="28"/>
      <c r="H43" s="29"/>
      <c r="I43" s="59"/>
      <c r="J43" s="36"/>
      <c r="K43" s="18"/>
      <c r="L43" s="26"/>
      <c r="M43" s="29"/>
      <c r="N43" s="26"/>
      <c r="O43" s="29"/>
      <c r="P43" s="26"/>
      <c r="Q43" s="26"/>
      <c r="R43" s="16"/>
      <c r="S43" s="16"/>
    </row>
    <row r="44" spans="1:19" ht="21" x14ac:dyDescent="0.4">
      <c r="A44" s="25"/>
      <c r="B44" s="30"/>
      <c r="C44" s="31"/>
      <c r="D44" s="29"/>
      <c r="E44" s="25"/>
      <c r="F44" s="28"/>
      <c r="G44" s="28"/>
      <c r="H44" s="29"/>
      <c r="I44" s="59"/>
      <c r="J44" s="36"/>
      <c r="K44" s="18"/>
      <c r="L44" s="26"/>
      <c r="M44" s="29"/>
      <c r="N44" s="26"/>
      <c r="O44" s="29"/>
      <c r="P44" s="26"/>
      <c r="Q44" s="26"/>
      <c r="R44" s="16"/>
      <c r="S44" s="16"/>
    </row>
    <row r="45" spans="1:19" ht="21" x14ac:dyDescent="0.4">
      <c r="A45" s="25"/>
      <c r="B45" s="30"/>
      <c r="C45" s="31"/>
      <c r="D45" s="29"/>
      <c r="E45" s="25"/>
      <c r="F45" s="28"/>
      <c r="G45" s="28"/>
      <c r="H45" s="29"/>
      <c r="I45" s="59"/>
      <c r="J45" s="36"/>
      <c r="K45" s="18"/>
      <c r="L45" s="26"/>
      <c r="M45" s="29"/>
      <c r="N45" s="26"/>
      <c r="O45" s="29"/>
      <c r="P45" s="26"/>
      <c r="Q45" s="26"/>
      <c r="R45" s="16"/>
      <c r="S45" s="16"/>
    </row>
    <row r="46" spans="1:19" ht="21" x14ac:dyDescent="0.4">
      <c r="A46" s="25"/>
      <c r="B46" s="30"/>
      <c r="C46" s="31"/>
      <c r="D46" s="49"/>
      <c r="E46" s="18"/>
      <c r="F46" s="18"/>
      <c r="G46" s="18"/>
      <c r="H46" s="49"/>
      <c r="I46" s="59"/>
      <c r="J46" s="50"/>
      <c r="K46" s="18"/>
      <c r="L46" s="26"/>
      <c r="M46" s="49"/>
      <c r="N46" s="26"/>
      <c r="O46" s="49"/>
      <c r="P46" s="26"/>
      <c r="Q46" s="26"/>
      <c r="R46" s="16"/>
      <c r="S46" s="16"/>
    </row>
    <row r="47" spans="1:19" ht="21" x14ac:dyDescent="0.4">
      <c r="A47" s="25"/>
      <c r="B47" s="30"/>
      <c r="C47" s="31"/>
      <c r="D47" s="49"/>
      <c r="E47" s="18"/>
      <c r="F47" s="18"/>
      <c r="G47" s="18"/>
      <c r="H47" s="49"/>
      <c r="I47" s="59"/>
      <c r="J47" s="50"/>
      <c r="K47" s="18"/>
      <c r="L47" s="26"/>
      <c r="M47" s="49"/>
      <c r="N47" s="26"/>
      <c r="O47" s="49"/>
      <c r="P47" s="26"/>
      <c r="Q47" s="26"/>
      <c r="R47" s="16"/>
      <c r="S47" s="16"/>
    </row>
    <row r="48" spans="1:19" ht="21" x14ac:dyDescent="0.4">
      <c r="A48" s="25"/>
      <c r="B48" s="30"/>
      <c r="C48" s="31"/>
      <c r="D48" s="49"/>
      <c r="E48" s="18"/>
      <c r="F48" s="18"/>
      <c r="G48" s="18"/>
      <c r="H48" s="49"/>
      <c r="I48" s="59"/>
      <c r="J48" s="50"/>
      <c r="K48" s="18"/>
      <c r="L48" s="26"/>
      <c r="M48" s="49"/>
      <c r="N48" s="26"/>
      <c r="O48" s="49"/>
      <c r="P48" s="26"/>
      <c r="Q48" s="26"/>
      <c r="R48" s="16"/>
      <c r="S48" s="16"/>
    </row>
    <row r="49" spans="1:19" ht="21" x14ac:dyDescent="0.4">
      <c r="A49" s="25"/>
      <c r="B49" s="30"/>
      <c r="C49" s="31"/>
      <c r="D49" s="49"/>
      <c r="E49" s="18"/>
      <c r="F49" s="18"/>
      <c r="G49" s="18"/>
      <c r="H49" s="49"/>
      <c r="I49" s="59"/>
      <c r="J49" s="50"/>
      <c r="K49" s="18"/>
      <c r="L49" s="26"/>
      <c r="M49" s="49"/>
      <c r="N49" s="26"/>
      <c r="O49" s="49"/>
      <c r="P49" s="26"/>
      <c r="Q49" s="26"/>
      <c r="R49" s="16"/>
      <c r="S49" s="16"/>
    </row>
    <row r="50" spans="1:19" ht="21" x14ac:dyDescent="0.4">
      <c r="A50" s="25"/>
      <c r="B50" s="30"/>
      <c r="C50" s="31"/>
      <c r="D50" s="49"/>
      <c r="E50" s="18"/>
      <c r="F50" s="18"/>
      <c r="G50" s="18"/>
      <c r="H50" s="49"/>
      <c r="I50" s="59"/>
      <c r="J50" s="50"/>
      <c r="K50" s="18"/>
      <c r="L50" s="26"/>
      <c r="M50" s="49"/>
      <c r="N50" s="26"/>
      <c r="O50" s="49"/>
      <c r="P50" s="26"/>
      <c r="Q50" s="26"/>
      <c r="R50" s="16"/>
      <c r="S50" s="16"/>
    </row>
    <row r="51" spans="1:19" ht="21" x14ac:dyDescent="0.4">
      <c r="A51" s="25"/>
      <c r="B51" s="30"/>
      <c r="C51" s="31"/>
      <c r="D51" s="49"/>
      <c r="E51" s="18"/>
      <c r="F51" s="18"/>
      <c r="G51" s="18"/>
      <c r="H51" s="49"/>
      <c r="I51" s="59"/>
      <c r="J51" s="50"/>
      <c r="K51" s="18"/>
      <c r="L51" s="26"/>
      <c r="M51" s="49"/>
      <c r="N51" s="26"/>
      <c r="O51" s="49"/>
      <c r="P51" s="26"/>
      <c r="Q51" s="26"/>
      <c r="R51" s="16"/>
      <c r="S51" s="16"/>
    </row>
    <row r="52" spans="1:19" ht="21" x14ac:dyDescent="0.4">
      <c r="A52" s="25"/>
      <c r="B52" s="30"/>
      <c r="C52" s="31"/>
      <c r="D52" s="49"/>
      <c r="E52" s="18"/>
      <c r="F52" s="18"/>
      <c r="G52" s="18"/>
      <c r="H52" s="49"/>
      <c r="I52" s="59"/>
      <c r="J52" s="50"/>
      <c r="K52" s="18"/>
      <c r="L52" s="26"/>
      <c r="M52" s="49"/>
      <c r="N52" s="26"/>
      <c r="O52" s="49"/>
      <c r="P52" s="26"/>
      <c r="Q52" s="26"/>
      <c r="R52" s="16"/>
      <c r="S52" s="16"/>
    </row>
    <row r="53" spans="1:19" ht="21" x14ac:dyDescent="0.4">
      <c r="A53" s="25"/>
      <c r="B53" s="30"/>
      <c r="C53" s="31"/>
      <c r="D53" s="49"/>
      <c r="E53" s="18"/>
      <c r="F53" s="18"/>
      <c r="G53" s="18"/>
      <c r="H53" s="49"/>
      <c r="I53" s="59"/>
      <c r="J53" s="50"/>
      <c r="K53" s="18"/>
      <c r="L53" s="26"/>
      <c r="M53" s="49"/>
      <c r="N53" s="26"/>
      <c r="O53" s="49"/>
      <c r="P53" s="26"/>
      <c r="Q53" s="26"/>
      <c r="R53" s="16"/>
      <c r="S53" s="16"/>
    </row>
    <row r="54" spans="1:19" ht="21" x14ac:dyDescent="0.4">
      <c r="A54" s="25"/>
      <c r="B54" s="30"/>
      <c r="C54" s="31"/>
      <c r="D54" s="49"/>
      <c r="E54" s="18"/>
      <c r="F54" s="18"/>
      <c r="G54" s="18"/>
      <c r="H54" s="49"/>
      <c r="I54" s="59"/>
      <c r="J54" s="50"/>
      <c r="K54" s="18"/>
      <c r="L54" s="26"/>
      <c r="M54" s="49"/>
      <c r="N54" s="26"/>
      <c r="O54" s="49"/>
      <c r="P54" s="26"/>
      <c r="Q54" s="26"/>
      <c r="R54" s="16"/>
      <c r="S54" s="16"/>
    </row>
    <row r="55" spans="1:19" ht="21" x14ac:dyDescent="0.4">
      <c r="A55" s="25"/>
      <c r="B55" s="30"/>
      <c r="C55" s="31"/>
      <c r="D55" s="49"/>
      <c r="E55" s="18"/>
      <c r="F55" s="18"/>
      <c r="G55" s="18"/>
      <c r="H55" s="49"/>
      <c r="I55" s="59"/>
      <c r="J55" s="50"/>
      <c r="K55" s="18"/>
      <c r="L55" s="26"/>
      <c r="M55" s="49"/>
      <c r="N55" s="26"/>
      <c r="O55" s="49"/>
      <c r="P55" s="26"/>
      <c r="Q55" s="26"/>
      <c r="R55" s="16"/>
      <c r="S55" s="16"/>
    </row>
    <row r="56" spans="1:19" ht="21" x14ac:dyDescent="0.3">
      <c r="A56" s="25"/>
      <c r="B56" s="30"/>
      <c r="C56" s="31"/>
      <c r="D56" s="49"/>
      <c r="E56" s="18"/>
      <c r="F56" s="18"/>
      <c r="G56" s="18"/>
      <c r="H56" s="49"/>
      <c r="I56" s="55"/>
      <c r="J56" s="50"/>
      <c r="K56" s="18"/>
      <c r="L56" s="26"/>
      <c r="M56" s="49"/>
      <c r="N56" s="26"/>
      <c r="O56" s="49"/>
      <c r="P56" s="26"/>
      <c r="Q56" s="26"/>
      <c r="R56" s="16"/>
      <c r="S56" s="16"/>
    </row>
    <row r="57" spans="1:19" ht="21" x14ac:dyDescent="0.3">
      <c r="A57" s="25"/>
      <c r="B57" s="30"/>
      <c r="C57" s="31"/>
      <c r="D57" s="49"/>
      <c r="E57" s="18"/>
      <c r="F57" s="18"/>
      <c r="G57" s="18"/>
      <c r="H57" s="49"/>
      <c r="I57" s="55"/>
      <c r="J57" s="50"/>
      <c r="K57" s="18"/>
      <c r="L57" s="26"/>
      <c r="M57" s="49"/>
      <c r="N57" s="26"/>
      <c r="O57" s="49"/>
      <c r="P57" s="26"/>
      <c r="Q57" s="26"/>
      <c r="R57" s="16"/>
      <c r="S57" s="16"/>
    </row>
    <row r="58" spans="1:19" ht="21" x14ac:dyDescent="0.3">
      <c r="A58" s="25"/>
      <c r="B58" s="30"/>
      <c r="C58" s="31"/>
      <c r="D58" s="49"/>
      <c r="E58" s="18"/>
      <c r="F58" s="18"/>
      <c r="G58" s="18"/>
      <c r="H58" s="49"/>
      <c r="I58" s="55"/>
      <c r="J58" s="50"/>
      <c r="K58" s="18"/>
      <c r="L58" s="26"/>
      <c r="M58" s="49"/>
      <c r="N58" s="26"/>
      <c r="O58" s="49"/>
      <c r="P58" s="26"/>
      <c r="Q58" s="26"/>
      <c r="R58" s="16"/>
      <c r="S58" s="16"/>
    </row>
    <row r="59" spans="1:19" ht="21" x14ac:dyDescent="0.4">
      <c r="A59" s="25"/>
      <c r="B59" s="30"/>
      <c r="C59" s="31"/>
      <c r="D59" s="49"/>
      <c r="E59" s="18"/>
      <c r="F59" s="18"/>
      <c r="G59" s="18"/>
      <c r="H59" s="49"/>
      <c r="I59" s="59"/>
      <c r="J59" s="50"/>
      <c r="K59" s="18"/>
      <c r="L59" s="26"/>
      <c r="M59" s="49"/>
      <c r="N59" s="26"/>
      <c r="O59" s="49"/>
      <c r="P59" s="26"/>
      <c r="Q59" s="26"/>
      <c r="R59" s="16"/>
      <c r="S59" s="16"/>
    </row>
    <row r="60" spans="1:19" ht="21" x14ac:dyDescent="0.4">
      <c r="A60" s="25"/>
      <c r="B60" s="30"/>
      <c r="C60" s="31"/>
      <c r="D60" s="49"/>
      <c r="E60" s="18"/>
      <c r="F60" s="18"/>
      <c r="G60" s="18"/>
      <c r="H60" s="49"/>
      <c r="I60" s="59"/>
      <c r="J60" s="50"/>
      <c r="K60" s="18"/>
      <c r="L60" s="24"/>
      <c r="M60" s="49"/>
      <c r="N60" s="25"/>
      <c r="O60" s="49"/>
      <c r="P60" s="27"/>
      <c r="Q60" s="27"/>
      <c r="R60" s="11"/>
    </row>
    <row r="61" spans="1:19" ht="21" x14ac:dyDescent="0.4">
      <c r="A61" s="25"/>
      <c r="B61" s="30"/>
      <c r="C61" s="31"/>
      <c r="D61" s="49"/>
      <c r="E61" s="18"/>
      <c r="F61" s="18"/>
      <c r="G61" s="18"/>
      <c r="H61" s="49"/>
      <c r="I61" s="59"/>
      <c r="J61" s="50"/>
      <c r="K61" s="18"/>
      <c r="L61" s="24"/>
      <c r="M61" s="49"/>
      <c r="N61" s="25"/>
      <c r="O61" s="49"/>
      <c r="P61" s="27"/>
      <c r="Q61" s="27"/>
      <c r="R61" s="11"/>
    </row>
    <row r="62" spans="1:19" ht="21" x14ac:dyDescent="0.4">
      <c r="A62" s="25"/>
      <c r="B62" s="30"/>
      <c r="C62" s="31"/>
      <c r="D62" s="49"/>
      <c r="E62" s="18"/>
      <c r="F62" s="18"/>
      <c r="G62" s="18"/>
      <c r="H62" s="49"/>
      <c r="I62" s="59"/>
      <c r="J62" s="50"/>
      <c r="K62" s="18"/>
      <c r="L62" s="24"/>
      <c r="M62" s="49"/>
      <c r="N62" s="25"/>
      <c r="O62" s="49"/>
      <c r="P62" s="27"/>
      <c r="Q62" s="27"/>
      <c r="R62" s="11"/>
    </row>
    <row r="63" spans="1:19" ht="21" x14ac:dyDescent="0.4">
      <c r="A63" s="25"/>
      <c r="B63" s="30"/>
      <c r="C63" s="31"/>
      <c r="D63" s="49"/>
      <c r="E63" s="18"/>
      <c r="F63" s="18"/>
      <c r="G63" s="18"/>
      <c r="H63" s="49"/>
      <c r="I63" s="59"/>
      <c r="J63" s="50"/>
      <c r="K63" s="18"/>
      <c r="L63" s="24"/>
      <c r="M63" s="49"/>
      <c r="N63" s="25"/>
      <c r="O63" s="49"/>
      <c r="P63" s="27"/>
      <c r="Q63" s="27"/>
      <c r="R63" s="11"/>
    </row>
    <row r="64" spans="1:19" ht="21" x14ac:dyDescent="0.4">
      <c r="A64" s="25"/>
      <c r="B64" s="30"/>
      <c r="C64" s="31"/>
      <c r="D64" s="49"/>
      <c r="E64" s="18"/>
      <c r="F64" s="18"/>
      <c r="G64" s="18"/>
      <c r="H64" s="49"/>
      <c r="I64" s="59"/>
      <c r="J64" s="50"/>
      <c r="K64" s="18"/>
      <c r="L64" s="24"/>
      <c r="M64" s="49"/>
      <c r="N64" s="25"/>
      <c r="O64" s="49"/>
      <c r="P64" s="27"/>
      <c r="Q64" s="27"/>
      <c r="R64" s="11"/>
    </row>
    <row r="65" spans="1:18" ht="21" x14ac:dyDescent="0.4">
      <c r="A65" s="25"/>
      <c r="B65" s="30"/>
      <c r="C65" s="31"/>
      <c r="D65" s="49"/>
      <c r="E65" s="18"/>
      <c r="F65" s="18"/>
      <c r="G65" s="18"/>
      <c r="H65" s="49"/>
      <c r="I65" s="59"/>
      <c r="J65" s="50"/>
      <c r="K65" s="18"/>
      <c r="L65" s="24"/>
      <c r="M65" s="49"/>
      <c r="N65" s="25"/>
      <c r="O65" s="49"/>
      <c r="P65" s="27"/>
      <c r="Q65" s="27"/>
      <c r="R65" s="11"/>
    </row>
    <row r="66" spans="1:18" ht="21" x14ac:dyDescent="0.4">
      <c r="A66" s="25"/>
      <c r="B66" s="30"/>
      <c r="C66" s="31"/>
      <c r="D66" s="49"/>
      <c r="E66" s="18"/>
      <c r="F66" s="18"/>
      <c r="G66" s="18"/>
      <c r="H66" s="49"/>
      <c r="I66" s="59"/>
      <c r="J66" s="50"/>
      <c r="K66" s="18"/>
      <c r="L66" s="24"/>
      <c r="M66" s="49"/>
      <c r="N66" s="25"/>
      <c r="O66" s="49"/>
      <c r="P66" s="27"/>
      <c r="Q66" s="27"/>
      <c r="R66" s="11"/>
    </row>
    <row r="67" spans="1:18" ht="21" x14ac:dyDescent="0.4">
      <c r="A67" s="25"/>
      <c r="B67" s="30"/>
      <c r="C67" s="31"/>
      <c r="D67" s="49"/>
      <c r="E67" s="18"/>
      <c r="F67" s="18"/>
      <c r="G67" s="18"/>
      <c r="H67" s="49"/>
      <c r="I67" s="59"/>
      <c r="J67" s="50"/>
      <c r="K67" s="18"/>
      <c r="L67" s="24"/>
      <c r="M67" s="49"/>
      <c r="N67" s="25"/>
      <c r="O67" s="49"/>
      <c r="P67" s="27"/>
      <c r="Q67" s="27"/>
      <c r="R67" s="11"/>
    </row>
    <row r="68" spans="1:18" ht="21" x14ac:dyDescent="0.4">
      <c r="A68" s="25"/>
      <c r="B68" s="30"/>
      <c r="C68" s="31"/>
      <c r="D68" s="49"/>
      <c r="E68" s="18"/>
      <c r="F68" s="18"/>
      <c r="G68" s="18"/>
      <c r="H68" s="49"/>
      <c r="I68" s="59"/>
      <c r="J68" s="50"/>
      <c r="K68" s="18"/>
      <c r="L68" s="24"/>
      <c r="M68" s="49"/>
      <c r="N68" s="25"/>
      <c r="O68" s="49"/>
      <c r="P68" s="27"/>
      <c r="Q68" s="27"/>
      <c r="R68" s="11"/>
    </row>
    <row r="69" spans="1:18" ht="21" x14ac:dyDescent="0.4">
      <c r="A69" s="25"/>
      <c r="B69" s="30"/>
      <c r="C69" s="31"/>
      <c r="D69" s="49"/>
      <c r="E69" s="18"/>
      <c r="F69" s="18"/>
      <c r="G69" s="18"/>
      <c r="H69" s="49"/>
      <c r="I69" s="59"/>
      <c r="J69" s="50"/>
      <c r="K69" s="18"/>
      <c r="L69" s="24"/>
      <c r="M69" s="49"/>
      <c r="N69" s="25"/>
      <c r="O69" s="49"/>
      <c r="P69" s="27"/>
      <c r="Q69" s="27"/>
      <c r="R69" s="11"/>
    </row>
    <row r="70" spans="1:18" ht="21" x14ac:dyDescent="0.4">
      <c r="A70" s="25"/>
      <c r="B70" s="30"/>
      <c r="C70" s="31"/>
      <c r="D70" s="49"/>
      <c r="E70" s="18"/>
      <c r="F70" s="18"/>
      <c r="G70" s="18"/>
      <c r="H70" s="49"/>
      <c r="I70" s="59"/>
      <c r="J70" s="50"/>
      <c r="K70" s="18"/>
      <c r="L70" s="24"/>
      <c r="M70" s="49"/>
      <c r="N70" s="25"/>
      <c r="O70" s="49"/>
      <c r="P70" s="27"/>
      <c r="Q70" s="27"/>
      <c r="R70" s="11"/>
    </row>
    <row r="71" spans="1:18" ht="21" x14ac:dyDescent="0.4">
      <c r="A71" s="25"/>
      <c r="B71" s="30"/>
      <c r="C71" s="31"/>
      <c r="D71" s="49"/>
      <c r="E71" s="18"/>
      <c r="F71" s="18"/>
      <c r="G71" s="18"/>
      <c r="H71" s="49"/>
      <c r="I71" s="59"/>
      <c r="J71" s="50"/>
      <c r="K71" s="18"/>
      <c r="L71" s="24"/>
      <c r="M71" s="49"/>
      <c r="N71" s="25"/>
      <c r="O71" s="49"/>
      <c r="P71" s="27"/>
      <c r="Q71" s="27"/>
      <c r="R71" s="11"/>
    </row>
    <row r="72" spans="1:18" ht="21" x14ac:dyDescent="0.4">
      <c r="A72" s="25"/>
      <c r="B72" s="30"/>
      <c r="C72" s="31"/>
      <c r="D72" s="49"/>
      <c r="E72" s="18"/>
      <c r="F72" s="18"/>
      <c r="G72" s="18"/>
      <c r="H72" s="49"/>
      <c r="I72" s="59"/>
      <c r="J72" s="50"/>
      <c r="K72" s="18"/>
      <c r="L72" s="24"/>
      <c r="M72" s="49"/>
      <c r="N72" s="25"/>
      <c r="O72" s="49"/>
      <c r="P72" s="27"/>
      <c r="Q72" s="27"/>
      <c r="R72" s="11"/>
    </row>
    <row r="73" spans="1:18" ht="15.6" x14ac:dyDescent="0.3">
      <c r="A73" s="25"/>
      <c r="B73" s="30"/>
      <c r="C73" s="31"/>
      <c r="D73" s="49"/>
      <c r="E73" s="18"/>
      <c r="F73" s="18"/>
      <c r="G73" s="18"/>
      <c r="H73" s="49"/>
      <c r="I73" s="54"/>
      <c r="J73" s="50"/>
      <c r="K73" s="18"/>
      <c r="L73" s="24"/>
      <c r="M73" s="49"/>
      <c r="N73" s="25"/>
      <c r="O73" s="49"/>
      <c r="P73" s="27"/>
      <c r="Q73" s="27"/>
      <c r="R73" s="11"/>
    </row>
    <row r="74" spans="1:18" ht="15.6" x14ac:dyDescent="0.3">
      <c r="A74" s="25"/>
      <c r="B74" s="30"/>
      <c r="C74" s="31"/>
      <c r="D74" s="49"/>
      <c r="E74" s="18"/>
      <c r="F74" s="18"/>
      <c r="G74" s="18"/>
      <c r="H74" s="49"/>
      <c r="I74" s="54"/>
      <c r="J74" s="50"/>
      <c r="K74" s="18"/>
      <c r="L74" s="24"/>
      <c r="M74" s="49"/>
      <c r="N74" s="25"/>
      <c r="O74" s="49"/>
      <c r="P74" s="27"/>
      <c r="Q74" s="27"/>
      <c r="R74" s="11"/>
    </row>
    <row r="75" spans="1:18" ht="15.6" x14ac:dyDescent="0.3">
      <c r="A75" s="25"/>
      <c r="B75" s="30"/>
      <c r="C75" s="31"/>
      <c r="D75" s="49"/>
      <c r="E75" s="18"/>
      <c r="F75" s="18"/>
      <c r="G75" s="18"/>
      <c r="H75" s="49"/>
      <c r="I75" s="54"/>
      <c r="J75" s="50"/>
      <c r="K75" s="18"/>
      <c r="L75" s="24"/>
      <c r="M75" s="49"/>
      <c r="N75" s="25"/>
      <c r="O75" s="49"/>
      <c r="P75" s="27"/>
      <c r="Q75" s="27"/>
      <c r="R75" s="11"/>
    </row>
    <row r="76" spans="1:18" ht="15.6" x14ac:dyDescent="0.3">
      <c r="A76" s="25"/>
      <c r="B76" s="30"/>
      <c r="C76" s="31"/>
      <c r="D76" s="49"/>
      <c r="E76" s="18"/>
      <c r="F76" s="18"/>
      <c r="G76" s="18"/>
      <c r="H76" s="49"/>
      <c r="I76" s="54"/>
      <c r="J76" s="50"/>
      <c r="K76" s="18"/>
      <c r="L76" s="24"/>
      <c r="M76" s="49"/>
      <c r="N76" s="25"/>
      <c r="O76" s="49"/>
      <c r="P76" s="27"/>
      <c r="Q76" s="27"/>
      <c r="R76" s="11"/>
    </row>
    <row r="77" spans="1:18" ht="15.6" x14ac:dyDescent="0.3">
      <c r="A77" s="25"/>
      <c r="B77" s="30"/>
      <c r="C77" s="31"/>
      <c r="D77" s="49"/>
      <c r="E77" s="18"/>
      <c r="F77" s="18"/>
      <c r="G77" s="18"/>
      <c r="H77" s="49"/>
      <c r="I77" s="54"/>
      <c r="J77" s="50"/>
      <c r="K77" s="18"/>
      <c r="L77" s="24"/>
      <c r="M77" s="49"/>
      <c r="N77" s="25"/>
      <c r="O77" s="49"/>
      <c r="P77" s="27"/>
      <c r="Q77" s="27"/>
      <c r="R77" s="11"/>
    </row>
    <row r="78" spans="1:18" x14ac:dyDescent="0.3">
      <c r="A78" s="25"/>
      <c r="B78" s="30"/>
      <c r="C78" s="31"/>
      <c r="D78" s="49"/>
      <c r="E78" s="18"/>
      <c r="F78" s="18"/>
      <c r="G78" s="18"/>
      <c r="H78" s="49"/>
      <c r="I78" s="49"/>
      <c r="J78" s="36"/>
      <c r="K78" s="18"/>
      <c r="L78" s="24"/>
      <c r="M78" s="49"/>
      <c r="N78" s="25"/>
      <c r="O78" s="49"/>
      <c r="P78" s="27"/>
      <c r="Q78" s="27"/>
      <c r="R78" s="11"/>
    </row>
    <row r="79" spans="1:18" x14ac:dyDescent="0.3">
      <c r="A79" s="25"/>
      <c r="B79" s="30"/>
      <c r="C79" s="31"/>
      <c r="D79" s="49"/>
      <c r="E79" s="18"/>
      <c r="F79" s="18"/>
      <c r="G79" s="18"/>
      <c r="H79" s="49"/>
      <c r="I79" s="49"/>
      <c r="J79" s="36"/>
      <c r="K79" s="18"/>
      <c r="L79" s="24"/>
      <c r="M79" s="49"/>
      <c r="N79" s="25"/>
      <c r="O79" s="49"/>
      <c r="P79" s="27"/>
      <c r="Q79" s="27"/>
      <c r="R79" s="11"/>
    </row>
    <row r="80" spans="1:18" x14ac:dyDescent="0.3">
      <c r="A80" s="25"/>
      <c r="B80" s="30"/>
      <c r="C80" s="31"/>
      <c r="D80" s="49"/>
      <c r="E80" s="18"/>
      <c r="F80" s="18"/>
      <c r="G80" s="18"/>
      <c r="H80" s="49"/>
      <c r="I80" s="49"/>
      <c r="J80" s="36"/>
      <c r="K80" s="18"/>
      <c r="L80" s="24"/>
      <c r="M80" s="49"/>
      <c r="N80" s="25"/>
      <c r="O80" s="49"/>
      <c r="P80" s="27"/>
      <c r="Q80" s="27"/>
      <c r="R80" s="11"/>
    </row>
    <row r="81" spans="1:18" x14ac:dyDescent="0.3">
      <c r="A81" s="25"/>
      <c r="B81" s="30"/>
      <c r="C81" s="31"/>
      <c r="D81" s="49"/>
      <c r="E81" s="18"/>
      <c r="F81" s="18"/>
      <c r="G81" s="18"/>
      <c r="H81" s="49"/>
      <c r="I81" s="49"/>
      <c r="J81" s="36"/>
      <c r="K81" s="18"/>
      <c r="L81" s="24"/>
      <c r="M81" s="49"/>
      <c r="N81" s="25"/>
      <c r="O81" s="49"/>
      <c r="P81" s="27"/>
      <c r="Q81" s="27"/>
      <c r="R81" s="11"/>
    </row>
    <row r="82" spans="1:18" x14ac:dyDescent="0.3">
      <c r="A82" s="25"/>
      <c r="B82" s="30"/>
      <c r="C82" s="31"/>
      <c r="D82" s="49"/>
      <c r="E82" s="18"/>
      <c r="F82" s="18"/>
      <c r="G82" s="18"/>
      <c r="H82" s="49"/>
      <c r="I82" s="49"/>
      <c r="J82" s="36"/>
      <c r="K82" s="18"/>
      <c r="L82" s="24"/>
      <c r="M82" s="49"/>
      <c r="N82" s="25"/>
      <c r="O82" s="49"/>
      <c r="P82" s="27"/>
      <c r="Q82" s="27"/>
      <c r="R82" s="11"/>
    </row>
    <row r="83" spans="1:18" x14ac:dyDescent="0.3">
      <c r="A83" s="25"/>
      <c r="B83" s="30"/>
      <c r="C83" s="31"/>
      <c r="D83" s="49"/>
      <c r="E83" s="18"/>
      <c r="F83" s="18"/>
      <c r="G83" s="18"/>
      <c r="H83" s="49"/>
      <c r="I83" s="49"/>
      <c r="J83" s="36"/>
      <c r="K83" s="18"/>
      <c r="L83" s="24"/>
      <c r="M83" s="49"/>
      <c r="N83" s="25"/>
      <c r="O83" s="49"/>
      <c r="P83" s="27"/>
      <c r="Q83" s="27"/>
      <c r="R83" s="11"/>
    </row>
    <row r="84" spans="1:18" x14ac:dyDescent="0.3">
      <c r="A84" s="25"/>
      <c r="B84" s="30"/>
      <c r="C84" s="31"/>
      <c r="D84" s="49"/>
      <c r="E84" s="18"/>
      <c r="F84" s="18"/>
      <c r="G84" s="18"/>
      <c r="H84" s="49"/>
      <c r="I84" s="49"/>
      <c r="J84" s="36"/>
      <c r="K84" s="18"/>
      <c r="L84" s="24"/>
      <c r="M84" s="49"/>
      <c r="N84" s="25"/>
      <c r="O84" s="49"/>
      <c r="P84" s="27"/>
      <c r="Q84" s="27"/>
      <c r="R84" s="11"/>
    </row>
    <row r="85" spans="1:18" x14ac:dyDescent="0.3">
      <c r="A85" s="25"/>
      <c r="B85" s="30"/>
      <c r="C85" s="31"/>
      <c r="D85" s="49"/>
      <c r="E85" s="18"/>
      <c r="F85" s="18"/>
      <c r="G85" s="18"/>
      <c r="H85" s="49"/>
      <c r="I85" s="49"/>
      <c r="J85" s="36"/>
      <c r="K85" s="18"/>
      <c r="L85" s="24"/>
      <c r="M85" s="49"/>
      <c r="N85" s="25"/>
      <c r="O85" s="49"/>
      <c r="P85" s="27"/>
      <c r="Q85" s="27"/>
      <c r="R85" s="11"/>
    </row>
    <row r="86" spans="1:18" x14ac:dyDescent="0.3">
      <c r="A86" s="25"/>
      <c r="B86" s="30"/>
      <c r="C86" s="31"/>
      <c r="D86" s="49"/>
      <c r="E86" s="18"/>
      <c r="F86" s="18"/>
      <c r="G86" s="18"/>
      <c r="H86" s="49"/>
      <c r="I86" s="49"/>
      <c r="J86" s="36"/>
      <c r="K86" s="18"/>
      <c r="L86" s="24"/>
      <c r="M86" s="49"/>
      <c r="N86" s="25"/>
      <c r="O86" s="49"/>
      <c r="P86" s="27"/>
      <c r="Q86" s="27"/>
      <c r="R86" s="11"/>
    </row>
    <row r="87" spans="1:18" x14ac:dyDescent="0.3">
      <c r="A87" s="25"/>
      <c r="B87" s="30"/>
      <c r="C87" s="31"/>
      <c r="D87" s="49"/>
      <c r="E87" s="18"/>
      <c r="F87" s="18"/>
      <c r="G87" s="18"/>
      <c r="H87" s="49"/>
      <c r="I87" s="49"/>
      <c r="J87" s="36"/>
      <c r="K87" s="18"/>
      <c r="L87" s="24"/>
      <c r="M87" s="49"/>
      <c r="N87" s="25"/>
      <c r="O87" s="49"/>
      <c r="P87" s="27"/>
      <c r="Q87" s="27"/>
      <c r="R87" s="11"/>
    </row>
    <row r="88" spans="1:18" x14ac:dyDescent="0.3">
      <c r="A88" s="25"/>
      <c r="B88" s="30"/>
      <c r="C88" s="31"/>
      <c r="D88" s="49"/>
      <c r="E88" s="18"/>
      <c r="F88" s="18"/>
      <c r="G88" s="18"/>
      <c r="H88" s="49"/>
      <c r="I88" s="49"/>
      <c r="J88" s="36"/>
      <c r="K88" s="18"/>
      <c r="L88" s="24"/>
      <c r="M88" s="49"/>
      <c r="N88" s="25"/>
      <c r="O88" s="49"/>
      <c r="P88" s="27"/>
      <c r="Q88" s="27"/>
      <c r="R88" s="11"/>
    </row>
    <row r="89" spans="1:18" x14ac:dyDescent="0.3">
      <c r="A89" s="25"/>
      <c r="B89" s="30"/>
      <c r="C89" s="31"/>
      <c r="D89" s="49"/>
      <c r="E89" s="18"/>
      <c r="F89" s="18"/>
      <c r="G89" s="18"/>
      <c r="H89" s="49"/>
      <c r="I89" s="49"/>
      <c r="J89" s="36"/>
      <c r="K89" s="18"/>
      <c r="L89" s="24"/>
      <c r="M89" s="49"/>
      <c r="N89" s="25"/>
      <c r="O89" s="49"/>
      <c r="P89" s="27"/>
      <c r="Q89" s="27"/>
      <c r="R89" s="11"/>
    </row>
    <row r="90" spans="1:18" x14ac:dyDescent="0.3">
      <c r="A90" s="25"/>
      <c r="B90" s="30"/>
      <c r="C90" s="31"/>
      <c r="D90" s="49"/>
      <c r="E90" s="18"/>
      <c r="F90" s="18"/>
      <c r="G90" s="18"/>
      <c r="H90" s="49"/>
      <c r="I90" s="49"/>
      <c r="J90" s="36"/>
      <c r="K90" s="18"/>
      <c r="L90" s="24"/>
      <c r="M90" s="49"/>
      <c r="N90" s="25"/>
      <c r="O90" s="49"/>
      <c r="P90" s="27"/>
      <c r="Q90" s="27"/>
      <c r="R90" s="11"/>
    </row>
    <row r="91" spans="1:18" x14ac:dyDescent="0.3">
      <c r="A91" s="25"/>
      <c r="B91" s="30"/>
      <c r="C91" s="31"/>
      <c r="D91" s="49"/>
      <c r="E91" s="18"/>
      <c r="F91" s="18"/>
      <c r="G91" s="18"/>
      <c r="H91" s="49"/>
      <c r="I91" s="49"/>
      <c r="J91" s="36"/>
      <c r="K91" s="18"/>
      <c r="L91" s="24"/>
      <c r="M91" s="49"/>
      <c r="N91" s="25"/>
      <c r="O91" s="49"/>
      <c r="P91" s="27"/>
      <c r="Q91" s="27"/>
      <c r="R91" s="11"/>
    </row>
    <row r="92" spans="1:18" x14ac:dyDescent="0.3">
      <c r="A92" s="25"/>
      <c r="B92" s="30"/>
      <c r="C92" s="31"/>
      <c r="D92" s="49"/>
      <c r="E92" s="18"/>
      <c r="F92" s="18"/>
      <c r="G92" s="18"/>
      <c r="H92" s="49"/>
      <c r="I92" s="49"/>
      <c r="J92" s="36"/>
      <c r="K92" s="18"/>
      <c r="L92" s="24"/>
      <c r="M92" s="49"/>
      <c r="N92" s="25"/>
      <c r="O92" s="49"/>
      <c r="P92" s="27"/>
      <c r="Q92" s="27"/>
      <c r="R92" s="11"/>
    </row>
    <row r="93" spans="1:18" x14ac:dyDescent="0.3">
      <c r="A93" s="25"/>
      <c r="B93" s="30"/>
      <c r="C93" s="31"/>
      <c r="D93" s="49"/>
      <c r="E93" s="18"/>
      <c r="F93" s="18"/>
      <c r="G93" s="18"/>
      <c r="H93" s="49"/>
      <c r="I93" s="49"/>
      <c r="J93" s="36"/>
      <c r="K93" s="18"/>
      <c r="L93" s="24"/>
      <c r="M93" s="49"/>
      <c r="N93" s="25"/>
      <c r="O93" s="49"/>
      <c r="P93" s="27"/>
      <c r="Q93" s="27"/>
      <c r="R93" s="11"/>
    </row>
    <row r="94" spans="1:18" x14ac:dyDescent="0.3">
      <c r="A94" s="25"/>
      <c r="B94" s="30"/>
      <c r="C94" s="31"/>
      <c r="D94" s="49"/>
      <c r="E94" s="18"/>
      <c r="F94" s="18"/>
      <c r="G94" s="18"/>
      <c r="H94" s="49"/>
      <c r="I94" s="49"/>
      <c r="J94" s="36"/>
      <c r="K94" s="18"/>
      <c r="L94" s="24"/>
      <c r="M94" s="49"/>
      <c r="N94" s="25"/>
      <c r="O94" s="49"/>
      <c r="P94" s="27"/>
      <c r="Q94" s="27"/>
      <c r="R94" s="11"/>
    </row>
    <row r="95" spans="1:18" x14ac:dyDescent="0.3">
      <c r="A95" s="25"/>
      <c r="B95" s="30"/>
      <c r="C95" s="31"/>
      <c r="D95" s="49"/>
      <c r="E95" s="18"/>
      <c r="F95" s="18"/>
      <c r="G95" s="18"/>
      <c r="H95" s="49"/>
      <c r="I95" s="49"/>
      <c r="J95" s="36"/>
      <c r="K95" s="18"/>
      <c r="L95" s="24"/>
      <c r="M95" s="49"/>
      <c r="N95" s="25"/>
      <c r="O95" s="49"/>
      <c r="P95" s="27"/>
      <c r="Q95" s="27"/>
      <c r="R95" s="11"/>
    </row>
    <row r="96" spans="1:18" x14ac:dyDescent="0.3">
      <c r="A96" s="25"/>
      <c r="B96" s="30"/>
      <c r="C96" s="31"/>
      <c r="D96" s="49"/>
      <c r="E96" s="18"/>
      <c r="F96" s="18"/>
      <c r="G96" s="18"/>
      <c r="H96" s="49"/>
      <c r="I96" s="49"/>
      <c r="J96" s="36"/>
      <c r="K96" s="18"/>
      <c r="L96" s="24"/>
      <c r="M96" s="49"/>
      <c r="N96" s="25"/>
      <c r="O96" s="49"/>
      <c r="P96" s="27"/>
      <c r="Q96" s="27"/>
      <c r="R96" s="11"/>
    </row>
    <row r="97" spans="1:18" x14ac:dyDescent="0.3">
      <c r="A97" s="25"/>
      <c r="B97" s="30"/>
      <c r="C97" s="31"/>
      <c r="D97" s="49"/>
      <c r="E97" s="18"/>
      <c r="F97" s="18"/>
      <c r="G97" s="18"/>
      <c r="H97" s="49"/>
      <c r="I97" s="49"/>
      <c r="J97" s="36"/>
      <c r="K97" s="18"/>
      <c r="L97" s="24"/>
      <c r="M97" s="49"/>
      <c r="N97" s="25"/>
      <c r="O97" s="49"/>
      <c r="P97" s="27"/>
      <c r="Q97" s="27"/>
      <c r="R97" s="11"/>
    </row>
    <row r="98" spans="1:18" x14ac:dyDescent="0.3">
      <c r="A98" s="25"/>
      <c r="B98" s="30"/>
      <c r="C98" s="31"/>
      <c r="D98" s="49"/>
      <c r="E98" s="18"/>
      <c r="F98" s="18"/>
      <c r="G98" s="18"/>
      <c r="H98" s="49"/>
      <c r="I98" s="49"/>
      <c r="J98" s="36"/>
      <c r="K98" s="18"/>
      <c r="L98" s="24"/>
      <c r="M98" s="49"/>
      <c r="N98" s="25"/>
      <c r="O98" s="49"/>
      <c r="P98" s="27"/>
      <c r="Q98" s="27"/>
      <c r="R98" s="11"/>
    </row>
    <row r="99" spans="1:18" x14ac:dyDescent="0.3">
      <c r="A99" s="25"/>
      <c r="B99" s="30"/>
      <c r="C99" s="31"/>
      <c r="D99" s="49"/>
      <c r="E99" s="18"/>
      <c r="F99" s="18"/>
      <c r="G99" s="18"/>
      <c r="H99" s="49"/>
      <c r="I99" s="49"/>
      <c r="J99" s="36"/>
      <c r="K99" s="18"/>
      <c r="L99" s="24"/>
      <c r="M99" s="49"/>
      <c r="N99" s="25"/>
      <c r="O99" s="20"/>
      <c r="P99" s="11"/>
      <c r="Q99" s="11"/>
      <c r="R99" s="11"/>
    </row>
    <row r="100" spans="1:18" x14ac:dyDescent="0.3">
      <c r="P100" s="11"/>
      <c r="Q100" s="11"/>
      <c r="R100" s="11"/>
    </row>
  </sheetData>
  <sheetProtection sheet="1" objects="1" scenarios="1" selectLockedCells="1"/>
  <mergeCells count="38">
    <mergeCell ref="D17:E17"/>
    <mergeCell ref="D18:E18"/>
    <mergeCell ref="D20:E20"/>
    <mergeCell ref="D21:E21"/>
    <mergeCell ref="G8:I8"/>
    <mergeCell ref="E8:F8"/>
    <mergeCell ref="D11:E11"/>
    <mergeCell ref="D12:E12"/>
    <mergeCell ref="D13:E13"/>
    <mergeCell ref="D14:E14"/>
    <mergeCell ref="D15:E15"/>
    <mergeCell ref="D16:E16"/>
    <mergeCell ref="D33:E33"/>
    <mergeCell ref="D34:E34"/>
    <mergeCell ref="D35:E35"/>
    <mergeCell ref="D36:E36"/>
    <mergeCell ref="D37:E37"/>
    <mergeCell ref="D27:E27"/>
    <mergeCell ref="D19:E19"/>
    <mergeCell ref="D23:E23"/>
    <mergeCell ref="D22:E22"/>
    <mergeCell ref="E41:F41"/>
    <mergeCell ref="D24:E24"/>
    <mergeCell ref="D25:E25"/>
    <mergeCell ref="D26:E26"/>
    <mergeCell ref="D28:E28"/>
    <mergeCell ref="D29:E29"/>
    <mergeCell ref="D30:E30"/>
    <mergeCell ref="D31:E31"/>
    <mergeCell ref="D32:E32"/>
    <mergeCell ref="D38:E38"/>
    <mergeCell ref="D39:E39"/>
    <mergeCell ref="D40:E40"/>
    <mergeCell ref="D2:I2"/>
    <mergeCell ref="E4:I4"/>
    <mergeCell ref="D6:I6"/>
    <mergeCell ref="D9:E9"/>
    <mergeCell ref="D10:E10"/>
  </mergeCells>
  <conditionalFormatting sqref="L9:L37 L39:L40">
    <cfRule type="expression" dxfId="440" priority="126">
      <formula>"h6=1"</formula>
    </cfRule>
  </conditionalFormatting>
  <conditionalFormatting sqref="K4">
    <cfRule type="expression" dxfId="439" priority="124">
      <formula>"""=""H1=""1"""""""</formula>
    </cfRule>
  </conditionalFormatting>
  <conditionalFormatting sqref="L4">
    <cfRule type="expression" dxfId="438" priority="120">
      <formula>"f7=c7"</formula>
    </cfRule>
  </conditionalFormatting>
  <conditionalFormatting sqref="D39">
    <cfRule type="expression" dxfId="437" priority="118">
      <formula>"e6=""x"""</formula>
    </cfRule>
  </conditionalFormatting>
  <conditionalFormatting sqref="H40">
    <cfRule type="expression" dxfId="436" priority="117">
      <formula>"e6=""x"""</formula>
    </cfRule>
  </conditionalFormatting>
  <conditionalFormatting sqref="L38">
    <cfRule type="expression" dxfId="435" priority="98">
      <formula>"h6=1"</formula>
    </cfRule>
  </conditionalFormatting>
  <conditionalFormatting sqref="H38">
    <cfRule type="expression" dxfId="434" priority="95">
      <formula>"e6=""x"""</formula>
    </cfRule>
  </conditionalFormatting>
  <conditionalFormatting sqref="J34">
    <cfRule type="cellIs" dxfId="433" priority="55" operator="equal">
      <formula>"*"</formula>
    </cfRule>
  </conditionalFormatting>
  <conditionalFormatting sqref="J9">
    <cfRule type="cellIs" dxfId="432" priority="85" operator="equal">
      <formula>"*"</formula>
    </cfRule>
  </conditionalFormatting>
  <conditionalFormatting sqref="J30:J31">
    <cfRule type="cellIs" dxfId="431" priority="56" operator="equal">
      <formula>"*"</formula>
    </cfRule>
  </conditionalFormatting>
  <conditionalFormatting sqref="J39">
    <cfRule type="cellIs" dxfId="430" priority="44" operator="equal">
      <formula>"*"</formula>
    </cfRule>
  </conditionalFormatting>
  <conditionalFormatting sqref="F9:G9">
    <cfRule type="expression" dxfId="429" priority="64">
      <formula>"$D6=$H$1"</formula>
    </cfRule>
  </conditionalFormatting>
  <conditionalFormatting sqref="G39:G40 G10:G37">
    <cfRule type="expression" dxfId="428" priority="63">
      <formula>"$D6=$H$1"</formula>
    </cfRule>
  </conditionalFormatting>
  <conditionalFormatting sqref="G38">
    <cfRule type="expression" dxfId="427" priority="62">
      <formula>"$D6=$H$1"</formula>
    </cfRule>
  </conditionalFormatting>
  <conditionalFormatting sqref="I9">
    <cfRule type="expression" dxfId="426" priority="61">
      <formula>"$D$6=$H$1"</formula>
    </cfRule>
  </conditionalFormatting>
  <conditionalFormatting sqref="J15:J16">
    <cfRule type="cellIs" dxfId="425" priority="59" operator="equal">
      <formula>"*"</formula>
    </cfRule>
  </conditionalFormatting>
  <conditionalFormatting sqref="J19">
    <cfRule type="cellIs" dxfId="424" priority="58" operator="equal">
      <formula>"*"</formula>
    </cfRule>
  </conditionalFormatting>
  <conditionalFormatting sqref="J36">
    <cfRule type="cellIs" dxfId="423" priority="54" operator="equal">
      <formula>"*"</formula>
    </cfRule>
  </conditionalFormatting>
  <conditionalFormatting sqref="J38">
    <cfRule type="cellIs" dxfId="422" priority="53" operator="equal">
      <formula>"*"</formula>
    </cfRule>
  </conditionalFormatting>
  <conditionalFormatting sqref="J40">
    <cfRule type="cellIs" dxfId="421" priority="52" operator="equal">
      <formula>"*"</formula>
    </cfRule>
  </conditionalFormatting>
  <conditionalFormatting sqref="J17">
    <cfRule type="cellIs" dxfId="420" priority="50" operator="equal">
      <formula>"*"</formula>
    </cfRule>
  </conditionalFormatting>
  <conditionalFormatting sqref="J27 J29">
    <cfRule type="cellIs" dxfId="419" priority="48" operator="equal">
      <formula>"*"</formula>
    </cfRule>
  </conditionalFormatting>
  <conditionalFormatting sqref="J32:J33">
    <cfRule type="cellIs" dxfId="418" priority="47" operator="equal">
      <formula>"*"</formula>
    </cfRule>
  </conditionalFormatting>
  <conditionalFormatting sqref="J35">
    <cfRule type="cellIs" dxfId="417" priority="46" operator="equal">
      <formula>"*"</formula>
    </cfRule>
  </conditionalFormatting>
  <conditionalFormatting sqref="J37">
    <cfRule type="cellIs" dxfId="416" priority="45" operator="equal">
      <formula>"*"</formula>
    </cfRule>
  </conditionalFormatting>
  <conditionalFormatting sqref="J18">
    <cfRule type="cellIs" dxfId="415" priority="43" operator="equal">
      <formula>"*"</formula>
    </cfRule>
  </conditionalFormatting>
  <conditionalFormatting sqref="F10">
    <cfRule type="expression" dxfId="414" priority="42">
      <formula>"$D6=$H$1"</formula>
    </cfRule>
  </conditionalFormatting>
  <conditionalFormatting sqref="F11:F40">
    <cfRule type="expression" dxfId="413" priority="41">
      <formula>"$D6=$H$1"</formula>
    </cfRule>
  </conditionalFormatting>
  <conditionalFormatting sqref="I10:I40">
    <cfRule type="expression" dxfId="412" priority="40">
      <formula>"$D$6=$H$1"</formula>
    </cfRule>
  </conditionalFormatting>
  <conditionalFormatting sqref="J22:J23">
    <cfRule type="cellIs" dxfId="411" priority="39" operator="equal">
      <formula>"*"</formula>
    </cfRule>
  </conditionalFormatting>
  <conditionalFormatting sqref="J10">
    <cfRule type="cellIs" dxfId="410" priority="38" operator="equal">
      <formula>"*"</formula>
    </cfRule>
  </conditionalFormatting>
  <conditionalFormatting sqref="J28">
    <cfRule type="cellIs" dxfId="409" priority="37" operator="equal">
      <formula>"*"</formula>
    </cfRule>
  </conditionalFormatting>
  <conditionalFormatting sqref="J11:J14">
    <cfRule type="cellIs" dxfId="408" priority="36" operator="equal">
      <formula>"*"</formula>
    </cfRule>
  </conditionalFormatting>
  <conditionalFormatting sqref="J20:J21">
    <cfRule type="cellIs" dxfId="407" priority="35" operator="equal">
      <formula>"*"</formula>
    </cfRule>
  </conditionalFormatting>
  <conditionalFormatting sqref="J24:J26">
    <cfRule type="cellIs" dxfId="406" priority="34" operator="equal">
      <formula>"*"</formula>
    </cfRule>
  </conditionalFormatting>
  <conditionalFormatting sqref="I41">
    <cfRule type="expression" dxfId="405" priority="33">
      <formula>"$D$6=$H$1"</formula>
    </cfRule>
  </conditionalFormatting>
  <conditionalFormatting sqref="I42:I72">
    <cfRule type="expression" dxfId="404" priority="32">
      <formula>"$D$6=$H$1"</formula>
    </cfRule>
  </conditionalFormatting>
  <conditionalFormatting sqref="D9">
    <cfRule type="expression" dxfId="403" priority="31">
      <formula>AND($F$9="n",$J$9="*")</formula>
    </cfRule>
  </conditionalFormatting>
  <conditionalFormatting sqref="D15">
    <cfRule type="expression" dxfId="402" priority="30">
      <formula>AND($F$9="n",$J$9="*")</formula>
    </cfRule>
  </conditionalFormatting>
  <conditionalFormatting sqref="D16">
    <cfRule type="expression" dxfId="401" priority="29">
      <formula>AND($F$9="n",$J$9="*")</formula>
    </cfRule>
  </conditionalFormatting>
  <conditionalFormatting sqref="D19">
    <cfRule type="expression" dxfId="400" priority="28">
      <formula>AND($F$9="n",$J$9="*")</formula>
    </cfRule>
  </conditionalFormatting>
  <conditionalFormatting sqref="D40">
    <cfRule type="expression" dxfId="399" priority="20">
      <formula>AND($F$9="n",$J$9="*")</formula>
    </cfRule>
  </conditionalFormatting>
  <conditionalFormatting sqref="D31">
    <cfRule type="expression" dxfId="398" priority="25">
      <formula>AND($F$9="n",$J$9="*")</formula>
    </cfRule>
  </conditionalFormatting>
  <conditionalFormatting sqref="D22">
    <cfRule type="expression" dxfId="397" priority="23">
      <formula>AND($F$9="n",$J$9="*")</formula>
    </cfRule>
  </conditionalFormatting>
  <conditionalFormatting sqref="H10">
    <cfRule type="expression" dxfId="396" priority="19">
      <formula>AND($I$10="n",$J$10="*")</formula>
    </cfRule>
  </conditionalFormatting>
  <conditionalFormatting sqref="H11:H14">
    <cfRule type="expression" dxfId="395" priority="16">
      <formula>AND($I$10="n",$J$10="*")</formula>
    </cfRule>
  </conditionalFormatting>
  <conditionalFormatting sqref="H17:H18">
    <cfRule type="expression" dxfId="394" priority="15">
      <formula>AND($I$10="n",$J$10="*")</formula>
    </cfRule>
  </conditionalFormatting>
  <conditionalFormatting sqref="H20:H21">
    <cfRule type="expression" dxfId="393" priority="14">
      <formula>AND($I$10="n",$J$10="*")</formula>
    </cfRule>
  </conditionalFormatting>
  <conditionalFormatting sqref="H24:H27">
    <cfRule type="expression" dxfId="392" priority="13">
      <formula>AND($I$10="n",$J$10="*")</formula>
    </cfRule>
  </conditionalFormatting>
  <conditionalFormatting sqref="H29">
    <cfRule type="expression" dxfId="391" priority="12">
      <formula>AND($I$10="n",$J$10="*")</formula>
    </cfRule>
  </conditionalFormatting>
  <conditionalFormatting sqref="H32:H33">
    <cfRule type="expression" dxfId="390" priority="11">
      <formula>AND($I$10="n",$J$10="*")</formula>
    </cfRule>
  </conditionalFormatting>
  <conditionalFormatting sqref="H35">
    <cfRule type="expression" dxfId="389" priority="10">
      <formula>AND($I$10="n",$J$10="*")</formula>
    </cfRule>
  </conditionalFormatting>
  <conditionalFormatting sqref="H37">
    <cfRule type="expression" dxfId="388" priority="9">
      <formula>AND($I$10="n",$J$10="*")</formula>
    </cfRule>
  </conditionalFormatting>
  <conditionalFormatting sqref="H39">
    <cfRule type="expression" dxfId="387" priority="8">
      <formula>AND($I$10="n",$J$10="*")</formula>
    </cfRule>
  </conditionalFormatting>
  <conditionalFormatting sqref="D23">
    <cfRule type="expression" dxfId="386" priority="7">
      <formula>AND($F$9="n",$J$9="*")</formula>
    </cfRule>
  </conditionalFormatting>
  <conditionalFormatting sqref="D28">
    <cfRule type="expression" dxfId="385" priority="6">
      <formula>AND($F$9="n",$J$9="*")</formula>
    </cfRule>
  </conditionalFormatting>
  <conditionalFormatting sqref="D30">
    <cfRule type="expression" dxfId="384" priority="5">
      <formula>AND($F$9="n",$J$9="*")</formula>
    </cfRule>
  </conditionalFormatting>
  <conditionalFormatting sqref="D34">
    <cfRule type="expression" dxfId="383" priority="4">
      <formula>AND($F$9="n",$J$9="*")</formula>
    </cfRule>
  </conditionalFormatting>
  <conditionalFormatting sqref="D38">
    <cfRule type="expression" dxfId="382" priority="2">
      <formula>AND($F$9="n",$J$9="*")</formula>
    </cfRule>
  </conditionalFormatting>
  <conditionalFormatting sqref="D36">
    <cfRule type="expression" dxfId="381" priority="1">
      <formula>AND($F$9="n",$J$9="*")</formula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99"/>
  <sheetViews>
    <sheetView showGridLines="0" topLeftCell="A7" workbookViewId="0">
      <selection activeCell="I9" sqref="I9"/>
    </sheetView>
  </sheetViews>
  <sheetFormatPr defaultRowHeight="18" x14ac:dyDescent="0.35"/>
  <cols>
    <col min="1" max="1" width="6.109375" style="10" customWidth="1"/>
    <col min="2" max="2" width="4.6640625" style="84" customWidth="1"/>
    <col min="3" max="3" width="32.21875" style="75" customWidth="1"/>
    <col min="4" max="4" width="3.6640625" style="7" customWidth="1"/>
    <col min="5" max="5" width="3.88671875" style="7" customWidth="1"/>
    <col min="6" max="6" width="33.33203125" style="75" customWidth="1"/>
    <col min="7" max="7" width="3.6640625" style="19" customWidth="1"/>
    <col min="8" max="8" width="6.5546875" style="15" customWidth="1"/>
    <col min="9" max="9" width="51.5546875" style="8" customWidth="1"/>
  </cols>
  <sheetData>
    <row r="1" spans="1:13" x14ac:dyDescent="0.35">
      <c r="A1" s="3"/>
      <c r="B1" s="82"/>
      <c r="C1" s="73"/>
      <c r="D1" s="6"/>
      <c r="E1" s="6"/>
      <c r="F1" s="13"/>
      <c r="G1" s="6"/>
      <c r="H1" s="13"/>
      <c r="I1" s="2"/>
      <c r="J1" s="24"/>
      <c r="K1" s="23"/>
      <c r="L1" s="25"/>
      <c r="M1" s="6"/>
    </row>
    <row r="2" spans="1:13" ht="23.4" x14ac:dyDescent="0.45">
      <c r="A2" s="3"/>
      <c r="B2" s="87" t="s">
        <v>91</v>
      </c>
      <c r="C2" s="87"/>
      <c r="D2" s="87"/>
      <c r="E2" s="87"/>
      <c r="F2" s="87"/>
      <c r="G2" s="87"/>
      <c r="H2" s="87"/>
      <c r="I2" s="68"/>
      <c r="J2" s="26"/>
      <c r="K2" s="27"/>
      <c r="L2" s="26"/>
      <c r="M2" s="26"/>
    </row>
    <row r="3" spans="1:13" ht="23.4" x14ac:dyDescent="0.45">
      <c r="A3" s="3"/>
      <c r="B3" s="82"/>
      <c r="C3" s="97" t="s">
        <v>92</v>
      </c>
      <c r="D3" s="97"/>
      <c r="E3" s="97"/>
      <c r="F3" s="97"/>
      <c r="G3" s="29"/>
      <c r="H3" s="14"/>
      <c r="I3" s="68"/>
      <c r="J3" s="26"/>
      <c r="K3" s="68"/>
      <c r="L3" s="26"/>
      <c r="M3" s="29"/>
    </row>
    <row r="4" spans="1:13" ht="23.4" customHeight="1" x14ac:dyDescent="0.45">
      <c r="A4" s="30"/>
      <c r="B4" s="82"/>
      <c r="C4" s="88" t="s">
        <v>90</v>
      </c>
      <c r="D4" s="88"/>
      <c r="E4" s="88"/>
      <c r="F4" s="88"/>
      <c r="G4" s="88"/>
      <c r="H4" s="88"/>
      <c r="I4" s="51"/>
      <c r="J4" s="26"/>
      <c r="K4" s="29"/>
      <c r="L4" s="26"/>
      <c r="M4" s="26"/>
    </row>
    <row r="5" spans="1:13" ht="21" customHeight="1" x14ac:dyDescent="0.4">
      <c r="B5" s="89" t="s">
        <v>2</v>
      </c>
      <c r="C5" s="89"/>
      <c r="D5" s="89"/>
      <c r="E5" s="89"/>
      <c r="F5" s="89"/>
      <c r="G5" s="89"/>
      <c r="H5" s="89"/>
      <c r="I5" s="70"/>
      <c r="J5" s="35"/>
      <c r="K5" s="69"/>
      <c r="L5" s="26"/>
      <c r="M5" s="69"/>
    </row>
    <row r="6" spans="1:13" ht="21" customHeight="1" x14ac:dyDescent="0.4">
      <c r="A6" s="30"/>
      <c r="B6" s="82"/>
      <c r="C6" s="89" t="s">
        <v>3</v>
      </c>
      <c r="D6" s="89"/>
      <c r="E6" s="89"/>
      <c r="F6" s="89"/>
      <c r="G6" s="89"/>
      <c r="H6" s="34"/>
      <c r="I6" s="70"/>
      <c r="J6" s="35"/>
      <c r="K6" s="27"/>
      <c r="L6" s="26"/>
      <c r="M6" s="26"/>
    </row>
    <row r="7" spans="1:13" x14ac:dyDescent="0.35">
      <c r="A7" s="30"/>
      <c r="B7" s="82"/>
      <c r="C7" s="74"/>
      <c r="D7" s="28"/>
      <c r="E7" s="28"/>
      <c r="F7" s="74"/>
      <c r="G7" s="29"/>
      <c r="H7" s="36"/>
      <c r="I7" s="18"/>
      <c r="J7" s="26"/>
      <c r="K7" s="29"/>
      <c r="L7" s="26"/>
      <c r="M7" s="29"/>
    </row>
    <row r="8" spans="1:13" ht="21" customHeight="1" x14ac:dyDescent="0.4">
      <c r="A8" s="37"/>
      <c r="B8" s="83"/>
      <c r="D8" s="19"/>
      <c r="E8" s="79"/>
      <c r="F8" s="71" t="str">
        <f>[1]!wwsInput("Type your name here")</f>
        <v>Type your name here</v>
      </c>
      <c r="G8" s="80"/>
      <c r="H8" s="39"/>
      <c r="I8" s="40" t="s">
        <v>5</v>
      </c>
      <c r="J8" s="35"/>
      <c r="K8" s="69"/>
      <c r="L8" s="35"/>
      <c r="M8" s="26"/>
    </row>
    <row r="9" spans="1:13" ht="21" x14ac:dyDescent="0.4">
      <c r="A9" s="41">
        <f>IF(H9="*",1,0)</f>
        <v>0</v>
      </c>
      <c r="B9" s="78">
        <v>1</v>
      </c>
      <c r="C9" s="76" t="s">
        <v>6</v>
      </c>
      <c r="D9" s="57" t="str">
        <f>[1]!wwsInput()</f>
        <v/>
      </c>
      <c r="E9" s="72"/>
      <c r="F9" s="76" t="s">
        <v>7</v>
      </c>
      <c r="G9" s="57" t="str">
        <f>[1]!wwsInput()</f>
        <v/>
      </c>
      <c r="H9" s="44" t="str">
        <f>IF(AND(D9="n",G9="y"),"*",IF(OR(D9="y",G9="n"),"?",""))</f>
        <v/>
      </c>
      <c r="I9" s="44" t="str">
        <f t="shared" ref="I9:I39" si="0">IF(H9="?","Modal, then subject, then verb.","")</f>
        <v/>
      </c>
      <c r="J9" s="45" t="s">
        <v>8</v>
      </c>
      <c r="K9" s="69"/>
      <c r="L9" s="45"/>
      <c r="M9" s="69"/>
    </row>
    <row r="10" spans="1:13" ht="21" x14ac:dyDescent="0.4">
      <c r="A10" s="41">
        <f t="shared" ref="A10:A40" si="1">IF(H10="*",1,0)</f>
        <v>0</v>
      </c>
      <c r="B10" s="78">
        <f>1+B9</f>
        <v>2</v>
      </c>
      <c r="C10" s="76" t="s">
        <v>9</v>
      </c>
      <c r="D10" s="57" t="str">
        <f>[1]!wwsInput()</f>
        <v/>
      </c>
      <c r="E10" s="46"/>
      <c r="F10" s="76" t="s">
        <v>10</v>
      </c>
      <c r="G10" s="57" t="str">
        <f>[1]!wwsInput()</f>
        <v/>
      </c>
      <c r="H10" s="44" t="str">
        <f>IF(AND(D10="y",G10="n"),"*",IF(OR(D10="y",G10="n"),"?",""))</f>
        <v/>
      </c>
      <c r="I10" s="44" t="str">
        <f>IF(H10="?","'Be' verb before subject.","")</f>
        <v/>
      </c>
      <c r="J10" s="45" t="s">
        <v>11</v>
      </c>
      <c r="K10" s="69"/>
      <c r="L10" s="45"/>
      <c r="M10" s="69"/>
    </row>
    <row r="11" spans="1:13" ht="21" x14ac:dyDescent="0.4">
      <c r="A11" s="41">
        <f t="shared" si="1"/>
        <v>0</v>
      </c>
      <c r="B11" s="78">
        <f t="shared" ref="B11:B40" si="2">1+B10</f>
        <v>3</v>
      </c>
      <c r="C11" s="76" t="s">
        <v>12</v>
      </c>
      <c r="D11" s="57" t="str">
        <f>[1]!wwsInput()</f>
        <v/>
      </c>
      <c r="E11" s="46"/>
      <c r="F11" s="76" t="s">
        <v>13</v>
      </c>
      <c r="G11" s="57" t="str">
        <f>[1]!wwsInput()</f>
        <v/>
      </c>
      <c r="H11" s="44" t="str">
        <f>IF(AND(D11="y",G11="n"),"*",IF(OR(D11="y",G11="n"),"?",""))</f>
        <v/>
      </c>
      <c r="I11" s="44" t="str">
        <f t="shared" ref="I11:I12" si="3">IF(H11="?","'Be' verb before subject.","")</f>
        <v/>
      </c>
      <c r="J11" s="45" t="s">
        <v>14</v>
      </c>
      <c r="K11" s="69"/>
      <c r="L11" s="45"/>
      <c r="M11" s="69"/>
    </row>
    <row r="12" spans="1:13" ht="21" x14ac:dyDescent="0.4">
      <c r="A12" s="41">
        <f t="shared" si="1"/>
        <v>0</v>
      </c>
      <c r="B12" s="78">
        <f t="shared" si="2"/>
        <v>4</v>
      </c>
      <c r="C12" s="76" t="s">
        <v>15</v>
      </c>
      <c r="D12" s="57" t="str">
        <f>[1]!wwsInput()</f>
        <v/>
      </c>
      <c r="E12" s="46"/>
      <c r="F12" s="76" t="s">
        <v>16</v>
      </c>
      <c r="G12" s="57" t="str">
        <f>[1]!wwsInput()</f>
        <v/>
      </c>
      <c r="H12" s="44" t="str">
        <f>IF(AND(D12="y",G12="n"),"*",IF(OR(D12="y",G12="n"),"?",""))</f>
        <v/>
      </c>
      <c r="I12" s="44" t="str">
        <f t="shared" si="3"/>
        <v/>
      </c>
      <c r="J12" s="45" t="s">
        <v>17</v>
      </c>
      <c r="K12" s="69"/>
      <c r="L12" s="45"/>
      <c r="M12" s="69"/>
    </row>
    <row r="13" spans="1:13" ht="21" x14ac:dyDescent="0.4">
      <c r="A13" s="41">
        <f t="shared" si="1"/>
        <v>0</v>
      </c>
      <c r="B13" s="78">
        <f t="shared" si="2"/>
        <v>5</v>
      </c>
      <c r="C13" s="76" t="s">
        <v>18</v>
      </c>
      <c r="D13" s="57" t="str">
        <f>[1]!wwsInput()</f>
        <v/>
      </c>
      <c r="E13" s="46"/>
      <c r="F13" s="76" t="s">
        <v>19</v>
      </c>
      <c r="G13" s="57" t="str">
        <f>[1]!wwsInput()</f>
        <v/>
      </c>
      <c r="H13" s="44" t="str">
        <f>IF(AND(D13="y",G13="n"),"*",IF(OR(D13="y",G13="n"),"?",""))</f>
        <v/>
      </c>
      <c r="I13" s="44" t="str">
        <f t="shared" si="0"/>
        <v/>
      </c>
      <c r="J13" s="45" t="s">
        <v>20</v>
      </c>
      <c r="K13" s="69"/>
      <c r="L13" s="45"/>
      <c r="M13" s="69"/>
    </row>
    <row r="14" spans="1:13" ht="21" x14ac:dyDescent="0.4">
      <c r="A14" s="41">
        <f t="shared" si="1"/>
        <v>0</v>
      </c>
      <c r="B14" s="78">
        <f t="shared" si="2"/>
        <v>6</v>
      </c>
      <c r="C14" s="76" t="s">
        <v>7</v>
      </c>
      <c r="D14" s="57" t="str">
        <f>[1]!wwsInput()</f>
        <v/>
      </c>
      <c r="E14" s="46"/>
      <c r="F14" s="76" t="s">
        <v>6</v>
      </c>
      <c r="G14" s="57" t="str">
        <f>[1]!wwsInput()</f>
        <v/>
      </c>
      <c r="H14" s="44" t="str">
        <f>IF(AND(D14="y",G14="n"),"*",IF(OR(D14="y",G14="n"),"?",""))</f>
        <v/>
      </c>
      <c r="I14" s="44" t="str">
        <f t="shared" si="0"/>
        <v/>
      </c>
      <c r="J14" s="45" t="s">
        <v>21</v>
      </c>
      <c r="K14" s="69"/>
      <c r="L14" s="45"/>
      <c r="M14" s="69"/>
    </row>
    <row r="15" spans="1:13" ht="21" x14ac:dyDescent="0.4">
      <c r="A15" s="41">
        <f t="shared" si="1"/>
        <v>0</v>
      </c>
      <c r="B15" s="78">
        <f t="shared" si="2"/>
        <v>7</v>
      </c>
      <c r="C15" s="76" t="s">
        <v>22</v>
      </c>
      <c r="D15" s="57" t="str">
        <f>[1]!wwsInput()</f>
        <v/>
      </c>
      <c r="E15" s="46"/>
      <c r="F15" s="76" t="s">
        <v>23</v>
      </c>
      <c r="G15" s="57" t="str">
        <f>[1]!wwsInput()</f>
        <v/>
      </c>
      <c r="H15" s="44" t="str">
        <f>IF(AND(D15="n",G15="y"),"*",IF(OR(D15="y",G15="n"),"?",""))</f>
        <v/>
      </c>
      <c r="I15" s="44" t="str">
        <f>IF(H15="?","Modal, then subject, then verb.","")</f>
        <v/>
      </c>
      <c r="J15" s="45" t="s">
        <v>24</v>
      </c>
      <c r="K15" s="69"/>
      <c r="L15" s="45"/>
      <c r="M15" s="69"/>
    </row>
    <row r="16" spans="1:13" ht="21" x14ac:dyDescent="0.4">
      <c r="A16" s="41">
        <f t="shared" si="1"/>
        <v>0</v>
      </c>
      <c r="B16" s="78">
        <f t="shared" si="2"/>
        <v>8</v>
      </c>
      <c r="C16" s="76" t="s">
        <v>25</v>
      </c>
      <c r="D16" s="57" t="str">
        <f>[1]!wwsInput()</f>
        <v/>
      </c>
      <c r="E16" s="46"/>
      <c r="F16" s="76" t="s">
        <v>26</v>
      </c>
      <c r="G16" s="57" t="str">
        <f>[1]!wwsInput()</f>
        <v/>
      </c>
      <c r="H16" s="44" t="str">
        <f>IF(AND(D16="n",G16="y"),"*",IF(OR(D16="y",G16="n"),"?",""))</f>
        <v/>
      </c>
      <c r="I16" s="44" t="str">
        <f t="shared" si="0"/>
        <v/>
      </c>
      <c r="J16" s="45" t="s">
        <v>27</v>
      </c>
      <c r="K16" s="69"/>
      <c r="L16" s="45"/>
      <c r="M16" s="69"/>
    </row>
    <row r="17" spans="1:13" ht="21" x14ac:dyDescent="0.4">
      <c r="A17" s="41">
        <f t="shared" si="1"/>
        <v>0</v>
      </c>
      <c r="B17" s="78">
        <f t="shared" si="2"/>
        <v>9</v>
      </c>
      <c r="C17" s="76" t="s">
        <v>28</v>
      </c>
      <c r="D17" s="57" t="str">
        <f>[1]!wwsInput()</f>
        <v/>
      </c>
      <c r="E17" s="46"/>
      <c r="F17" s="76" t="s">
        <v>29</v>
      </c>
      <c r="G17" s="57" t="str">
        <f>[1]!wwsInput()</f>
        <v/>
      </c>
      <c r="H17" s="44" t="str">
        <f>IF(AND(D17="y",G17="n"),"*",IF(OR(D17="n",G17="y"),"?",""))</f>
        <v/>
      </c>
      <c r="I17" s="44" t="str">
        <f t="shared" ref="I17:I19" si="4">IF(H17="?","'Be' verb before subject.","")</f>
        <v/>
      </c>
      <c r="J17" s="45" t="s">
        <v>30</v>
      </c>
      <c r="K17" s="69"/>
      <c r="L17" s="45"/>
      <c r="M17" s="69"/>
    </row>
    <row r="18" spans="1:13" ht="21" x14ac:dyDescent="0.4">
      <c r="A18" s="41">
        <f t="shared" si="1"/>
        <v>0</v>
      </c>
      <c r="B18" s="78">
        <f t="shared" si="2"/>
        <v>10</v>
      </c>
      <c r="C18" s="76" t="s">
        <v>31</v>
      </c>
      <c r="D18" s="57" t="str">
        <f>[1]!wwsInput()</f>
        <v/>
      </c>
      <c r="E18" s="46"/>
      <c r="F18" s="76" t="s">
        <v>32</v>
      </c>
      <c r="G18" s="57" t="str">
        <f>[1]!wwsInput()</f>
        <v/>
      </c>
      <c r="H18" s="44" t="str">
        <f>IF(AND(D18="y",G18="n"),"*",IF(OR(D18="n",G18="y"),"?",""))</f>
        <v/>
      </c>
      <c r="I18" s="44" t="str">
        <f t="shared" si="4"/>
        <v/>
      </c>
      <c r="J18" s="45" t="s">
        <v>33</v>
      </c>
      <c r="K18" s="69"/>
      <c r="L18" s="45"/>
      <c r="M18" s="69"/>
    </row>
    <row r="19" spans="1:13" ht="21" x14ac:dyDescent="0.4">
      <c r="A19" s="41">
        <f t="shared" si="1"/>
        <v>0</v>
      </c>
      <c r="B19" s="78">
        <f t="shared" si="2"/>
        <v>11</v>
      </c>
      <c r="C19" s="76" t="s">
        <v>34</v>
      </c>
      <c r="D19" s="57" t="str">
        <f>[1]!wwsInput()</f>
        <v/>
      </c>
      <c r="E19" s="46"/>
      <c r="F19" s="76" t="s">
        <v>35</v>
      </c>
      <c r="G19" s="57" t="str">
        <f>[1]!wwsInput()</f>
        <v/>
      </c>
      <c r="H19" s="44" t="str">
        <f>IF(AND(D19="n",G19="y"),"*",IF(OR(D19="y",G19="n"),"?",""))</f>
        <v/>
      </c>
      <c r="I19" s="44" t="str">
        <f t="shared" si="4"/>
        <v/>
      </c>
      <c r="J19" s="45" t="s">
        <v>36</v>
      </c>
      <c r="K19" s="69"/>
      <c r="L19" s="45"/>
      <c r="M19" s="69"/>
    </row>
    <row r="20" spans="1:13" ht="21" x14ac:dyDescent="0.4">
      <c r="A20" s="41">
        <f t="shared" si="1"/>
        <v>0</v>
      </c>
      <c r="B20" s="78">
        <f t="shared" si="2"/>
        <v>12</v>
      </c>
      <c r="C20" s="76" t="s">
        <v>37</v>
      </c>
      <c r="D20" s="57" t="str">
        <f>[1]!wwsInput()</f>
        <v/>
      </c>
      <c r="E20" s="46"/>
      <c r="F20" s="76" t="s">
        <v>38</v>
      </c>
      <c r="G20" s="57" t="str">
        <f>[1]!wwsInput()</f>
        <v/>
      </c>
      <c r="H20" s="44" t="str">
        <f>IF(AND(D20="y",G20="n"),"*",IF(OR(D20="y",G20="n"),"?",""))</f>
        <v/>
      </c>
      <c r="I20" s="44" t="str">
        <f t="shared" si="0"/>
        <v/>
      </c>
      <c r="J20" s="45" t="s">
        <v>39</v>
      </c>
      <c r="K20" s="69"/>
      <c r="L20" s="45"/>
      <c r="M20" s="69"/>
    </row>
    <row r="21" spans="1:13" ht="21" x14ac:dyDescent="0.4">
      <c r="A21" s="41">
        <f t="shared" si="1"/>
        <v>0</v>
      </c>
      <c r="B21" s="78">
        <f t="shared" si="2"/>
        <v>13</v>
      </c>
      <c r="C21" s="76" t="s">
        <v>40</v>
      </c>
      <c r="D21" s="57" t="str">
        <f>[1]!wwsInput()</f>
        <v/>
      </c>
      <c r="E21" s="46"/>
      <c r="F21" s="76" t="s">
        <v>41</v>
      </c>
      <c r="G21" s="57" t="str">
        <f>[1]!wwsInput()</f>
        <v/>
      </c>
      <c r="H21" s="44" t="str">
        <f>IF(AND(D21="y",G21="n"),"*",IF(OR(D21="y",G21="n"),"?",""))</f>
        <v/>
      </c>
      <c r="I21" s="44" t="str">
        <f t="shared" si="0"/>
        <v/>
      </c>
      <c r="J21" s="45" t="s">
        <v>42</v>
      </c>
      <c r="K21" s="69"/>
      <c r="L21" s="45"/>
      <c r="M21" s="69"/>
    </row>
    <row r="22" spans="1:13" ht="21" x14ac:dyDescent="0.4">
      <c r="A22" s="41">
        <f t="shared" si="1"/>
        <v>0</v>
      </c>
      <c r="B22" s="78">
        <f t="shared" si="2"/>
        <v>14</v>
      </c>
      <c r="C22" s="76" t="s">
        <v>43</v>
      </c>
      <c r="D22" s="57" t="str">
        <f>[1]!wwsInput()</f>
        <v/>
      </c>
      <c r="E22" s="46"/>
      <c r="F22" s="76" t="s">
        <v>44</v>
      </c>
      <c r="G22" s="57" t="str">
        <f>[1]!wwsInput()</f>
        <v/>
      </c>
      <c r="H22" s="44" t="str">
        <f>IF(AND(D22="n",G22="y"),"*",IF(OR(D22="y",G22="n"),"?",""))</f>
        <v/>
      </c>
      <c r="I22" s="44" t="str">
        <f t="shared" si="0"/>
        <v/>
      </c>
      <c r="J22" s="45" t="s">
        <v>45</v>
      </c>
      <c r="K22" s="69"/>
      <c r="L22" s="45"/>
      <c r="M22" s="69"/>
    </row>
    <row r="23" spans="1:13" ht="21" x14ac:dyDescent="0.4">
      <c r="A23" s="41">
        <f t="shared" si="1"/>
        <v>0</v>
      </c>
      <c r="B23" s="78">
        <f t="shared" si="2"/>
        <v>15</v>
      </c>
      <c r="C23" s="76" t="s">
        <v>46</v>
      </c>
      <c r="D23" s="57" t="str">
        <f>[1]!wwsInput()</f>
        <v/>
      </c>
      <c r="E23" s="46"/>
      <c r="F23" s="76" t="s">
        <v>47</v>
      </c>
      <c r="G23" s="57" t="str">
        <f>[1]!wwsInput()</f>
        <v/>
      </c>
      <c r="H23" s="44" t="str">
        <f>IF(AND(D23="n",G23="y"),"*",IF(OR(D23="y",G23="n"),"?",""))</f>
        <v/>
      </c>
      <c r="I23" s="44" t="str">
        <f t="shared" ref="I23:I26" si="5">IF(H23="?","'Be' verb before subject.","")</f>
        <v/>
      </c>
      <c r="J23" s="45" t="s">
        <v>36</v>
      </c>
      <c r="K23" s="69"/>
      <c r="L23" s="45"/>
      <c r="M23" s="69"/>
    </row>
    <row r="24" spans="1:13" ht="21" x14ac:dyDescent="0.4">
      <c r="A24" s="41">
        <f t="shared" si="1"/>
        <v>0</v>
      </c>
      <c r="B24" s="78">
        <f t="shared" si="2"/>
        <v>16</v>
      </c>
      <c r="C24" s="76" t="s">
        <v>40</v>
      </c>
      <c r="D24" s="57" t="str">
        <f>[1]!wwsInput()</f>
        <v/>
      </c>
      <c r="E24" s="46"/>
      <c r="F24" s="76" t="s">
        <v>41</v>
      </c>
      <c r="G24" s="57" t="str">
        <f>[1]!wwsInput()</f>
        <v/>
      </c>
      <c r="H24" s="44" t="str">
        <f>IF(AND(D24="y",G24="n"),"*",IF(OR(D24="y",G24="n"),"?",""))</f>
        <v/>
      </c>
      <c r="I24" s="44" t="str">
        <f t="shared" si="0"/>
        <v/>
      </c>
      <c r="J24" s="45" t="s">
        <v>48</v>
      </c>
      <c r="K24" s="69"/>
      <c r="L24" s="45"/>
      <c r="M24" s="69"/>
    </row>
    <row r="25" spans="1:13" ht="21" x14ac:dyDescent="0.4">
      <c r="A25" s="41">
        <f t="shared" si="1"/>
        <v>0</v>
      </c>
      <c r="B25" s="78">
        <f t="shared" si="2"/>
        <v>17</v>
      </c>
      <c r="C25" s="76" t="s">
        <v>49</v>
      </c>
      <c r="D25" s="57" t="str">
        <f>[1]!wwsInput()</f>
        <v/>
      </c>
      <c r="E25" s="46"/>
      <c r="F25" s="76" t="s">
        <v>50</v>
      </c>
      <c r="G25" s="57" t="str">
        <f>[1]!wwsInput()</f>
        <v/>
      </c>
      <c r="H25" s="44" t="str">
        <f>IF(AND(D25="y",G25="n"),"*",IF(OR(D25="y",G25="n"),"?",""))</f>
        <v/>
      </c>
      <c r="I25" s="44" t="str">
        <f t="shared" si="5"/>
        <v/>
      </c>
      <c r="J25" s="45" t="s">
        <v>36</v>
      </c>
      <c r="K25" s="69"/>
      <c r="L25" s="45"/>
      <c r="M25" s="69"/>
    </row>
    <row r="26" spans="1:13" ht="21" x14ac:dyDescent="0.4">
      <c r="A26" s="41">
        <f t="shared" si="1"/>
        <v>0</v>
      </c>
      <c r="B26" s="78">
        <f t="shared" si="2"/>
        <v>18</v>
      </c>
      <c r="C26" s="76" t="s">
        <v>51</v>
      </c>
      <c r="D26" s="57" t="str">
        <f>[1]!wwsInput()</f>
        <v/>
      </c>
      <c r="E26" s="46"/>
      <c r="F26" s="76" t="s">
        <v>52</v>
      </c>
      <c r="G26" s="57" t="str">
        <f>[1]!wwsInput()</f>
        <v/>
      </c>
      <c r="H26" s="44" t="str">
        <f>IF(AND(D26="y",G26="n"),"*",IF(OR(D26="y",G26="n"),"?",""))</f>
        <v/>
      </c>
      <c r="I26" s="44" t="str">
        <f t="shared" si="5"/>
        <v/>
      </c>
      <c r="J26" s="45" t="s">
        <v>30</v>
      </c>
      <c r="K26" s="69"/>
      <c r="L26" s="45"/>
      <c r="M26" s="69"/>
    </row>
    <row r="27" spans="1:13" ht="21" x14ac:dyDescent="0.4">
      <c r="A27" s="41">
        <f t="shared" si="1"/>
        <v>0</v>
      </c>
      <c r="B27" s="78">
        <f t="shared" si="2"/>
        <v>19</v>
      </c>
      <c r="C27" s="76" t="s">
        <v>53</v>
      </c>
      <c r="D27" s="57" t="str">
        <f>[1]!wwsInput()</f>
        <v/>
      </c>
      <c r="E27" s="46"/>
      <c r="F27" s="76" t="s">
        <v>54</v>
      </c>
      <c r="G27" s="57" t="str">
        <f>[1]!wwsInput()</f>
        <v/>
      </c>
      <c r="H27" s="44" t="str">
        <f>IF(AND(D27="y",G27="n"),"*",IF(OR(D27="n",G27="y"),"?",""))</f>
        <v/>
      </c>
      <c r="I27" s="44" t="str">
        <f t="shared" si="0"/>
        <v/>
      </c>
      <c r="J27" s="45" t="s">
        <v>55</v>
      </c>
      <c r="K27" s="69"/>
      <c r="L27" s="45"/>
      <c r="M27" s="69"/>
    </row>
    <row r="28" spans="1:13" ht="21" x14ac:dyDescent="0.4">
      <c r="A28" s="41">
        <f t="shared" si="1"/>
        <v>0</v>
      </c>
      <c r="B28" s="78">
        <f t="shared" si="2"/>
        <v>20</v>
      </c>
      <c r="C28" s="76" t="s">
        <v>56</v>
      </c>
      <c r="D28" s="57" t="str">
        <f>[1]!wwsInput()</f>
        <v/>
      </c>
      <c r="E28" s="46"/>
      <c r="F28" s="76" t="s">
        <v>57</v>
      </c>
      <c r="G28" s="57" t="str">
        <f>[1]!wwsInput()</f>
        <v/>
      </c>
      <c r="H28" s="44" t="str">
        <f>IF(AND(D28="n",G28="y"),"*",IF(OR(D28="y",G28="n"),"?",""))</f>
        <v/>
      </c>
      <c r="I28" s="44" t="str">
        <f t="shared" ref="I28:I35" si="6">IF(H28="?","'Be' verb before subject.","")</f>
        <v/>
      </c>
      <c r="J28" s="45" t="s">
        <v>30</v>
      </c>
      <c r="K28" s="69"/>
      <c r="L28" s="45"/>
      <c r="M28" s="69"/>
    </row>
    <row r="29" spans="1:13" ht="21" x14ac:dyDescent="0.4">
      <c r="A29" s="41">
        <f t="shared" si="1"/>
        <v>0</v>
      </c>
      <c r="B29" s="78">
        <f t="shared" si="2"/>
        <v>21</v>
      </c>
      <c r="C29" s="76" t="s">
        <v>58</v>
      </c>
      <c r="D29" s="57" t="str">
        <f>[1]!wwsInput()</f>
        <v/>
      </c>
      <c r="E29" s="46"/>
      <c r="F29" s="76" t="s">
        <v>59</v>
      </c>
      <c r="G29" s="57" t="str">
        <f>[1]!wwsInput()</f>
        <v/>
      </c>
      <c r="H29" s="44" t="str">
        <f>IF(AND(D29="y",G29="n"),"*",IF(OR(D29="n",G29="y"),"?",""))</f>
        <v/>
      </c>
      <c r="I29" s="44" t="str">
        <f t="shared" si="6"/>
        <v/>
      </c>
      <c r="J29" s="45" t="s">
        <v>36</v>
      </c>
      <c r="K29" s="69"/>
      <c r="L29" s="45"/>
      <c r="M29" s="69"/>
    </row>
    <row r="30" spans="1:13" ht="21" x14ac:dyDescent="0.4">
      <c r="A30" s="41">
        <f t="shared" si="1"/>
        <v>0</v>
      </c>
      <c r="B30" s="78">
        <f t="shared" si="2"/>
        <v>22</v>
      </c>
      <c r="C30" s="76" t="s">
        <v>60</v>
      </c>
      <c r="D30" s="57" t="str">
        <f>[1]!wwsInput()</f>
        <v/>
      </c>
      <c r="E30" s="46"/>
      <c r="F30" s="76" t="s">
        <v>15</v>
      </c>
      <c r="G30" s="57" t="str">
        <f>[1]!wwsInput()</f>
        <v/>
      </c>
      <c r="H30" s="44" t="str">
        <f>IF(AND(D30="n",G30="y"),"*",IF(OR(D30="y",G30="n"),"?",""))</f>
        <v/>
      </c>
      <c r="I30" s="44" t="str">
        <f t="shared" si="6"/>
        <v/>
      </c>
      <c r="J30" s="45" t="s">
        <v>36</v>
      </c>
      <c r="K30" s="69"/>
      <c r="L30" s="45"/>
      <c r="M30" s="69"/>
    </row>
    <row r="31" spans="1:13" ht="21" x14ac:dyDescent="0.4">
      <c r="A31" s="41">
        <f t="shared" si="1"/>
        <v>0</v>
      </c>
      <c r="B31" s="78">
        <f t="shared" si="2"/>
        <v>23</v>
      </c>
      <c r="C31" s="76" t="s">
        <v>61</v>
      </c>
      <c r="D31" s="57" t="str">
        <f>[1]!wwsInput()</f>
        <v/>
      </c>
      <c r="E31" s="46"/>
      <c r="F31" s="76" t="s">
        <v>62</v>
      </c>
      <c r="G31" s="57" t="str">
        <f>[1]!wwsInput()</f>
        <v/>
      </c>
      <c r="H31" s="44" t="str">
        <f>IF(AND(D31="n",G31="y"),"*",IF(OR(D31="y",G31="n"),"?",""))</f>
        <v/>
      </c>
      <c r="I31" s="44" t="str">
        <f t="shared" si="6"/>
        <v/>
      </c>
      <c r="J31" s="45" t="s">
        <v>63</v>
      </c>
      <c r="K31" s="69"/>
      <c r="L31" s="45"/>
      <c r="M31" s="69"/>
    </row>
    <row r="32" spans="1:13" ht="21" x14ac:dyDescent="0.4">
      <c r="A32" s="41">
        <f t="shared" si="1"/>
        <v>0</v>
      </c>
      <c r="B32" s="78">
        <f t="shared" si="2"/>
        <v>24</v>
      </c>
      <c r="C32" s="76" t="s">
        <v>64</v>
      </c>
      <c r="D32" s="57" t="str">
        <f>[1]!wwsInput()</f>
        <v/>
      </c>
      <c r="E32" s="46"/>
      <c r="F32" s="76" t="s">
        <v>65</v>
      </c>
      <c r="G32" s="57" t="str">
        <f>[1]!wwsInput()</f>
        <v/>
      </c>
      <c r="H32" s="44" t="str">
        <f>IF(AND(D32="y",G32="n"),"*",IF(OR(D32="n",G32="y"),"?",""))</f>
        <v/>
      </c>
      <c r="I32" s="44" t="str">
        <f t="shared" si="0"/>
        <v/>
      </c>
      <c r="J32" s="45" t="s">
        <v>42</v>
      </c>
      <c r="K32" s="69"/>
      <c r="L32" s="45"/>
      <c r="M32" s="69"/>
    </row>
    <row r="33" spans="1:13" ht="21" x14ac:dyDescent="0.4">
      <c r="A33" s="41">
        <f t="shared" si="1"/>
        <v>0</v>
      </c>
      <c r="B33" s="78">
        <f t="shared" si="2"/>
        <v>25</v>
      </c>
      <c r="C33" s="76" t="s">
        <v>66</v>
      </c>
      <c r="D33" s="57" t="str">
        <f>[1]!wwsInput()</f>
        <v/>
      </c>
      <c r="E33" s="46"/>
      <c r="F33" s="76" t="s">
        <v>67</v>
      </c>
      <c r="G33" s="57" t="str">
        <f>[1]!wwsInput()</f>
        <v/>
      </c>
      <c r="H33" s="44" t="str">
        <f>IF(AND(D33="y",G33="n"),"*",IF(OR(D33="n",G33="y"),"?",""))</f>
        <v/>
      </c>
      <c r="I33" s="44" t="str">
        <f t="shared" si="6"/>
        <v/>
      </c>
      <c r="J33" s="45" t="s">
        <v>68</v>
      </c>
      <c r="K33" s="69"/>
      <c r="L33" s="45"/>
      <c r="M33" s="69"/>
    </row>
    <row r="34" spans="1:13" ht="21" x14ac:dyDescent="0.4">
      <c r="A34" s="41">
        <f t="shared" si="1"/>
        <v>0</v>
      </c>
      <c r="B34" s="78">
        <f t="shared" si="2"/>
        <v>26</v>
      </c>
      <c r="C34" s="76" t="s">
        <v>69</v>
      </c>
      <c r="D34" s="57" t="str">
        <f>[1]!wwsInput()</f>
        <v/>
      </c>
      <c r="E34" s="46"/>
      <c r="F34" s="76" t="s">
        <v>70</v>
      </c>
      <c r="G34" s="57" t="str">
        <f>[1]!wwsInput()</f>
        <v/>
      </c>
      <c r="H34" s="44" t="str">
        <f>IF(AND(D34="n",G34="y"),"*",IF(OR(D34="y",G34="n"),"?",""))</f>
        <v/>
      </c>
      <c r="I34" s="44" t="str">
        <f t="shared" si="6"/>
        <v/>
      </c>
      <c r="J34" s="45" t="s">
        <v>71</v>
      </c>
      <c r="K34" s="69"/>
      <c r="L34" s="45"/>
      <c r="M34" s="69"/>
    </row>
    <row r="35" spans="1:13" ht="21" x14ac:dyDescent="0.4">
      <c r="A35" s="41">
        <f t="shared" si="1"/>
        <v>0</v>
      </c>
      <c r="B35" s="78">
        <f t="shared" si="2"/>
        <v>27</v>
      </c>
      <c r="C35" s="76" t="s">
        <v>72</v>
      </c>
      <c r="D35" s="57" t="str">
        <f>[1]!wwsInput()</f>
        <v/>
      </c>
      <c r="E35" s="46"/>
      <c r="F35" s="76" t="s">
        <v>73</v>
      </c>
      <c r="G35" s="57" t="str">
        <f>[1]!wwsInput()</f>
        <v/>
      </c>
      <c r="H35" s="44" t="str">
        <f>IF(AND(D35="y",G35="n"),"*",IF(OR(D35="n",G35="y"),"?",""))</f>
        <v/>
      </c>
      <c r="I35" s="44" t="str">
        <f t="shared" si="6"/>
        <v/>
      </c>
      <c r="J35" s="45" t="s">
        <v>74</v>
      </c>
      <c r="K35" s="69"/>
      <c r="L35" s="45"/>
      <c r="M35" s="69"/>
    </row>
    <row r="36" spans="1:13" ht="21" x14ac:dyDescent="0.4">
      <c r="A36" s="41">
        <f t="shared" si="1"/>
        <v>0</v>
      </c>
      <c r="B36" s="78">
        <f t="shared" si="2"/>
        <v>28</v>
      </c>
      <c r="C36" s="76" t="s">
        <v>65</v>
      </c>
      <c r="D36" s="57" t="str">
        <f>[1]!wwsInput()</f>
        <v/>
      </c>
      <c r="E36" s="46"/>
      <c r="F36" s="76" t="s">
        <v>64</v>
      </c>
      <c r="G36" s="57" t="str">
        <f>[1]!wwsInput()</f>
        <v/>
      </c>
      <c r="H36" s="44" t="str">
        <f>IF(AND(D36="n",G36="y"),"*",IF(OR(D36="y",G36="n"),"?",""))</f>
        <v/>
      </c>
      <c r="I36" s="44" t="str">
        <f t="shared" si="0"/>
        <v/>
      </c>
      <c r="J36" s="45" t="s">
        <v>75</v>
      </c>
      <c r="K36" s="69"/>
      <c r="L36" s="45"/>
      <c r="M36" s="69"/>
    </row>
    <row r="37" spans="1:13" ht="21" x14ac:dyDescent="0.4">
      <c r="A37" s="41">
        <f t="shared" si="1"/>
        <v>0</v>
      </c>
      <c r="B37" s="78">
        <f t="shared" si="2"/>
        <v>29</v>
      </c>
      <c r="C37" s="76" t="s">
        <v>76</v>
      </c>
      <c r="D37" s="57" t="str">
        <f>[1]!wwsInput()</f>
        <v/>
      </c>
      <c r="E37" s="46"/>
      <c r="F37" s="76" t="s">
        <v>77</v>
      </c>
      <c r="G37" s="57" t="str">
        <f>[1]!wwsInput()</f>
        <v/>
      </c>
      <c r="H37" s="44" t="str">
        <f>IF(AND(D37="y",G37="n"),"*",IF(OR(D37="n",G37="y"),"?",""))</f>
        <v/>
      </c>
      <c r="I37" s="44" t="str">
        <f t="shared" ref="I37" si="7">IF(H37="?","'Be' verb before subject.","")</f>
        <v/>
      </c>
      <c r="J37" s="45" t="s">
        <v>30</v>
      </c>
      <c r="K37" s="69"/>
      <c r="L37" s="45"/>
      <c r="M37" s="69"/>
    </row>
    <row r="38" spans="1:13" ht="21" x14ac:dyDescent="0.4">
      <c r="A38" s="41">
        <f t="shared" si="1"/>
        <v>0</v>
      </c>
      <c r="B38" s="78">
        <f t="shared" si="2"/>
        <v>30</v>
      </c>
      <c r="C38" s="76" t="s">
        <v>78</v>
      </c>
      <c r="D38" s="57" t="str">
        <f>[1]!wwsInput()</f>
        <v/>
      </c>
      <c r="E38" s="46"/>
      <c r="F38" s="76" t="s">
        <v>79</v>
      </c>
      <c r="G38" s="57" t="str">
        <f>[1]!wwsInput()</f>
        <v/>
      </c>
      <c r="H38" s="44" t="str">
        <f>IF(AND(D38="n",G38="y"),"*",IF(OR(D38="y",G38="n"),"?",""))</f>
        <v/>
      </c>
      <c r="I38" s="44" t="str">
        <f t="shared" si="0"/>
        <v/>
      </c>
      <c r="J38" s="45" t="s">
        <v>80</v>
      </c>
      <c r="K38" s="69"/>
      <c r="L38" s="45"/>
      <c r="M38" s="69"/>
    </row>
    <row r="39" spans="1:13" ht="21" x14ac:dyDescent="0.4">
      <c r="A39" s="41">
        <f t="shared" si="1"/>
        <v>0</v>
      </c>
      <c r="B39" s="78">
        <f t="shared" si="2"/>
        <v>31</v>
      </c>
      <c r="C39" s="76" t="s">
        <v>81</v>
      </c>
      <c r="D39" s="57" t="str">
        <f>[1]!wwsInput()</f>
        <v/>
      </c>
      <c r="E39" s="46"/>
      <c r="F39" s="76" t="s">
        <v>82</v>
      </c>
      <c r="G39" s="57" t="str">
        <f>[1]!wwsInput()</f>
        <v/>
      </c>
      <c r="H39" s="44" t="str">
        <f>IF(AND(D39="y",G39="n"),"*",IF(OR(D39="n",G39="y"),"?",""))</f>
        <v/>
      </c>
      <c r="I39" s="44" t="str">
        <f t="shared" si="0"/>
        <v/>
      </c>
      <c r="J39" s="45" t="s">
        <v>83</v>
      </c>
      <c r="K39" s="69"/>
      <c r="L39" s="45"/>
      <c r="M39" s="69"/>
    </row>
    <row r="40" spans="1:13" ht="21" x14ac:dyDescent="0.4">
      <c r="A40" s="41">
        <f t="shared" si="1"/>
        <v>0</v>
      </c>
      <c r="B40" s="78">
        <f t="shared" si="2"/>
        <v>32</v>
      </c>
      <c r="C40" s="76" t="s">
        <v>84</v>
      </c>
      <c r="D40" s="57" t="str">
        <f>[1]!wwsInput()</f>
        <v/>
      </c>
      <c r="E40" s="46"/>
      <c r="F40" s="76" t="s">
        <v>85</v>
      </c>
      <c r="G40" s="57" t="str">
        <f>[1]!wwsInput()</f>
        <v/>
      </c>
      <c r="H40" s="44" t="str">
        <f>IF(AND(D40="n",G40="y"),"*",IF(OR(D40="y",G40="n"),"?",""))</f>
        <v/>
      </c>
      <c r="I40" s="44" t="str">
        <f t="shared" ref="I40" si="8">IF(H40="?","'Be' verb before subject.","")</f>
        <v/>
      </c>
      <c r="J40" s="45" t="s">
        <v>86</v>
      </c>
      <c r="K40" s="69"/>
      <c r="L40" s="45"/>
      <c r="M40" s="69"/>
    </row>
    <row r="41" spans="1:13" ht="21" x14ac:dyDescent="0.4">
      <c r="A41" s="37"/>
      <c r="B41" s="82"/>
      <c r="C41" s="77"/>
      <c r="D41" s="96">
        <f>SUM(A9:A40)/32</f>
        <v>0</v>
      </c>
      <c r="E41" s="96"/>
      <c r="F41" s="81" t="s">
        <v>87</v>
      </c>
      <c r="G41" s="59"/>
      <c r="H41" s="34"/>
      <c r="I41" s="52"/>
      <c r="J41" s="35"/>
      <c r="K41" s="69"/>
      <c r="L41" s="35"/>
      <c r="M41" s="69"/>
    </row>
    <row r="42" spans="1:13" ht="21" x14ac:dyDescent="0.4">
      <c r="A42" s="30"/>
      <c r="B42" s="82"/>
      <c r="C42" s="74"/>
      <c r="D42" s="28"/>
      <c r="E42" s="28"/>
      <c r="F42" s="74"/>
      <c r="G42" s="59"/>
      <c r="H42" s="36"/>
      <c r="I42" s="18"/>
      <c r="J42" s="27" t="s">
        <v>88</v>
      </c>
      <c r="K42" s="29"/>
      <c r="L42" s="26"/>
      <c r="M42" s="29"/>
    </row>
    <row r="43" spans="1:13" ht="21" x14ac:dyDescent="0.4">
      <c r="A43" s="30"/>
      <c r="B43" s="82"/>
      <c r="C43" s="74"/>
      <c r="D43" s="28"/>
      <c r="E43" s="28"/>
      <c r="F43" s="74"/>
      <c r="G43" s="59"/>
      <c r="H43" s="36"/>
      <c r="I43" s="18"/>
    </row>
    <row r="44" spans="1:13" ht="21" x14ac:dyDescent="0.4">
      <c r="A44" s="30"/>
      <c r="B44" s="82"/>
      <c r="C44" s="74"/>
      <c r="D44" s="28"/>
      <c r="E44" s="28"/>
      <c r="F44" s="74"/>
      <c r="G44" s="59"/>
      <c r="H44" s="36"/>
      <c r="I44" s="18"/>
    </row>
    <row r="45" spans="1:13" ht="21" x14ac:dyDescent="0.4">
      <c r="A45" s="30"/>
      <c r="B45" s="82"/>
      <c r="C45" s="74"/>
      <c r="D45" s="28"/>
      <c r="E45" s="28"/>
      <c r="F45" s="74"/>
      <c r="G45" s="59"/>
      <c r="H45" s="36"/>
      <c r="I45" s="18"/>
    </row>
    <row r="46" spans="1:13" ht="21" x14ac:dyDescent="0.4">
      <c r="A46" s="30"/>
      <c r="B46" s="82"/>
      <c r="C46" s="36"/>
      <c r="D46" s="18"/>
      <c r="E46" s="18"/>
      <c r="F46" s="36"/>
      <c r="G46" s="59"/>
      <c r="H46" s="50"/>
      <c r="I46" s="18"/>
    </row>
    <row r="47" spans="1:13" ht="21" x14ac:dyDescent="0.4">
      <c r="A47" s="30"/>
      <c r="B47" s="82"/>
      <c r="C47" s="36"/>
      <c r="D47" s="18"/>
      <c r="E47" s="18"/>
      <c r="F47" s="36"/>
      <c r="G47" s="59"/>
      <c r="H47" s="50"/>
      <c r="I47" s="18"/>
    </row>
    <row r="48" spans="1:13" ht="21" x14ac:dyDescent="0.4">
      <c r="A48" s="30"/>
      <c r="B48" s="82"/>
      <c r="C48" s="36"/>
      <c r="D48" s="18"/>
      <c r="E48" s="18"/>
      <c r="F48" s="36"/>
      <c r="G48" s="59"/>
      <c r="H48" s="50"/>
      <c r="I48" s="18"/>
    </row>
    <row r="49" spans="1:9" ht="21" x14ac:dyDescent="0.4">
      <c r="A49" s="30"/>
      <c r="B49" s="82"/>
      <c r="C49" s="36"/>
      <c r="D49" s="18"/>
      <c r="E49" s="18"/>
      <c r="F49" s="36"/>
      <c r="G49" s="59"/>
      <c r="H49" s="50"/>
      <c r="I49" s="18"/>
    </row>
    <row r="50" spans="1:9" ht="21" x14ac:dyDescent="0.4">
      <c r="A50" s="30"/>
      <c r="B50" s="82"/>
      <c r="C50" s="36"/>
      <c r="D50" s="18"/>
      <c r="E50" s="18"/>
      <c r="F50" s="36"/>
      <c r="G50" s="59"/>
      <c r="H50" s="50"/>
      <c r="I50" s="18"/>
    </row>
    <row r="51" spans="1:9" ht="21" x14ac:dyDescent="0.4">
      <c r="A51" s="30"/>
      <c r="B51" s="82"/>
      <c r="C51" s="36"/>
      <c r="D51" s="18"/>
      <c r="E51" s="18"/>
      <c r="F51" s="36"/>
      <c r="G51" s="59"/>
      <c r="H51" s="50"/>
      <c r="I51" s="18"/>
    </row>
    <row r="52" spans="1:9" ht="21" x14ac:dyDescent="0.4">
      <c r="A52" s="30"/>
      <c r="B52" s="82"/>
      <c r="C52" s="36"/>
      <c r="D52" s="18"/>
      <c r="E52" s="18"/>
      <c r="F52" s="36"/>
      <c r="G52" s="59"/>
      <c r="H52" s="50"/>
      <c r="I52" s="18"/>
    </row>
    <row r="53" spans="1:9" ht="21" x14ac:dyDescent="0.4">
      <c r="A53" s="30"/>
      <c r="B53" s="82"/>
      <c r="C53" s="36"/>
      <c r="D53" s="18"/>
      <c r="E53" s="18"/>
      <c r="F53" s="36"/>
      <c r="G53" s="59"/>
      <c r="H53" s="50"/>
      <c r="I53" s="18"/>
    </row>
    <row r="54" spans="1:9" ht="21" x14ac:dyDescent="0.4">
      <c r="A54" s="30"/>
      <c r="B54" s="82"/>
      <c r="C54" s="36"/>
      <c r="D54" s="18"/>
      <c r="E54" s="18"/>
      <c r="F54" s="36"/>
      <c r="G54" s="59"/>
      <c r="H54" s="50"/>
      <c r="I54" s="18"/>
    </row>
    <row r="55" spans="1:9" ht="21" x14ac:dyDescent="0.4">
      <c r="A55" s="30"/>
      <c r="B55" s="82"/>
      <c r="C55" s="36"/>
      <c r="D55" s="18"/>
      <c r="E55" s="18"/>
      <c r="F55" s="36"/>
      <c r="G55" s="59"/>
      <c r="H55" s="50"/>
      <c r="I55" s="18"/>
    </row>
    <row r="56" spans="1:9" ht="21" x14ac:dyDescent="0.35">
      <c r="A56" s="30"/>
      <c r="B56" s="82"/>
      <c r="C56" s="36"/>
      <c r="D56" s="18"/>
      <c r="E56" s="18"/>
      <c r="F56" s="36"/>
      <c r="G56" s="55"/>
      <c r="H56" s="50"/>
      <c r="I56" s="18"/>
    </row>
    <row r="57" spans="1:9" ht="21" x14ac:dyDescent="0.35">
      <c r="A57" s="30"/>
      <c r="B57" s="82"/>
      <c r="C57" s="36"/>
      <c r="D57" s="18"/>
      <c r="E57" s="18"/>
      <c r="F57" s="36"/>
      <c r="G57" s="55"/>
      <c r="H57" s="50"/>
      <c r="I57" s="18"/>
    </row>
    <row r="58" spans="1:9" ht="21" x14ac:dyDescent="0.35">
      <c r="A58" s="30"/>
      <c r="B58" s="82"/>
      <c r="C58" s="36"/>
      <c r="D58" s="18"/>
      <c r="E58" s="18"/>
      <c r="F58" s="36"/>
      <c r="G58" s="55"/>
      <c r="H58" s="50"/>
      <c r="I58" s="18"/>
    </row>
    <row r="59" spans="1:9" ht="21" x14ac:dyDescent="0.4">
      <c r="A59" s="30"/>
      <c r="B59" s="82"/>
      <c r="C59" s="36"/>
      <c r="D59" s="18"/>
      <c r="E59" s="18"/>
      <c r="F59" s="36"/>
      <c r="G59" s="59"/>
      <c r="H59" s="50"/>
      <c r="I59" s="18"/>
    </row>
    <row r="60" spans="1:9" ht="21" x14ac:dyDescent="0.4">
      <c r="A60" s="30"/>
      <c r="B60" s="82"/>
      <c r="C60" s="36"/>
      <c r="D60" s="18"/>
      <c r="E60" s="18"/>
      <c r="F60" s="36"/>
      <c r="G60" s="59"/>
      <c r="H60" s="50"/>
      <c r="I60" s="18"/>
    </row>
    <row r="61" spans="1:9" ht="21" x14ac:dyDescent="0.4">
      <c r="A61" s="30"/>
      <c r="B61" s="82"/>
      <c r="C61" s="36"/>
      <c r="D61" s="18"/>
      <c r="E61" s="18"/>
      <c r="F61" s="36"/>
      <c r="G61" s="59"/>
      <c r="H61" s="50"/>
      <c r="I61" s="18"/>
    </row>
    <row r="62" spans="1:9" ht="21" x14ac:dyDescent="0.4">
      <c r="A62" s="30"/>
      <c r="B62" s="82"/>
      <c r="C62" s="36"/>
      <c r="D62" s="18"/>
      <c r="E62" s="18"/>
      <c r="F62" s="36"/>
      <c r="G62" s="59"/>
      <c r="H62" s="50"/>
      <c r="I62" s="18"/>
    </row>
    <row r="63" spans="1:9" ht="21" x14ac:dyDescent="0.4">
      <c r="A63" s="30"/>
      <c r="B63" s="82"/>
      <c r="C63" s="36"/>
      <c r="D63" s="18"/>
      <c r="E63" s="18"/>
      <c r="F63" s="36"/>
      <c r="G63" s="59"/>
      <c r="H63" s="50"/>
      <c r="I63" s="18"/>
    </row>
    <row r="64" spans="1:9" ht="21" x14ac:dyDescent="0.4">
      <c r="A64" s="30"/>
      <c r="B64" s="82"/>
      <c r="C64" s="36"/>
      <c r="D64" s="18"/>
      <c r="E64" s="18"/>
      <c r="F64" s="36"/>
      <c r="G64" s="59"/>
      <c r="H64" s="50"/>
      <c r="I64" s="18"/>
    </row>
    <row r="65" spans="1:9" ht="21" x14ac:dyDescent="0.4">
      <c r="A65" s="30"/>
      <c r="B65" s="82"/>
      <c r="C65" s="36"/>
      <c r="D65" s="18"/>
      <c r="E65" s="18"/>
      <c r="F65" s="36"/>
      <c r="G65" s="59"/>
      <c r="H65" s="50"/>
      <c r="I65" s="18"/>
    </row>
    <row r="66" spans="1:9" ht="21" x14ac:dyDescent="0.4">
      <c r="A66" s="30"/>
      <c r="B66" s="82"/>
      <c r="C66" s="36"/>
      <c r="D66" s="18"/>
      <c r="E66" s="18"/>
      <c r="F66" s="36"/>
      <c r="G66" s="59"/>
      <c r="H66" s="50"/>
      <c r="I66" s="18"/>
    </row>
    <row r="67" spans="1:9" ht="21" x14ac:dyDescent="0.4">
      <c r="A67" s="30"/>
      <c r="B67" s="82"/>
      <c r="C67" s="36"/>
      <c r="D67" s="18"/>
      <c r="E67" s="18"/>
      <c r="F67" s="36"/>
      <c r="G67" s="59"/>
      <c r="H67" s="50"/>
      <c r="I67" s="18"/>
    </row>
    <row r="68" spans="1:9" ht="21" x14ac:dyDescent="0.4">
      <c r="A68" s="30"/>
      <c r="B68" s="82"/>
      <c r="C68" s="36"/>
      <c r="D68" s="18"/>
      <c r="E68" s="18"/>
      <c r="F68" s="36"/>
      <c r="G68" s="59"/>
      <c r="H68" s="50"/>
      <c r="I68" s="18"/>
    </row>
    <row r="69" spans="1:9" ht="21" x14ac:dyDescent="0.4">
      <c r="A69" s="30"/>
      <c r="B69" s="82"/>
      <c r="C69" s="36"/>
      <c r="D69" s="18"/>
      <c r="E69" s="18"/>
      <c r="F69" s="36"/>
      <c r="G69" s="59"/>
      <c r="H69" s="50"/>
      <c r="I69" s="18"/>
    </row>
    <row r="70" spans="1:9" ht="21" x14ac:dyDescent="0.4">
      <c r="A70" s="30"/>
      <c r="B70" s="82"/>
      <c r="C70" s="36"/>
      <c r="D70" s="18"/>
      <c r="E70" s="18"/>
      <c r="F70" s="36"/>
      <c r="G70" s="59"/>
      <c r="H70" s="50"/>
      <c r="I70" s="18"/>
    </row>
    <row r="71" spans="1:9" ht="21" x14ac:dyDescent="0.4">
      <c r="A71" s="30"/>
      <c r="B71" s="82"/>
      <c r="C71" s="36"/>
      <c r="D71" s="18"/>
      <c r="E71" s="18"/>
      <c r="F71" s="36"/>
      <c r="G71" s="59"/>
      <c r="H71" s="50"/>
      <c r="I71" s="18"/>
    </row>
    <row r="72" spans="1:9" ht="21" x14ac:dyDescent="0.4">
      <c r="A72" s="30"/>
      <c r="B72" s="82"/>
      <c r="C72" s="36"/>
      <c r="D72" s="18"/>
      <c r="E72" s="18"/>
      <c r="F72" s="36"/>
      <c r="G72" s="59"/>
      <c r="H72" s="50"/>
      <c r="I72" s="18"/>
    </row>
    <row r="73" spans="1:9" x14ac:dyDescent="0.35">
      <c r="A73" s="30"/>
      <c r="B73" s="82"/>
      <c r="C73" s="36"/>
      <c r="D73" s="18"/>
      <c r="E73" s="18"/>
      <c r="F73" s="36"/>
      <c r="G73" s="54"/>
      <c r="H73" s="50"/>
      <c r="I73" s="18"/>
    </row>
    <row r="74" spans="1:9" x14ac:dyDescent="0.35">
      <c r="A74" s="30"/>
      <c r="B74" s="82"/>
      <c r="C74" s="36"/>
      <c r="D74" s="18"/>
      <c r="E74" s="18"/>
      <c r="F74" s="36"/>
      <c r="G74" s="54"/>
      <c r="H74" s="50"/>
      <c r="I74" s="18"/>
    </row>
    <row r="75" spans="1:9" x14ac:dyDescent="0.35">
      <c r="A75" s="30"/>
      <c r="B75" s="82"/>
      <c r="C75" s="36"/>
      <c r="D75" s="18"/>
      <c r="E75" s="18"/>
      <c r="F75" s="36"/>
      <c r="G75" s="54"/>
      <c r="H75" s="50"/>
      <c r="I75" s="18"/>
    </row>
    <row r="76" spans="1:9" x14ac:dyDescent="0.35">
      <c r="A76" s="30"/>
      <c r="B76" s="82"/>
      <c r="C76" s="36"/>
      <c r="D76" s="18"/>
      <c r="E76" s="18"/>
      <c r="F76" s="36"/>
      <c r="G76" s="54"/>
      <c r="H76" s="50"/>
      <c r="I76" s="18"/>
    </row>
    <row r="77" spans="1:9" x14ac:dyDescent="0.35">
      <c r="A77" s="30"/>
      <c r="B77" s="82"/>
      <c r="C77" s="36"/>
      <c r="D77" s="18"/>
      <c r="E77" s="18"/>
      <c r="F77" s="36"/>
      <c r="G77" s="54"/>
      <c r="H77" s="50"/>
      <c r="I77" s="18"/>
    </row>
    <row r="78" spans="1:9" x14ac:dyDescent="0.35">
      <c r="A78" s="30"/>
      <c r="B78" s="82"/>
      <c r="C78" s="36"/>
      <c r="D78" s="18"/>
      <c r="E78" s="18"/>
      <c r="F78" s="36"/>
      <c r="G78" s="49"/>
      <c r="H78" s="36"/>
      <c r="I78" s="18"/>
    </row>
    <row r="79" spans="1:9" x14ac:dyDescent="0.35">
      <c r="A79" s="30"/>
      <c r="B79" s="82"/>
      <c r="C79" s="36"/>
      <c r="D79" s="18"/>
      <c r="E79" s="18"/>
      <c r="F79" s="36"/>
      <c r="G79" s="49"/>
      <c r="H79" s="36"/>
      <c r="I79" s="18"/>
    </row>
    <row r="80" spans="1:9" x14ac:dyDescent="0.35">
      <c r="A80" s="30"/>
      <c r="B80" s="82"/>
      <c r="C80" s="36"/>
      <c r="D80" s="18"/>
      <c r="E80" s="18"/>
      <c r="F80" s="36"/>
      <c r="G80" s="49"/>
      <c r="H80" s="36"/>
      <c r="I80" s="18"/>
    </row>
    <row r="81" spans="1:9" x14ac:dyDescent="0.35">
      <c r="A81" s="30"/>
      <c r="B81" s="82"/>
      <c r="C81" s="36"/>
      <c r="D81" s="18"/>
      <c r="E81" s="18"/>
      <c r="F81" s="36"/>
      <c r="G81" s="49"/>
      <c r="H81" s="36"/>
      <c r="I81" s="18"/>
    </row>
    <row r="82" spans="1:9" x14ac:dyDescent="0.35">
      <c r="A82" s="30"/>
      <c r="B82" s="82"/>
      <c r="C82" s="36"/>
      <c r="D82" s="18"/>
      <c r="E82" s="18"/>
      <c r="F82" s="36"/>
      <c r="G82" s="49"/>
      <c r="H82" s="36"/>
      <c r="I82" s="18"/>
    </row>
    <row r="83" spans="1:9" x14ac:dyDescent="0.35">
      <c r="A83" s="30"/>
      <c r="B83" s="82"/>
      <c r="C83" s="36"/>
      <c r="D83" s="18"/>
      <c r="E83" s="18"/>
      <c r="F83" s="36"/>
      <c r="G83" s="49"/>
      <c r="H83" s="36"/>
      <c r="I83" s="18"/>
    </row>
    <row r="84" spans="1:9" x14ac:dyDescent="0.35">
      <c r="A84" s="30"/>
      <c r="B84" s="82"/>
      <c r="C84" s="36"/>
      <c r="D84" s="18"/>
      <c r="E84" s="18"/>
      <c r="F84" s="36"/>
      <c r="G84" s="49"/>
      <c r="H84" s="36"/>
      <c r="I84" s="18"/>
    </row>
    <row r="85" spans="1:9" x14ac:dyDescent="0.35">
      <c r="A85" s="30"/>
      <c r="B85" s="82"/>
      <c r="C85" s="36"/>
      <c r="D85" s="18"/>
      <c r="E85" s="18"/>
      <c r="F85" s="36"/>
      <c r="G85" s="49"/>
      <c r="H85" s="36"/>
      <c r="I85" s="18"/>
    </row>
    <row r="86" spans="1:9" x14ac:dyDescent="0.35">
      <c r="A86" s="30"/>
      <c r="B86" s="82"/>
      <c r="C86" s="36"/>
      <c r="D86" s="18"/>
      <c r="E86" s="18"/>
      <c r="F86" s="36"/>
      <c r="G86" s="49"/>
      <c r="H86" s="36"/>
      <c r="I86" s="18"/>
    </row>
    <row r="87" spans="1:9" x14ac:dyDescent="0.35">
      <c r="A87" s="30"/>
      <c r="B87" s="82"/>
      <c r="C87" s="36"/>
      <c r="D87" s="18"/>
      <c r="E87" s="18"/>
      <c r="F87" s="36"/>
      <c r="G87" s="49"/>
      <c r="H87" s="36"/>
      <c r="I87" s="18"/>
    </row>
    <row r="88" spans="1:9" x14ac:dyDescent="0.35">
      <c r="A88" s="30"/>
      <c r="B88" s="82"/>
      <c r="C88" s="36"/>
      <c r="D88" s="18"/>
      <c r="E88" s="18"/>
      <c r="F88" s="36"/>
      <c r="G88" s="49"/>
      <c r="H88" s="36"/>
      <c r="I88" s="18"/>
    </row>
    <row r="89" spans="1:9" x14ac:dyDescent="0.35">
      <c r="A89" s="30"/>
      <c r="B89" s="82"/>
      <c r="C89" s="36"/>
      <c r="D89" s="18"/>
      <c r="E89" s="18"/>
      <c r="F89" s="36"/>
      <c r="G89" s="49"/>
      <c r="H89" s="36"/>
      <c r="I89" s="18"/>
    </row>
    <row r="90" spans="1:9" x14ac:dyDescent="0.35">
      <c r="A90" s="30"/>
      <c r="B90" s="82"/>
      <c r="C90" s="36"/>
      <c r="D90" s="18"/>
      <c r="E90" s="18"/>
      <c r="F90" s="36"/>
      <c r="G90" s="49"/>
      <c r="H90" s="36"/>
      <c r="I90" s="18"/>
    </row>
    <row r="91" spans="1:9" x14ac:dyDescent="0.35">
      <c r="A91" s="30"/>
      <c r="B91" s="82"/>
      <c r="C91" s="36"/>
      <c r="D91" s="18"/>
      <c r="E91" s="18"/>
      <c r="F91" s="36"/>
      <c r="G91" s="49"/>
      <c r="H91" s="36"/>
      <c r="I91" s="18"/>
    </row>
    <row r="92" spans="1:9" x14ac:dyDescent="0.35">
      <c r="A92" s="30"/>
      <c r="B92" s="82"/>
      <c r="C92" s="36"/>
      <c r="D92" s="18"/>
      <c r="E92" s="18"/>
      <c r="F92" s="36"/>
      <c r="G92" s="49"/>
      <c r="H92" s="36"/>
      <c r="I92" s="18"/>
    </row>
    <row r="93" spans="1:9" x14ac:dyDescent="0.35">
      <c r="A93" s="30"/>
      <c r="B93" s="82"/>
      <c r="C93" s="36"/>
      <c r="D93" s="18"/>
      <c r="E93" s="18"/>
      <c r="F93" s="36"/>
      <c r="G93" s="49"/>
      <c r="H93" s="36"/>
      <c r="I93" s="18"/>
    </row>
    <row r="94" spans="1:9" x14ac:dyDescent="0.35">
      <c r="A94" s="30"/>
      <c r="B94" s="82"/>
      <c r="C94" s="36"/>
      <c r="D94" s="18"/>
      <c r="E94" s="18"/>
      <c r="F94" s="36"/>
      <c r="G94" s="49"/>
      <c r="H94" s="36"/>
      <c r="I94" s="18"/>
    </row>
    <row r="95" spans="1:9" x14ac:dyDescent="0.35">
      <c r="A95" s="30"/>
      <c r="B95" s="82"/>
      <c r="C95" s="36"/>
      <c r="D95" s="18"/>
      <c r="E95" s="18"/>
      <c r="F95" s="36"/>
      <c r="G95" s="49"/>
      <c r="H95" s="36"/>
      <c r="I95" s="18"/>
    </row>
    <row r="96" spans="1:9" x14ac:dyDescent="0.35">
      <c r="A96" s="30"/>
      <c r="B96" s="82"/>
      <c r="C96" s="36"/>
      <c r="D96" s="18"/>
      <c r="E96" s="18"/>
      <c r="F96" s="36"/>
      <c r="G96" s="49"/>
      <c r="H96" s="36"/>
      <c r="I96" s="18"/>
    </row>
    <row r="97" spans="1:9" x14ac:dyDescent="0.35">
      <c r="A97" s="30"/>
      <c r="B97" s="82"/>
      <c r="C97" s="36"/>
      <c r="D97" s="18"/>
      <c r="E97" s="18"/>
      <c r="F97" s="36"/>
      <c r="G97" s="49"/>
      <c r="H97" s="36"/>
      <c r="I97" s="18"/>
    </row>
    <row r="98" spans="1:9" x14ac:dyDescent="0.35">
      <c r="A98" s="30"/>
      <c r="B98" s="82"/>
      <c r="C98" s="36"/>
      <c r="D98" s="18"/>
      <c r="E98" s="18"/>
      <c r="F98" s="36"/>
      <c r="G98" s="49"/>
      <c r="H98" s="36"/>
      <c r="I98" s="18"/>
    </row>
    <row r="99" spans="1:9" x14ac:dyDescent="0.35">
      <c r="A99" s="30"/>
      <c r="B99" s="82"/>
      <c r="C99" s="36"/>
      <c r="D99" s="18"/>
      <c r="E99" s="18"/>
      <c r="F99" s="36"/>
      <c r="G99" s="49"/>
      <c r="H99" s="36"/>
      <c r="I99" s="18"/>
    </row>
  </sheetData>
  <sheetProtection selectLockedCells="1"/>
  <mergeCells count="6">
    <mergeCell ref="B2:H2"/>
    <mergeCell ref="D41:E41"/>
    <mergeCell ref="C6:G6"/>
    <mergeCell ref="C4:H4"/>
    <mergeCell ref="B5:H5"/>
    <mergeCell ref="C3:F3"/>
  </mergeCells>
  <conditionalFormatting sqref="J9:J37 J39:J40">
    <cfRule type="expression" dxfId="380" priority="318">
      <formula>"h6=1"</formula>
    </cfRule>
  </conditionalFormatting>
  <conditionalFormatting sqref="J4">
    <cfRule type="expression" dxfId="379" priority="316">
      <formula>"f7=c7"</formula>
    </cfRule>
  </conditionalFormatting>
  <conditionalFormatting sqref="J38">
    <cfRule type="expression" dxfId="378" priority="313">
      <formula>"h6=1"</formula>
    </cfRule>
  </conditionalFormatting>
  <conditionalFormatting sqref="H34">
    <cfRule type="cellIs" dxfId="377" priority="246" operator="equal">
      <formula>"*"</formula>
    </cfRule>
  </conditionalFormatting>
  <conditionalFormatting sqref="H9">
    <cfRule type="cellIs" dxfId="376" priority="254" operator="equal">
      <formula>"*"</formula>
    </cfRule>
  </conditionalFormatting>
  <conditionalFormatting sqref="H30">
    <cfRule type="cellIs" dxfId="375" priority="247" operator="equal">
      <formula>"*"</formula>
    </cfRule>
  </conditionalFormatting>
  <conditionalFormatting sqref="H39">
    <cfRule type="cellIs" dxfId="374" priority="237" operator="equal">
      <formula>"*"</formula>
    </cfRule>
  </conditionalFormatting>
  <conditionalFormatting sqref="H15">
    <cfRule type="cellIs" dxfId="373" priority="249" operator="equal">
      <formula>"*"</formula>
    </cfRule>
  </conditionalFormatting>
  <conditionalFormatting sqref="H19">
    <cfRule type="cellIs" dxfId="372" priority="248" operator="equal">
      <formula>"*"</formula>
    </cfRule>
  </conditionalFormatting>
  <conditionalFormatting sqref="H36">
    <cfRule type="cellIs" dxfId="371" priority="245" operator="equal">
      <formula>"*"</formula>
    </cfRule>
  </conditionalFormatting>
  <conditionalFormatting sqref="H38">
    <cfRule type="cellIs" dxfId="370" priority="244" operator="equal">
      <formula>"*"</formula>
    </cfRule>
  </conditionalFormatting>
  <conditionalFormatting sqref="H40">
    <cfRule type="cellIs" dxfId="369" priority="243" operator="equal">
      <formula>"*"</formula>
    </cfRule>
  </conditionalFormatting>
  <conditionalFormatting sqref="H17">
    <cfRule type="cellIs" dxfId="368" priority="242" operator="equal">
      <formula>"*"</formula>
    </cfRule>
  </conditionalFormatting>
  <conditionalFormatting sqref="H27">
    <cfRule type="cellIs" dxfId="367" priority="241" operator="equal">
      <formula>"*"</formula>
    </cfRule>
  </conditionalFormatting>
  <conditionalFormatting sqref="H32">
    <cfRule type="cellIs" dxfId="366" priority="240" operator="equal">
      <formula>"*"</formula>
    </cfRule>
  </conditionalFormatting>
  <conditionalFormatting sqref="H35">
    <cfRule type="cellIs" dxfId="365" priority="239" operator="equal">
      <formula>"*"</formula>
    </cfRule>
  </conditionalFormatting>
  <conditionalFormatting sqref="H37">
    <cfRule type="cellIs" dxfId="364" priority="238" operator="equal">
      <formula>"*"</formula>
    </cfRule>
  </conditionalFormatting>
  <conditionalFormatting sqref="H18">
    <cfRule type="cellIs" dxfId="363" priority="236" operator="equal">
      <formula>"*"</formula>
    </cfRule>
  </conditionalFormatting>
  <conditionalFormatting sqref="H22">
    <cfRule type="cellIs" dxfId="362" priority="232" operator="equal">
      <formula>"*"</formula>
    </cfRule>
  </conditionalFormatting>
  <conditionalFormatting sqref="H10">
    <cfRule type="cellIs" dxfId="361" priority="231" operator="equal">
      <formula>"*"</formula>
    </cfRule>
  </conditionalFormatting>
  <conditionalFormatting sqref="H28">
    <cfRule type="cellIs" dxfId="360" priority="230" operator="equal">
      <formula>"*"</formula>
    </cfRule>
  </conditionalFormatting>
  <conditionalFormatting sqref="H11">
    <cfRule type="cellIs" dxfId="359" priority="229" operator="equal">
      <formula>"*"</formula>
    </cfRule>
  </conditionalFormatting>
  <conditionalFormatting sqref="H20">
    <cfRule type="cellIs" dxfId="358" priority="228" operator="equal">
      <formula>"*"</formula>
    </cfRule>
  </conditionalFormatting>
  <conditionalFormatting sqref="H24">
    <cfRule type="cellIs" dxfId="357" priority="227" operator="equal">
      <formula>"*"</formula>
    </cfRule>
  </conditionalFormatting>
  <conditionalFormatting sqref="G41">
    <cfRule type="expression" dxfId="356" priority="226">
      <formula>"$D$6=$H$1"</formula>
    </cfRule>
  </conditionalFormatting>
  <conditionalFormatting sqref="G42:G72">
    <cfRule type="expression" dxfId="355" priority="225">
      <formula>"$D$6=$H$1"</formula>
    </cfRule>
  </conditionalFormatting>
  <conditionalFormatting sqref="I4">
    <cfRule type="expression" dxfId="354" priority="258">
      <formula>"""=""H1=""1"""""""</formula>
    </cfRule>
  </conditionalFormatting>
  <conditionalFormatting sqref="C9">
    <cfRule type="expression" dxfId="353" priority="201">
      <formula>AND(D9="n",H9="*")</formula>
    </cfRule>
  </conditionalFormatting>
  <conditionalFormatting sqref="C10">
    <cfRule type="expression" dxfId="352" priority="200">
      <formula>AND(D10="n",H10="*")</formula>
    </cfRule>
  </conditionalFormatting>
  <conditionalFormatting sqref="F10">
    <cfRule type="expression" dxfId="351" priority="198">
      <formula>AND(G10="n",H10="*")</formula>
    </cfRule>
  </conditionalFormatting>
  <conditionalFormatting sqref="F9">
    <cfRule type="expression" dxfId="350" priority="197">
      <formula>AND(G9="n",H9="*")</formula>
    </cfRule>
  </conditionalFormatting>
  <conditionalFormatting sqref="F11">
    <cfRule type="expression" dxfId="349" priority="196">
      <formula>AND(G11="n",H11="*")</formula>
    </cfRule>
  </conditionalFormatting>
  <conditionalFormatting sqref="C11">
    <cfRule type="expression" dxfId="348" priority="194">
      <formula>AND(D11="n",H11="*")</formula>
    </cfRule>
  </conditionalFormatting>
  <conditionalFormatting sqref="C12">
    <cfRule type="expression" dxfId="347" priority="192">
      <formula>AND(D12="n",H12="*")</formula>
    </cfRule>
  </conditionalFormatting>
  <conditionalFormatting sqref="C13">
    <cfRule type="expression" dxfId="346" priority="190">
      <formula>AND(D13="n",H13="*")</formula>
    </cfRule>
  </conditionalFormatting>
  <conditionalFormatting sqref="C14">
    <cfRule type="expression" dxfId="345" priority="188">
      <formula>AND(D14="n",H14="*")</formula>
    </cfRule>
  </conditionalFormatting>
  <conditionalFormatting sqref="C15">
    <cfRule type="expression" dxfId="344" priority="186">
      <formula>AND(D15="n",H15="*")</formula>
    </cfRule>
  </conditionalFormatting>
  <conditionalFormatting sqref="C16">
    <cfRule type="expression" dxfId="343" priority="184">
      <formula>AND(D16="n",H16="*")</formula>
    </cfRule>
  </conditionalFormatting>
  <conditionalFormatting sqref="C17">
    <cfRule type="expression" dxfId="342" priority="182">
      <formula>AND(D17="n",H17="*")</formula>
    </cfRule>
  </conditionalFormatting>
  <conditionalFormatting sqref="C18">
    <cfRule type="expression" dxfId="341" priority="180">
      <formula>AND(D18="n",H18="*")</formula>
    </cfRule>
  </conditionalFormatting>
  <conditionalFormatting sqref="C19">
    <cfRule type="expression" dxfId="340" priority="178">
      <formula>AND(D19="n",H19="*")</formula>
    </cfRule>
  </conditionalFormatting>
  <conditionalFormatting sqref="C20">
    <cfRule type="expression" dxfId="339" priority="176">
      <formula>AND(D20="n",H20="*")</formula>
    </cfRule>
  </conditionalFormatting>
  <conditionalFormatting sqref="C21">
    <cfRule type="expression" dxfId="338" priority="174">
      <formula>AND(D21="n",H21="*")</formula>
    </cfRule>
  </conditionalFormatting>
  <conditionalFormatting sqref="C22">
    <cfRule type="expression" dxfId="337" priority="172">
      <formula>AND(D22="n",H22="*")</formula>
    </cfRule>
  </conditionalFormatting>
  <conditionalFormatting sqref="C23">
    <cfRule type="expression" dxfId="336" priority="170">
      <formula>AND(D23="n",H23="*")</formula>
    </cfRule>
  </conditionalFormatting>
  <conditionalFormatting sqref="C24">
    <cfRule type="expression" dxfId="335" priority="168">
      <formula>AND(D24="n",H24="*")</formula>
    </cfRule>
  </conditionalFormatting>
  <conditionalFormatting sqref="C25">
    <cfRule type="expression" dxfId="334" priority="166">
      <formula>AND(D25="n",H25="*")</formula>
    </cfRule>
  </conditionalFormatting>
  <conditionalFormatting sqref="C26">
    <cfRule type="expression" dxfId="333" priority="164">
      <formula>AND(D26="n",H26="*")</formula>
    </cfRule>
  </conditionalFormatting>
  <conditionalFormatting sqref="C27">
    <cfRule type="expression" dxfId="332" priority="162">
      <formula>AND(D27="n",H27="*")</formula>
    </cfRule>
  </conditionalFormatting>
  <conditionalFormatting sqref="C28">
    <cfRule type="expression" dxfId="331" priority="160">
      <formula>AND(D28="n",H28="*")</formula>
    </cfRule>
  </conditionalFormatting>
  <conditionalFormatting sqref="C29">
    <cfRule type="expression" dxfId="330" priority="158">
      <formula>AND(D29="n",H29="*")</formula>
    </cfRule>
  </conditionalFormatting>
  <conditionalFormatting sqref="C30">
    <cfRule type="expression" dxfId="329" priority="156">
      <formula>AND(D30="n",H30="*")</formula>
    </cfRule>
  </conditionalFormatting>
  <conditionalFormatting sqref="C31">
    <cfRule type="expression" dxfId="328" priority="154">
      <formula>AND(D31="n",H31="*")</formula>
    </cfRule>
  </conditionalFormatting>
  <conditionalFormatting sqref="C32">
    <cfRule type="expression" dxfId="327" priority="152">
      <formula>AND(D32="n",H32="*")</formula>
    </cfRule>
  </conditionalFormatting>
  <conditionalFormatting sqref="C33">
    <cfRule type="expression" dxfId="326" priority="150">
      <formula>AND(D33="n",H33="*")</formula>
    </cfRule>
  </conditionalFormatting>
  <conditionalFormatting sqref="C34">
    <cfRule type="expression" dxfId="325" priority="148">
      <formula>AND(D34="n",H34="*")</formula>
    </cfRule>
  </conditionalFormatting>
  <conditionalFormatting sqref="C35">
    <cfRule type="expression" dxfId="324" priority="146">
      <formula>AND(D35="n",H35="*")</formula>
    </cfRule>
  </conditionalFormatting>
  <conditionalFormatting sqref="C36">
    <cfRule type="expression" dxfId="323" priority="144">
      <formula>AND(D36="n",H36="*")</formula>
    </cfRule>
  </conditionalFormatting>
  <conditionalFormatting sqref="C37">
    <cfRule type="expression" dxfId="322" priority="142">
      <formula>AND(D37="n",H37="*")</formula>
    </cfRule>
  </conditionalFormatting>
  <conditionalFormatting sqref="C38">
    <cfRule type="expression" dxfId="321" priority="140">
      <formula>AND(D38="n",H38="*")</formula>
    </cfRule>
  </conditionalFormatting>
  <conditionalFormatting sqref="C39">
    <cfRule type="expression" dxfId="320" priority="138">
      <formula>AND(D39="n",H39="*")</formula>
    </cfRule>
  </conditionalFormatting>
  <conditionalFormatting sqref="C40">
    <cfRule type="expression" dxfId="319" priority="136">
      <formula>AND(D40="n",H40="*")</formula>
    </cfRule>
  </conditionalFormatting>
  <conditionalFormatting sqref="F12">
    <cfRule type="expression" dxfId="318" priority="46">
      <formula>AND(G12="n",H12="*")</formula>
    </cfRule>
  </conditionalFormatting>
  <conditionalFormatting sqref="F13">
    <cfRule type="expression" dxfId="317" priority="45">
      <formula>AND(G13="n",H13="*")</formula>
    </cfRule>
  </conditionalFormatting>
  <conditionalFormatting sqref="F14">
    <cfRule type="expression" dxfId="316" priority="44">
      <formula>AND(G14="n",H14="*")</formula>
    </cfRule>
  </conditionalFormatting>
  <conditionalFormatting sqref="F15">
    <cfRule type="expression" dxfId="315" priority="43">
      <formula>AND(G15="n",H15="*")</formula>
    </cfRule>
  </conditionalFormatting>
  <conditionalFormatting sqref="F16">
    <cfRule type="expression" dxfId="314" priority="42">
      <formula>AND(G16="n",H16="*")</formula>
    </cfRule>
  </conditionalFormatting>
  <conditionalFormatting sqref="F17">
    <cfRule type="expression" dxfId="313" priority="41">
      <formula>AND(G17="n",H17="*")</formula>
    </cfRule>
  </conditionalFormatting>
  <conditionalFormatting sqref="F18">
    <cfRule type="expression" dxfId="312" priority="40">
      <formula>AND(G18="n",H18="*")</formula>
    </cfRule>
  </conditionalFormatting>
  <conditionalFormatting sqref="F19">
    <cfRule type="expression" dxfId="311" priority="39">
      <formula>AND(G19="n",H19="*")</formula>
    </cfRule>
  </conditionalFormatting>
  <conditionalFormatting sqref="F20">
    <cfRule type="expression" dxfId="310" priority="38">
      <formula>AND(G20="n",H20="*")</formula>
    </cfRule>
  </conditionalFormatting>
  <conditionalFormatting sqref="F21">
    <cfRule type="expression" dxfId="309" priority="37">
      <formula>AND(G21="n",H21="*")</formula>
    </cfRule>
  </conditionalFormatting>
  <conditionalFormatting sqref="F22">
    <cfRule type="expression" dxfId="308" priority="36">
      <formula>AND(G22="n",H22="*")</formula>
    </cfRule>
  </conditionalFormatting>
  <conditionalFormatting sqref="F23">
    <cfRule type="expression" dxfId="307" priority="35">
      <formula>AND(G23="n",H23="*")</formula>
    </cfRule>
  </conditionalFormatting>
  <conditionalFormatting sqref="F24">
    <cfRule type="expression" dxfId="306" priority="34">
      <formula>AND(G24="n",H24="*")</formula>
    </cfRule>
  </conditionalFormatting>
  <conditionalFormatting sqref="F25">
    <cfRule type="expression" dxfId="305" priority="33">
      <formula>AND(G25="n",H25="*")</formula>
    </cfRule>
  </conditionalFormatting>
  <conditionalFormatting sqref="F26">
    <cfRule type="expression" dxfId="304" priority="32">
      <formula>AND(G26="n",H26="*")</formula>
    </cfRule>
  </conditionalFormatting>
  <conditionalFormatting sqref="F27">
    <cfRule type="expression" dxfId="303" priority="31">
      <formula>AND(G27="n",H27="*")</formula>
    </cfRule>
  </conditionalFormatting>
  <conditionalFormatting sqref="F28">
    <cfRule type="expression" dxfId="302" priority="30">
      <formula>AND(G28="n",H28="*")</formula>
    </cfRule>
  </conditionalFormatting>
  <conditionalFormatting sqref="F29">
    <cfRule type="expression" dxfId="301" priority="29">
      <formula>AND(G29="n",H29="*")</formula>
    </cfRule>
  </conditionalFormatting>
  <conditionalFormatting sqref="F30">
    <cfRule type="expression" dxfId="300" priority="28">
      <formula>AND(G30="n",H30="*")</formula>
    </cfRule>
  </conditionalFormatting>
  <conditionalFormatting sqref="F31">
    <cfRule type="expression" dxfId="299" priority="27">
      <formula>AND(G31="n",H31="*")</formula>
    </cfRule>
  </conditionalFormatting>
  <conditionalFormatting sqref="F32">
    <cfRule type="expression" dxfId="298" priority="26">
      <formula>AND(G32="n",H32="*")</formula>
    </cfRule>
  </conditionalFormatting>
  <conditionalFormatting sqref="F33">
    <cfRule type="expression" dxfId="297" priority="25">
      <formula>AND(G33="n",H33="*")</formula>
    </cfRule>
  </conditionalFormatting>
  <conditionalFormatting sqref="F34">
    <cfRule type="expression" dxfId="296" priority="24">
      <formula>AND(G34="n",H34="*")</formula>
    </cfRule>
  </conditionalFormatting>
  <conditionalFormatting sqref="F35">
    <cfRule type="expression" dxfId="295" priority="23">
      <formula>AND(G35="n",H35="*")</formula>
    </cfRule>
  </conditionalFormatting>
  <conditionalFormatting sqref="F36">
    <cfRule type="expression" dxfId="294" priority="22">
      <formula>AND(G36="n",H36="*")</formula>
    </cfRule>
  </conditionalFormatting>
  <conditionalFormatting sqref="F37">
    <cfRule type="expression" dxfId="293" priority="21">
      <formula>AND(G37="n",H37="*")</formula>
    </cfRule>
  </conditionalFormatting>
  <conditionalFormatting sqref="F38">
    <cfRule type="expression" dxfId="292" priority="20">
      <formula>AND(G38="n",H38="*")</formula>
    </cfRule>
  </conditionalFormatting>
  <conditionalFormatting sqref="F39">
    <cfRule type="expression" dxfId="291" priority="19">
      <formula>AND(G39="n",H39="*")</formula>
    </cfRule>
  </conditionalFormatting>
  <conditionalFormatting sqref="F40">
    <cfRule type="expression" dxfId="290" priority="18">
      <formula>AND(G40="n",H40="*")</formula>
    </cfRule>
  </conditionalFormatting>
  <conditionalFormatting sqref="H12">
    <cfRule type="cellIs" dxfId="289" priority="17" operator="equal">
      <formula>"*"</formula>
    </cfRule>
  </conditionalFormatting>
  <conditionalFormatting sqref="H13">
    <cfRule type="cellIs" dxfId="288" priority="16" operator="equal">
      <formula>"*"</formula>
    </cfRule>
  </conditionalFormatting>
  <conditionalFormatting sqref="H14">
    <cfRule type="cellIs" dxfId="287" priority="15" operator="equal">
      <formula>"*"</formula>
    </cfRule>
  </conditionalFormatting>
  <conditionalFormatting sqref="H16">
    <cfRule type="cellIs" dxfId="286" priority="14" operator="equal">
      <formula>"*"</formula>
    </cfRule>
  </conditionalFormatting>
  <conditionalFormatting sqref="H21">
    <cfRule type="cellIs" dxfId="285" priority="13" operator="equal">
      <formula>"*"</formula>
    </cfRule>
  </conditionalFormatting>
  <conditionalFormatting sqref="H23">
    <cfRule type="cellIs" dxfId="284" priority="12" operator="equal">
      <formula>"*"</formula>
    </cfRule>
  </conditionalFormatting>
  <conditionalFormatting sqref="H25">
    <cfRule type="cellIs" dxfId="283" priority="11" operator="equal">
      <formula>"*"</formula>
    </cfRule>
  </conditionalFormatting>
  <conditionalFormatting sqref="H26">
    <cfRule type="cellIs" dxfId="282" priority="10" operator="equal">
      <formula>"*"</formula>
    </cfRule>
  </conditionalFormatting>
  <conditionalFormatting sqref="H29">
    <cfRule type="cellIs" dxfId="281" priority="9" operator="equal">
      <formula>"*"</formula>
    </cfRule>
  </conditionalFormatting>
  <conditionalFormatting sqref="H31">
    <cfRule type="cellIs" dxfId="280" priority="8" operator="equal">
      <formula>"*"</formula>
    </cfRule>
  </conditionalFormatting>
  <conditionalFormatting sqref="H33">
    <cfRule type="cellIs" dxfId="279" priority="7" operator="equal">
      <formula>"*"</formula>
    </cfRule>
  </conditionalFormatting>
  <pageMargins left="0.7" right="0.7" top="0.75" bottom="0.75" header="0.3" footer="0.3"/>
  <pageSetup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99"/>
  <sheetViews>
    <sheetView showGridLines="0" workbookViewId="0">
      <selection activeCell="I10" sqref="I10"/>
    </sheetView>
  </sheetViews>
  <sheetFormatPr defaultRowHeight="14.4" x14ac:dyDescent="0.3"/>
  <cols>
    <col min="1" max="1" width="6.6640625" style="10" customWidth="1"/>
    <col min="2" max="2" width="4.6640625" style="12" customWidth="1"/>
    <col min="3" max="3" width="3.6640625" style="19" customWidth="1"/>
    <col min="4" max="4" width="28" customWidth="1"/>
    <col min="5" max="5" width="3.6640625" style="7" customWidth="1"/>
    <col min="6" max="6" width="3.88671875" style="7" customWidth="1"/>
    <col min="7" max="7" width="33.33203125" style="19" customWidth="1"/>
    <col min="8" max="8" width="3.6640625" style="19" customWidth="1"/>
    <col min="9" max="9" width="6.5546875" style="15" customWidth="1"/>
    <col min="10" max="10" width="51.5546875" style="8" customWidth="1"/>
  </cols>
  <sheetData>
    <row r="1" spans="1:10" x14ac:dyDescent="0.3">
      <c r="A1" s="3"/>
      <c r="B1" s="18"/>
      <c r="C1" s="49"/>
      <c r="D1" s="31"/>
      <c r="E1" s="49"/>
      <c r="F1" s="49"/>
      <c r="G1" s="49"/>
      <c r="H1" s="49"/>
      <c r="I1" s="36"/>
      <c r="J1" s="18"/>
    </row>
    <row r="2" spans="1:10" ht="23.4" x14ac:dyDescent="0.45">
      <c r="A2" s="3"/>
      <c r="B2" s="87" t="s">
        <v>0</v>
      </c>
      <c r="C2" s="87"/>
      <c r="D2" s="87"/>
      <c r="E2" s="87"/>
      <c r="F2" s="87"/>
      <c r="G2" s="87"/>
      <c r="H2" s="87"/>
      <c r="I2" s="87"/>
      <c r="J2" s="68"/>
    </row>
    <row r="3" spans="1:10" ht="23.4" x14ac:dyDescent="0.45">
      <c r="A3" s="3"/>
      <c r="B3" s="18"/>
      <c r="C3" s="68"/>
      <c r="D3" s="18"/>
      <c r="E3" s="18"/>
      <c r="F3" s="18"/>
      <c r="G3" s="49"/>
      <c r="H3" s="49"/>
      <c r="I3" s="14"/>
      <c r="J3" s="68"/>
    </row>
    <row r="4" spans="1:10" ht="23.4" x14ac:dyDescent="0.45">
      <c r="A4" s="30"/>
      <c r="B4" s="31"/>
      <c r="C4" s="49"/>
      <c r="D4" s="88" t="s">
        <v>1</v>
      </c>
      <c r="E4" s="88"/>
      <c r="F4" s="88"/>
      <c r="G4" s="88"/>
      <c r="H4" s="88"/>
      <c r="I4" s="60"/>
      <c r="J4" s="51"/>
    </row>
    <row r="5" spans="1:10" ht="21" x14ac:dyDescent="0.4">
      <c r="A5" s="98" t="s">
        <v>89</v>
      </c>
      <c r="B5" s="98"/>
      <c r="C5" s="98"/>
      <c r="D5" s="98"/>
      <c r="E5" s="98"/>
      <c r="F5" s="98"/>
      <c r="G5" s="98"/>
      <c r="H5" s="98"/>
      <c r="I5" s="98"/>
      <c r="J5" s="70"/>
    </row>
    <row r="6" spans="1:10" ht="21" x14ac:dyDescent="0.4">
      <c r="A6" s="30"/>
      <c r="B6" s="31"/>
      <c r="C6" s="98" t="s">
        <v>3</v>
      </c>
      <c r="D6" s="98"/>
      <c r="E6" s="98"/>
      <c r="F6" s="98"/>
      <c r="G6" s="98"/>
      <c r="H6" s="98"/>
      <c r="I6" s="34"/>
      <c r="J6" s="70"/>
    </row>
    <row r="7" spans="1:10" x14ac:dyDescent="0.3">
      <c r="A7" s="30"/>
      <c r="B7" s="31"/>
      <c r="C7" s="49"/>
      <c r="D7" s="18"/>
      <c r="E7" s="18"/>
      <c r="F7" s="18"/>
      <c r="G7" s="49"/>
      <c r="H7" s="49"/>
      <c r="I7" s="36"/>
      <c r="J7" s="18"/>
    </row>
    <row r="8" spans="1:10" ht="21" x14ac:dyDescent="0.4">
      <c r="A8" s="37"/>
      <c r="B8" s="38"/>
      <c r="C8" s="70"/>
      <c r="D8" s="99" t="s">
        <v>4</v>
      </c>
      <c r="E8" s="100"/>
      <c r="F8" s="101" t="str">
        <f>[1]!wwsInput()</f>
        <v/>
      </c>
      <c r="G8" s="101"/>
      <c r="H8" s="102"/>
      <c r="I8" s="39"/>
      <c r="J8" s="40" t="s">
        <v>5</v>
      </c>
    </row>
    <row r="9" spans="1:10" ht="21" x14ac:dyDescent="0.4">
      <c r="A9" s="61">
        <f>IF(I9="*",1,0)</f>
        <v>1</v>
      </c>
      <c r="B9" s="62">
        <v>1</v>
      </c>
      <c r="C9" s="90" t="s">
        <v>6</v>
      </c>
      <c r="D9" s="90"/>
      <c r="E9" s="22" t="s">
        <v>93</v>
      </c>
      <c r="F9" s="43"/>
      <c r="G9" s="67" t="s">
        <v>7</v>
      </c>
      <c r="H9" s="22" t="s">
        <v>94</v>
      </c>
      <c r="I9" s="63" t="str">
        <f>IF(AND(E9="n",H9="y"),"*",IF(OR(E9="y",H9="n"),"?",""))</f>
        <v>*</v>
      </c>
      <c r="J9" s="63" t="str">
        <f t="shared" ref="J9:J39" si="0">IF(I9="?","Modal, then subject, then verb.","")</f>
        <v/>
      </c>
    </row>
    <row r="10" spans="1:10" ht="21" x14ac:dyDescent="0.4">
      <c r="A10" s="61">
        <f t="shared" ref="A10:A40" si="1">IF(I10="*",1,0)</f>
        <v>0</v>
      </c>
      <c r="B10" s="62">
        <f>1+B9</f>
        <v>2</v>
      </c>
      <c r="C10" s="90" t="s">
        <v>9</v>
      </c>
      <c r="D10" s="90"/>
      <c r="E10" s="22" t="s">
        <v>93</v>
      </c>
      <c r="F10" s="46"/>
      <c r="G10" s="67" t="s">
        <v>10</v>
      </c>
      <c r="H10" s="22" t="s">
        <v>94</v>
      </c>
      <c r="I10" s="63" t="str">
        <f>IF(AND(E10="y",H10="n"),"*",IF(OR(E10="y",H10="n"),"?",""))</f>
        <v/>
      </c>
      <c r="J10" s="63" t="str">
        <f>IF(I10="?","'Be' verb before subject.","")</f>
        <v/>
      </c>
    </row>
    <row r="11" spans="1:10" ht="21" x14ac:dyDescent="0.4">
      <c r="A11" s="61">
        <f t="shared" si="1"/>
        <v>0</v>
      </c>
      <c r="B11" s="62">
        <f t="shared" ref="B11:B40" si="2">1+B10</f>
        <v>3</v>
      </c>
      <c r="C11" s="90" t="s">
        <v>12</v>
      </c>
      <c r="D11" s="90"/>
      <c r="E11" s="22" t="str">
        <f>[1]!wwsInput()</f>
        <v/>
      </c>
      <c r="F11" s="46"/>
      <c r="G11" s="67" t="s">
        <v>13</v>
      </c>
      <c r="H11" s="22" t="str">
        <f>[1]!wwsInput()</f>
        <v/>
      </c>
      <c r="I11" s="63" t="str">
        <f>IF(AND(E11="y",H11="n"),"*",IF(OR(E11="y",H11="n"),"?",""))</f>
        <v/>
      </c>
      <c r="J11" s="63" t="str">
        <f t="shared" ref="J11:J12" si="3">IF(I11="?","'Be' verb before subject.","")</f>
        <v/>
      </c>
    </row>
    <row r="12" spans="1:10" ht="21" x14ac:dyDescent="0.4">
      <c r="A12" s="61">
        <f t="shared" si="1"/>
        <v>0</v>
      </c>
      <c r="B12" s="62">
        <f t="shared" si="2"/>
        <v>4</v>
      </c>
      <c r="C12" s="90" t="s">
        <v>15</v>
      </c>
      <c r="D12" s="90"/>
      <c r="E12" s="22" t="str">
        <f>[1]!wwsInput()</f>
        <v/>
      </c>
      <c r="F12" s="46"/>
      <c r="G12" s="67" t="s">
        <v>16</v>
      </c>
      <c r="H12" s="22" t="str">
        <f>[1]!wwsInput()</f>
        <v/>
      </c>
      <c r="I12" s="63" t="str">
        <f>IF(AND(E12="y",H12="n"),"*",IF(OR(E12="y",H12="n"),"?",""))</f>
        <v/>
      </c>
      <c r="J12" s="63" t="str">
        <f t="shared" si="3"/>
        <v/>
      </c>
    </row>
    <row r="13" spans="1:10" ht="21" x14ac:dyDescent="0.4">
      <c r="A13" s="61">
        <f t="shared" si="1"/>
        <v>0</v>
      </c>
      <c r="B13" s="62">
        <f t="shared" si="2"/>
        <v>5</v>
      </c>
      <c r="C13" s="90" t="s">
        <v>18</v>
      </c>
      <c r="D13" s="90"/>
      <c r="E13" s="22" t="str">
        <f>[1]!wwsInput()</f>
        <v/>
      </c>
      <c r="F13" s="46"/>
      <c r="G13" s="67" t="s">
        <v>19</v>
      </c>
      <c r="H13" s="22" t="str">
        <f>[1]!wwsInput()</f>
        <v/>
      </c>
      <c r="I13" s="63" t="str">
        <f>IF(AND(E13="y",H13="n"),"*",IF(OR(E13="y",H13="n"),"?",""))</f>
        <v/>
      </c>
      <c r="J13" s="63" t="str">
        <f t="shared" si="0"/>
        <v/>
      </c>
    </row>
    <row r="14" spans="1:10" ht="21" x14ac:dyDescent="0.4">
      <c r="A14" s="61">
        <f t="shared" si="1"/>
        <v>0</v>
      </c>
      <c r="B14" s="62">
        <f t="shared" si="2"/>
        <v>6</v>
      </c>
      <c r="C14" s="90" t="s">
        <v>7</v>
      </c>
      <c r="D14" s="90"/>
      <c r="E14" s="22" t="str">
        <f>[1]!wwsInput()</f>
        <v/>
      </c>
      <c r="F14" s="46"/>
      <c r="G14" s="67" t="s">
        <v>6</v>
      </c>
      <c r="H14" s="22" t="str">
        <f>[1]!wwsInput()</f>
        <v/>
      </c>
      <c r="I14" s="63" t="str">
        <f>IF(AND(E14="y",H14="n"),"*",IF(OR(E14="y",H14="n"),"?",""))</f>
        <v/>
      </c>
      <c r="J14" s="63" t="str">
        <f t="shared" si="0"/>
        <v/>
      </c>
    </row>
    <row r="15" spans="1:10" ht="21" x14ac:dyDescent="0.4">
      <c r="A15" s="61">
        <f t="shared" si="1"/>
        <v>0</v>
      </c>
      <c r="B15" s="62">
        <f t="shared" si="2"/>
        <v>7</v>
      </c>
      <c r="C15" s="90" t="s">
        <v>22</v>
      </c>
      <c r="D15" s="90"/>
      <c r="E15" s="22" t="str">
        <f>[1]!wwsInput()</f>
        <v/>
      </c>
      <c r="F15" s="46"/>
      <c r="G15" s="67" t="s">
        <v>23</v>
      </c>
      <c r="H15" s="22" t="str">
        <f>[1]!wwsInput()</f>
        <v/>
      </c>
      <c r="I15" s="63" t="str">
        <f>IF(AND(E15="n",H15="y"),"*",IF(OR(E15="y",H15="n"),"?",""))</f>
        <v/>
      </c>
      <c r="J15" s="63" t="str">
        <f>IF(I15="?","Modal, then subject, then verb.","")</f>
        <v/>
      </c>
    </row>
    <row r="16" spans="1:10" ht="21" x14ac:dyDescent="0.4">
      <c r="A16" s="61">
        <f t="shared" si="1"/>
        <v>0</v>
      </c>
      <c r="B16" s="62">
        <f t="shared" si="2"/>
        <v>8</v>
      </c>
      <c r="C16" s="90" t="s">
        <v>25</v>
      </c>
      <c r="D16" s="90"/>
      <c r="E16" s="22" t="str">
        <f>[1]!wwsInput()</f>
        <v/>
      </c>
      <c r="F16" s="46"/>
      <c r="G16" s="67" t="s">
        <v>26</v>
      </c>
      <c r="H16" s="22" t="str">
        <f>[1]!wwsInput()</f>
        <v/>
      </c>
      <c r="I16" s="63" t="str">
        <f>IF(AND(E16="n",H16="y"),"*",IF(OR(E16="y",H16="n"),"?",""))</f>
        <v/>
      </c>
      <c r="J16" s="63" t="str">
        <f t="shared" si="0"/>
        <v/>
      </c>
    </row>
    <row r="17" spans="1:10" ht="21" x14ac:dyDescent="0.4">
      <c r="A17" s="61">
        <f t="shared" si="1"/>
        <v>0</v>
      </c>
      <c r="B17" s="62">
        <f t="shared" si="2"/>
        <v>9</v>
      </c>
      <c r="C17" s="90" t="s">
        <v>28</v>
      </c>
      <c r="D17" s="90"/>
      <c r="E17" s="22" t="str">
        <f>[1]!wwsInput()</f>
        <v/>
      </c>
      <c r="F17" s="46"/>
      <c r="G17" s="67" t="s">
        <v>29</v>
      </c>
      <c r="H17" s="22" t="str">
        <f>[1]!wwsInput()</f>
        <v/>
      </c>
      <c r="I17" s="63" t="str">
        <f>IF(AND(E17="y",H17="n"),"*",IF(OR(E17="n",H17="y"),"?",""))</f>
        <v/>
      </c>
      <c r="J17" s="63" t="str">
        <f t="shared" ref="J17:J19" si="4">IF(I17="?","'Be' verb before subject.","")</f>
        <v/>
      </c>
    </row>
    <row r="18" spans="1:10" ht="21" x14ac:dyDescent="0.4">
      <c r="A18" s="61">
        <f t="shared" si="1"/>
        <v>0</v>
      </c>
      <c r="B18" s="62">
        <f t="shared" si="2"/>
        <v>10</v>
      </c>
      <c r="C18" s="90" t="s">
        <v>31</v>
      </c>
      <c r="D18" s="90"/>
      <c r="E18" s="22" t="str">
        <f>[1]!wwsInput()</f>
        <v/>
      </c>
      <c r="F18" s="46"/>
      <c r="G18" s="67" t="s">
        <v>32</v>
      </c>
      <c r="H18" s="22" t="str">
        <f>[1]!wwsInput()</f>
        <v/>
      </c>
      <c r="I18" s="63" t="str">
        <f>IF(AND(E18="y",H18="n"),"*",IF(OR(E18="n",H18="y"),"?",""))</f>
        <v/>
      </c>
      <c r="J18" s="63" t="str">
        <f t="shared" si="4"/>
        <v/>
      </c>
    </row>
    <row r="19" spans="1:10" ht="21" x14ac:dyDescent="0.4">
      <c r="A19" s="61">
        <f t="shared" si="1"/>
        <v>0</v>
      </c>
      <c r="B19" s="62">
        <f t="shared" si="2"/>
        <v>11</v>
      </c>
      <c r="C19" s="90" t="s">
        <v>34</v>
      </c>
      <c r="D19" s="90"/>
      <c r="E19" s="22" t="str">
        <f>[1]!wwsInput()</f>
        <v/>
      </c>
      <c r="F19" s="46"/>
      <c r="G19" s="67" t="s">
        <v>35</v>
      </c>
      <c r="H19" s="22" t="str">
        <f>[1]!wwsInput()</f>
        <v/>
      </c>
      <c r="I19" s="63" t="str">
        <f>IF(AND(E19="n",H19="y"),"*",IF(OR(E19="y",H19="n"),"?",""))</f>
        <v/>
      </c>
      <c r="J19" s="63" t="str">
        <f t="shared" si="4"/>
        <v/>
      </c>
    </row>
    <row r="20" spans="1:10" ht="21" x14ac:dyDescent="0.4">
      <c r="A20" s="61">
        <f t="shared" si="1"/>
        <v>0</v>
      </c>
      <c r="B20" s="62">
        <f t="shared" si="2"/>
        <v>12</v>
      </c>
      <c r="C20" s="90" t="s">
        <v>37</v>
      </c>
      <c r="D20" s="90"/>
      <c r="E20" s="22" t="str">
        <f>[1]!wwsInput()</f>
        <v/>
      </c>
      <c r="F20" s="46"/>
      <c r="G20" s="67" t="s">
        <v>38</v>
      </c>
      <c r="H20" s="22" t="str">
        <f>[1]!wwsInput()</f>
        <v/>
      </c>
      <c r="I20" s="63" t="str">
        <f>IF(AND(E20="y",H20="n"),"*",IF(OR(E20="y",H20="n"),"?",""))</f>
        <v/>
      </c>
      <c r="J20" s="63" t="str">
        <f t="shared" si="0"/>
        <v/>
      </c>
    </row>
    <row r="21" spans="1:10" ht="21" x14ac:dyDescent="0.4">
      <c r="A21" s="61">
        <f t="shared" si="1"/>
        <v>0</v>
      </c>
      <c r="B21" s="62">
        <f t="shared" si="2"/>
        <v>13</v>
      </c>
      <c r="C21" s="90" t="s">
        <v>40</v>
      </c>
      <c r="D21" s="90"/>
      <c r="E21" s="22" t="str">
        <f>[1]!wwsInput()</f>
        <v/>
      </c>
      <c r="F21" s="46"/>
      <c r="G21" s="67" t="s">
        <v>41</v>
      </c>
      <c r="H21" s="22" t="str">
        <f>[1]!wwsInput()</f>
        <v/>
      </c>
      <c r="I21" s="63" t="str">
        <f>IF(AND(E21="y",H21="n"),"*",IF(OR(E21="y",H21="n"),"?",""))</f>
        <v/>
      </c>
      <c r="J21" s="63" t="str">
        <f t="shared" si="0"/>
        <v/>
      </c>
    </row>
    <row r="22" spans="1:10" ht="21" x14ac:dyDescent="0.4">
      <c r="A22" s="61">
        <f t="shared" si="1"/>
        <v>0</v>
      </c>
      <c r="B22" s="62">
        <f t="shared" si="2"/>
        <v>14</v>
      </c>
      <c r="C22" s="90" t="s">
        <v>43</v>
      </c>
      <c r="D22" s="90"/>
      <c r="E22" s="22" t="str">
        <f>[1]!wwsInput()</f>
        <v/>
      </c>
      <c r="F22" s="46"/>
      <c r="G22" s="67" t="s">
        <v>44</v>
      </c>
      <c r="H22" s="22" t="str">
        <f>[1]!wwsInput()</f>
        <v/>
      </c>
      <c r="I22" s="63" t="str">
        <f>IF(AND(E22="n",H22="y"),"*",IF(OR(E22="y",H22="n"),"?",""))</f>
        <v/>
      </c>
      <c r="J22" s="63" t="str">
        <f t="shared" si="0"/>
        <v/>
      </c>
    </row>
    <row r="23" spans="1:10" ht="21" x14ac:dyDescent="0.4">
      <c r="A23" s="61">
        <f t="shared" si="1"/>
        <v>0</v>
      </c>
      <c r="B23" s="62">
        <f t="shared" si="2"/>
        <v>15</v>
      </c>
      <c r="C23" s="90" t="s">
        <v>46</v>
      </c>
      <c r="D23" s="90"/>
      <c r="E23" s="22" t="str">
        <f>[1]!wwsInput()</f>
        <v/>
      </c>
      <c r="F23" s="46"/>
      <c r="G23" s="67" t="s">
        <v>47</v>
      </c>
      <c r="H23" s="22" t="str">
        <f>[1]!wwsInput()</f>
        <v/>
      </c>
      <c r="I23" s="63" t="str">
        <f>IF(AND(E23="n",H23="y"),"*",IF(OR(E23="y",H23="n"),"?",""))</f>
        <v/>
      </c>
      <c r="J23" s="63" t="str">
        <f t="shared" ref="J23:J26" si="5">IF(I23="?","'Be' verb before subject.","")</f>
        <v/>
      </c>
    </row>
    <row r="24" spans="1:10" ht="21" x14ac:dyDescent="0.4">
      <c r="A24" s="61">
        <f t="shared" si="1"/>
        <v>0</v>
      </c>
      <c r="B24" s="62">
        <f t="shared" si="2"/>
        <v>16</v>
      </c>
      <c r="C24" s="90" t="s">
        <v>40</v>
      </c>
      <c r="D24" s="90"/>
      <c r="E24" s="22" t="str">
        <f>[1]!wwsInput()</f>
        <v/>
      </c>
      <c r="F24" s="46"/>
      <c r="G24" s="67" t="s">
        <v>41</v>
      </c>
      <c r="H24" s="64" t="str">
        <f>[1]!wwsInput()</f>
        <v/>
      </c>
      <c r="I24" s="63" t="str">
        <f>IF(AND(E24="y",H24="n"),"*",IF(OR(E24="y",H24="n"),"?",""))</f>
        <v/>
      </c>
      <c r="J24" s="63" t="str">
        <f t="shared" si="0"/>
        <v/>
      </c>
    </row>
    <row r="25" spans="1:10" ht="21" x14ac:dyDescent="0.4">
      <c r="A25" s="61">
        <f t="shared" si="1"/>
        <v>0</v>
      </c>
      <c r="B25" s="62">
        <f t="shared" si="2"/>
        <v>17</v>
      </c>
      <c r="C25" s="90" t="s">
        <v>49</v>
      </c>
      <c r="D25" s="90"/>
      <c r="E25" s="22" t="str">
        <f>[1]!wwsInput()</f>
        <v/>
      </c>
      <c r="F25" s="46"/>
      <c r="G25" s="67" t="s">
        <v>50</v>
      </c>
      <c r="H25" s="64" t="str">
        <f>[1]!wwsInput()</f>
        <v/>
      </c>
      <c r="I25" s="63" t="str">
        <f>IF(AND(E25="y",H25="n"),"*",IF(OR(E25="y",H25="n"),"?",""))</f>
        <v/>
      </c>
      <c r="J25" s="63" t="str">
        <f t="shared" si="5"/>
        <v/>
      </c>
    </row>
    <row r="26" spans="1:10" ht="21" x14ac:dyDescent="0.4">
      <c r="A26" s="61">
        <f t="shared" si="1"/>
        <v>0</v>
      </c>
      <c r="B26" s="62">
        <f t="shared" si="2"/>
        <v>18</v>
      </c>
      <c r="C26" s="90" t="s">
        <v>51</v>
      </c>
      <c r="D26" s="90"/>
      <c r="E26" s="22" t="str">
        <f>[1]!wwsInput()</f>
        <v/>
      </c>
      <c r="F26" s="46"/>
      <c r="G26" s="67" t="s">
        <v>52</v>
      </c>
      <c r="H26" s="64" t="str">
        <f>[1]!wwsInput()</f>
        <v/>
      </c>
      <c r="I26" s="63" t="str">
        <f>IF(AND(E26="y",H26="n"),"*",IF(OR(E26="y",H26="n"),"?",""))</f>
        <v/>
      </c>
      <c r="J26" s="63" t="str">
        <f t="shared" si="5"/>
        <v/>
      </c>
    </row>
    <row r="27" spans="1:10" ht="21" x14ac:dyDescent="0.4">
      <c r="A27" s="61">
        <f t="shared" si="1"/>
        <v>0</v>
      </c>
      <c r="B27" s="62">
        <f t="shared" si="2"/>
        <v>19</v>
      </c>
      <c r="C27" s="90" t="s">
        <v>53</v>
      </c>
      <c r="D27" s="90"/>
      <c r="E27" s="22" t="str">
        <f>[1]!wwsInput()</f>
        <v/>
      </c>
      <c r="F27" s="46"/>
      <c r="G27" s="67" t="s">
        <v>54</v>
      </c>
      <c r="H27" s="22" t="str">
        <f>[1]!wwsInput()</f>
        <v/>
      </c>
      <c r="I27" s="63" t="str">
        <f>IF(AND(E27="y",H27="n"),"*",IF(OR(E27="n",H27="y"),"?",""))</f>
        <v/>
      </c>
      <c r="J27" s="63" t="str">
        <f t="shared" si="0"/>
        <v/>
      </c>
    </row>
    <row r="28" spans="1:10" ht="21" x14ac:dyDescent="0.4">
      <c r="A28" s="61">
        <f t="shared" si="1"/>
        <v>0</v>
      </c>
      <c r="B28" s="62">
        <f t="shared" si="2"/>
        <v>20</v>
      </c>
      <c r="C28" s="90" t="s">
        <v>56</v>
      </c>
      <c r="D28" s="90"/>
      <c r="E28" s="22" t="str">
        <f>[1]!wwsInput()</f>
        <v/>
      </c>
      <c r="F28" s="46"/>
      <c r="G28" s="67" t="s">
        <v>57</v>
      </c>
      <c r="H28" s="22" t="str">
        <f>[1]!wwsInput()</f>
        <v/>
      </c>
      <c r="I28" s="63" t="str">
        <f>IF(AND(E28="n",H28="y"),"*",IF(OR(E28="y",H28="n"),"?",""))</f>
        <v/>
      </c>
      <c r="J28" s="63" t="str">
        <f t="shared" ref="J28:J35" si="6">IF(I28="?","'Be' verb before subject.","")</f>
        <v/>
      </c>
    </row>
    <row r="29" spans="1:10" ht="21" x14ac:dyDescent="0.4">
      <c r="A29" s="61">
        <f t="shared" si="1"/>
        <v>0</v>
      </c>
      <c r="B29" s="62">
        <f t="shared" si="2"/>
        <v>21</v>
      </c>
      <c r="C29" s="90" t="s">
        <v>58</v>
      </c>
      <c r="D29" s="90"/>
      <c r="E29" s="22" t="str">
        <f>[1]!wwsInput()</f>
        <v/>
      </c>
      <c r="F29" s="46"/>
      <c r="G29" s="67" t="s">
        <v>59</v>
      </c>
      <c r="H29" s="22" t="str">
        <f>[1]!wwsInput()</f>
        <v/>
      </c>
      <c r="I29" s="63" t="str">
        <f>IF(AND(E29="y",H29="n"),"*",IF(OR(E29="n",H29="y"),"?",""))</f>
        <v/>
      </c>
      <c r="J29" s="63" t="str">
        <f t="shared" si="6"/>
        <v/>
      </c>
    </row>
    <row r="30" spans="1:10" ht="21" x14ac:dyDescent="0.4">
      <c r="A30" s="61">
        <f t="shared" si="1"/>
        <v>0</v>
      </c>
      <c r="B30" s="62">
        <f t="shared" si="2"/>
        <v>22</v>
      </c>
      <c r="C30" s="90" t="s">
        <v>60</v>
      </c>
      <c r="D30" s="90"/>
      <c r="E30" s="22" t="str">
        <f>[1]!wwsInput()</f>
        <v/>
      </c>
      <c r="F30" s="46"/>
      <c r="G30" s="67" t="s">
        <v>15</v>
      </c>
      <c r="H30" s="22" t="str">
        <f>[1]!wwsInput()</f>
        <v/>
      </c>
      <c r="I30" s="63" t="str">
        <f>IF(AND(E30="n",H30="y"),"*",IF(OR(E30="y",H30="n"),"?",""))</f>
        <v/>
      </c>
      <c r="J30" s="63" t="str">
        <f t="shared" si="6"/>
        <v/>
      </c>
    </row>
    <row r="31" spans="1:10" ht="21" x14ac:dyDescent="0.4">
      <c r="A31" s="61">
        <f t="shared" si="1"/>
        <v>0</v>
      </c>
      <c r="B31" s="62">
        <f t="shared" si="2"/>
        <v>23</v>
      </c>
      <c r="C31" s="90" t="s">
        <v>61</v>
      </c>
      <c r="D31" s="90"/>
      <c r="E31" s="22" t="str">
        <f>[1]!wwsInput()</f>
        <v/>
      </c>
      <c r="F31" s="46"/>
      <c r="G31" s="67" t="s">
        <v>62</v>
      </c>
      <c r="H31" s="22" t="str">
        <f>[1]!wwsInput()</f>
        <v/>
      </c>
      <c r="I31" s="63" t="str">
        <f>IF(AND(E31="n",H31="y"),"*",IF(OR(E31="y",H31="n"),"?",""))</f>
        <v/>
      </c>
      <c r="J31" s="63" t="str">
        <f t="shared" si="6"/>
        <v/>
      </c>
    </row>
    <row r="32" spans="1:10" ht="21" x14ac:dyDescent="0.4">
      <c r="A32" s="61">
        <f t="shared" si="1"/>
        <v>0</v>
      </c>
      <c r="B32" s="62">
        <f t="shared" si="2"/>
        <v>24</v>
      </c>
      <c r="C32" s="90" t="s">
        <v>64</v>
      </c>
      <c r="D32" s="90"/>
      <c r="E32" s="22" t="str">
        <f>[1]!wwsInput()</f>
        <v/>
      </c>
      <c r="F32" s="46"/>
      <c r="G32" s="67" t="s">
        <v>65</v>
      </c>
      <c r="H32" s="22" t="str">
        <f>[1]!wwsInput()</f>
        <v/>
      </c>
      <c r="I32" s="63" t="str">
        <f>IF(AND(E32="y",H32="n"),"*",IF(OR(E32="n",H32="y"),"?",""))</f>
        <v/>
      </c>
      <c r="J32" s="63" t="str">
        <f t="shared" si="0"/>
        <v/>
      </c>
    </row>
    <row r="33" spans="1:11" ht="21" x14ac:dyDescent="0.4">
      <c r="A33" s="61">
        <f t="shared" si="1"/>
        <v>0</v>
      </c>
      <c r="B33" s="62">
        <f t="shared" si="2"/>
        <v>25</v>
      </c>
      <c r="C33" s="90" t="s">
        <v>66</v>
      </c>
      <c r="D33" s="90"/>
      <c r="E33" s="22" t="str">
        <f>[1]!wwsInput()</f>
        <v/>
      </c>
      <c r="F33" s="46"/>
      <c r="G33" s="67" t="s">
        <v>67</v>
      </c>
      <c r="H33" s="22" t="str">
        <f>[1]!wwsInput()</f>
        <v/>
      </c>
      <c r="I33" s="63" t="str">
        <f>IF(AND(E33="y",H33="n"),"*",IF(OR(E33="n",H33="y"),"?",""))</f>
        <v/>
      </c>
      <c r="J33" s="63" t="str">
        <f t="shared" si="6"/>
        <v/>
      </c>
    </row>
    <row r="34" spans="1:11" ht="21" x14ac:dyDescent="0.4">
      <c r="A34" s="61">
        <f t="shared" si="1"/>
        <v>0</v>
      </c>
      <c r="B34" s="62">
        <f t="shared" si="2"/>
        <v>26</v>
      </c>
      <c r="C34" s="90" t="s">
        <v>69</v>
      </c>
      <c r="D34" s="90"/>
      <c r="E34" s="22" t="str">
        <f>[1]!wwsInput()</f>
        <v/>
      </c>
      <c r="F34" s="46"/>
      <c r="G34" s="67" t="s">
        <v>70</v>
      </c>
      <c r="H34" s="22" t="str">
        <f>[1]!wwsInput()</f>
        <v/>
      </c>
      <c r="I34" s="63" t="str">
        <f>IF(AND(E34="n",H34="y"),"*",IF(OR(E34="y",H34="n"),"?",""))</f>
        <v/>
      </c>
      <c r="J34" s="63" t="str">
        <f t="shared" si="6"/>
        <v/>
      </c>
    </row>
    <row r="35" spans="1:11" ht="21" x14ac:dyDescent="0.4">
      <c r="A35" s="61">
        <f t="shared" si="1"/>
        <v>0</v>
      </c>
      <c r="B35" s="62">
        <f t="shared" si="2"/>
        <v>27</v>
      </c>
      <c r="C35" s="90" t="s">
        <v>72</v>
      </c>
      <c r="D35" s="90"/>
      <c r="E35" s="22" t="str">
        <f>[1]!wwsInput()</f>
        <v/>
      </c>
      <c r="F35" s="46"/>
      <c r="G35" s="67" t="s">
        <v>73</v>
      </c>
      <c r="H35" s="22" t="str">
        <f>[1]!wwsInput()</f>
        <v/>
      </c>
      <c r="I35" s="63" t="str">
        <f>IF(AND(E35="y",H35="n"),"*",IF(OR(E35="n",H35="y"),"?",""))</f>
        <v/>
      </c>
      <c r="J35" s="63" t="str">
        <f t="shared" si="6"/>
        <v/>
      </c>
    </row>
    <row r="36" spans="1:11" ht="21" x14ac:dyDescent="0.4">
      <c r="A36" s="61">
        <f t="shared" si="1"/>
        <v>0</v>
      </c>
      <c r="B36" s="62">
        <f t="shared" si="2"/>
        <v>28</v>
      </c>
      <c r="C36" s="90" t="s">
        <v>65</v>
      </c>
      <c r="D36" s="90"/>
      <c r="E36" s="22" t="str">
        <f>[1]!wwsInput()</f>
        <v/>
      </c>
      <c r="F36" s="46"/>
      <c r="G36" s="67" t="s">
        <v>64</v>
      </c>
      <c r="H36" s="22" t="str">
        <f>[1]!wwsInput()</f>
        <v/>
      </c>
      <c r="I36" s="63" t="str">
        <f>IF(AND(E36="n",H36="y"),"*",IF(OR(E36="y",H36="n"),"?",""))</f>
        <v/>
      </c>
      <c r="J36" s="63" t="str">
        <f t="shared" si="0"/>
        <v/>
      </c>
    </row>
    <row r="37" spans="1:11" ht="21" x14ac:dyDescent="0.4">
      <c r="A37" s="61">
        <f t="shared" si="1"/>
        <v>0</v>
      </c>
      <c r="B37" s="62">
        <f t="shared" si="2"/>
        <v>29</v>
      </c>
      <c r="C37" s="90" t="s">
        <v>76</v>
      </c>
      <c r="D37" s="90"/>
      <c r="E37" s="22" t="str">
        <f>[1]!wwsInput()</f>
        <v/>
      </c>
      <c r="F37" s="46"/>
      <c r="G37" s="67" t="s">
        <v>77</v>
      </c>
      <c r="H37" s="22" t="str">
        <f>[1]!wwsInput()</f>
        <v/>
      </c>
      <c r="I37" s="63" t="str">
        <f>IF(AND(E37="y",H37="n"),"*",IF(OR(E37="n",H37="y"),"?",""))</f>
        <v/>
      </c>
      <c r="J37" s="63" t="str">
        <f t="shared" ref="J37" si="7">IF(I37="?","'Be' verb before subject.","")</f>
        <v/>
      </c>
    </row>
    <row r="38" spans="1:11" ht="21" x14ac:dyDescent="0.4">
      <c r="A38" s="61">
        <f t="shared" si="1"/>
        <v>0</v>
      </c>
      <c r="B38" s="62">
        <f t="shared" si="2"/>
        <v>30</v>
      </c>
      <c r="C38" s="90" t="s">
        <v>78</v>
      </c>
      <c r="D38" s="90"/>
      <c r="E38" s="22" t="str">
        <f>[1]!wwsInput()</f>
        <v/>
      </c>
      <c r="F38" s="46"/>
      <c r="G38" s="67" t="s">
        <v>79</v>
      </c>
      <c r="H38" s="22" t="str">
        <f>[1]!wwsInput()</f>
        <v/>
      </c>
      <c r="I38" s="63" t="str">
        <f>IF(AND(E38="n",H38="y"),"*",IF(OR(E38="y",H38="n"),"?",""))</f>
        <v/>
      </c>
      <c r="J38" s="63" t="str">
        <f t="shared" si="0"/>
        <v/>
      </c>
    </row>
    <row r="39" spans="1:11" ht="21" x14ac:dyDescent="0.4">
      <c r="A39" s="61">
        <f t="shared" si="1"/>
        <v>0</v>
      </c>
      <c r="B39" s="62">
        <f t="shared" si="2"/>
        <v>31</v>
      </c>
      <c r="C39" s="90" t="s">
        <v>81</v>
      </c>
      <c r="D39" s="90"/>
      <c r="E39" s="22" t="str">
        <f>[1]!wwsInput()</f>
        <v/>
      </c>
      <c r="F39" s="46"/>
      <c r="G39" s="67" t="s">
        <v>82</v>
      </c>
      <c r="H39" s="22" t="str">
        <f>[1]!wwsInput()</f>
        <v/>
      </c>
      <c r="I39" s="63" t="str">
        <f>IF(AND(E39="y",H39="n"),"*",IF(OR(E39="n",H39="y"),"?",""))</f>
        <v/>
      </c>
      <c r="J39" s="63" t="str">
        <f t="shared" si="0"/>
        <v/>
      </c>
    </row>
    <row r="40" spans="1:11" ht="21" x14ac:dyDescent="0.4">
      <c r="A40" s="61">
        <f t="shared" si="1"/>
        <v>0</v>
      </c>
      <c r="B40" s="62">
        <f t="shared" si="2"/>
        <v>32</v>
      </c>
      <c r="C40" s="90" t="s">
        <v>84</v>
      </c>
      <c r="D40" s="90"/>
      <c r="E40" s="22" t="str">
        <f>[1]!wwsInput()</f>
        <v/>
      </c>
      <c r="F40" s="47"/>
      <c r="G40" s="67" t="s">
        <v>85</v>
      </c>
      <c r="H40" s="22" t="str">
        <f>[1]!wwsInput()</f>
        <v/>
      </c>
      <c r="I40" s="63" t="str">
        <f>IF(AND(E40="n",H40="y"),"*",IF(OR(E40="y",H40="n"),"?",""))</f>
        <v/>
      </c>
      <c r="J40" s="63" t="str">
        <f t="shared" ref="J40" si="8">IF(I40="?","'Be' verb before subject.","")</f>
        <v/>
      </c>
    </row>
    <row r="41" spans="1:11" ht="21" x14ac:dyDescent="0.4">
      <c r="A41" s="37"/>
      <c r="B41" s="38"/>
      <c r="C41" s="70"/>
      <c r="D41" s="91">
        <f>SUM(A9:A40)/32</f>
        <v>3.125E-2</v>
      </c>
      <c r="E41" s="91"/>
      <c r="F41" s="65" t="s">
        <v>87</v>
      </c>
      <c r="G41" s="70"/>
      <c r="H41" s="59"/>
      <c r="I41" s="34"/>
      <c r="J41" s="52"/>
    </row>
    <row r="42" spans="1:11" ht="21" x14ac:dyDescent="0.4">
      <c r="A42" s="30"/>
      <c r="B42" s="31"/>
      <c r="C42" s="49"/>
      <c r="D42" s="18"/>
      <c r="E42" s="18"/>
      <c r="F42" s="18"/>
      <c r="G42" s="49"/>
      <c r="H42" s="59"/>
      <c r="I42" s="36"/>
      <c r="J42" s="18"/>
      <c r="K42" t="s">
        <v>88</v>
      </c>
    </row>
    <row r="43" spans="1:11" ht="21" x14ac:dyDescent="0.4">
      <c r="A43" s="30"/>
      <c r="B43" s="31"/>
      <c r="C43" s="49"/>
      <c r="D43" s="18"/>
      <c r="E43" s="18"/>
      <c r="F43" s="18"/>
      <c r="G43" s="49"/>
      <c r="H43" s="59"/>
      <c r="I43" s="36"/>
      <c r="J43" s="18"/>
    </row>
    <row r="44" spans="1:11" ht="21" x14ac:dyDescent="0.4">
      <c r="A44" s="30"/>
      <c r="B44" s="31"/>
      <c r="C44" s="49"/>
      <c r="D44" s="18"/>
      <c r="E44" s="18"/>
      <c r="F44" s="18"/>
      <c r="G44" s="49"/>
      <c r="H44" s="59"/>
      <c r="I44" s="36"/>
      <c r="J44" s="18"/>
    </row>
    <row r="45" spans="1:11" ht="21" x14ac:dyDescent="0.4">
      <c r="A45" s="30"/>
      <c r="B45" s="31"/>
      <c r="C45" s="49"/>
      <c r="D45" s="18"/>
      <c r="E45" s="18"/>
      <c r="F45" s="18"/>
      <c r="G45" s="49"/>
      <c r="H45" s="59"/>
      <c r="I45" s="36"/>
      <c r="J45" s="18"/>
    </row>
    <row r="46" spans="1:11" ht="21" x14ac:dyDescent="0.4">
      <c r="A46" s="30"/>
      <c r="B46" s="31"/>
      <c r="C46" s="49"/>
      <c r="D46" s="18"/>
      <c r="E46" s="18"/>
      <c r="F46" s="18"/>
      <c r="G46" s="49"/>
      <c r="H46" s="59"/>
      <c r="I46" s="50"/>
      <c r="J46" s="18"/>
    </row>
    <row r="47" spans="1:11" ht="21" x14ac:dyDescent="0.4">
      <c r="A47" s="30"/>
      <c r="B47" s="31"/>
      <c r="C47" s="49"/>
      <c r="D47" s="18"/>
      <c r="E47" s="18"/>
      <c r="F47" s="18"/>
      <c r="G47" s="49"/>
      <c r="H47" s="59"/>
      <c r="I47" s="50"/>
      <c r="J47" s="18"/>
    </row>
    <row r="48" spans="1:11" ht="21" x14ac:dyDescent="0.4">
      <c r="A48" s="30"/>
      <c r="B48" s="31"/>
      <c r="C48" s="49"/>
      <c r="D48" s="18"/>
      <c r="E48" s="18"/>
      <c r="F48" s="18"/>
      <c r="G48" s="49"/>
      <c r="H48" s="59"/>
      <c r="I48" s="50"/>
      <c r="J48" s="18"/>
    </row>
    <row r="49" spans="1:10" ht="21" x14ac:dyDescent="0.4">
      <c r="A49" s="30"/>
      <c r="B49" s="31"/>
      <c r="C49" s="49"/>
      <c r="D49" s="18"/>
      <c r="E49" s="18"/>
      <c r="F49" s="18"/>
      <c r="G49" s="49"/>
      <c r="H49" s="59"/>
      <c r="I49" s="50"/>
      <c r="J49" s="18"/>
    </row>
    <row r="50" spans="1:10" ht="21" x14ac:dyDescent="0.4">
      <c r="A50" s="30"/>
      <c r="B50" s="31"/>
      <c r="C50" s="49"/>
      <c r="D50" s="18"/>
      <c r="E50" s="18"/>
      <c r="F50" s="18"/>
      <c r="G50" s="49"/>
      <c r="H50" s="59"/>
      <c r="I50" s="50"/>
      <c r="J50" s="18"/>
    </row>
    <row r="51" spans="1:10" ht="21" x14ac:dyDescent="0.4">
      <c r="A51" s="30"/>
      <c r="B51" s="31"/>
      <c r="C51" s="49"/>
      <c r="D51" s="18"/>
      <c r="E51" s="18"/>
      <c r="F51" s="18"/>
      <c r="G51" s="49"/>
      <c r="H51" s="59"/>
      <c r="I51" s="50"/>
      <c r="J51" s="18"/>
    </row>
    <row r="52" spans="1:10" ht="21" x14ac:dyDescent="0.4">
      <c r="A52" s="30"/>
      <c r="B52" s="31"/>
      <c r="C52" s="49"/>
      <c r="D52" s="18"/>
      <c r="E52" s="18"/>
      <c r="F52" s="18"/>
      <c r="G52" s="49"/>
      <c r="H52" s="59"/>
      <c r="I52" s="50"/>
      <c r="J52" s="18"/>
    </row>
    <row r="53" spans="1:10" ht="21" x14ac:dyDescent="0.4">
      <c r="A53" s="30"/>
      <c r="B53" s="31"/>
      <c r="C53" s="49"/>
      <c r="D53" s="18"/>
      <c r="E53" s="18"/>
      <c r="F53" s="18"/>
      <c r="G53" s="49"/>
      <c r="H53" s="59"/>
      <c r="I53" s="50"/>
      <c r="J53" s="18"/>
    </row>
    <row r="54" spans="1:10" ht="21" x14ac:dyDescent="0.4">
      <c r="A54" s="30"/>
      <c r="B54" s="31"/>
      <c r="C54" s="49"/>
      <c r="D54" s="18"/>
      <c r="E54" s="18"/>
      <c r="F54" s="18"/>
      <c r="G54" s="49"/>
      <c r="H54" s="59"/>
      <c r="I54" s="50"/>
      <c r="J54" s="18"/>
    </row>
    <row r="55" spans="1:10" ht="21" x14ac:dyDescent="0.4">
      <c r="A55" s="30"/>
      <c r="B55" s="31"/>
      <c r="C55" s="49"/>
      <c r="D55" s="18"/>
      <c r="E55" s="18"/>
      <c r="F55" s="18"/>
      <c r="G55" s="49"/>
      <c r="H55" s="59"/>
      <c r="I55" s="50"/>
      <c r="J55" s="18"/>
    </row>
    <row r="56" spans="1:10" ht="21" x14ac:dyDescent="0.3">
      <c r="A56" s="30"/>
      <c r="B56" s="31"/>
      <c r="C56" s="49"/>
      <c r="D56" s="18"/>
      <c r="E56" s="18"/>
      <c r="F56" s="18"/>
      <c r="G56" s="49"/>
      <c r="H56" s="66"/>
      <c r="I56" s="50"/>
      <c r="J56" s="18"/>
    </row>
    <row r="57" spans="1:10" ht="21" x14ac:dyDescent="0.3">
      <c r="A57" s="30"/>
      <c r="B57" s="31"/>
      <c r="C57" s="49"/>
      <c r="D57" s="18"/>
      <c r="E57" s="18"/>
      <c r="F57" s="18"/>
      <c r="G57" s="49"/>
      <c r="H57" s="66"/>
      <c r="I57" s="50"/>
      <c r="J57" s="18"/>
    </row>
    <row r="58" spans="1:10" ht="21" x14ac:dyDescent="0.3">
      <c r="A58" s="30"/>
      <c r="B58" s="31"/>
      <c r="C58" s="49"/>
      <c r="D58" s="18"/>
      <c r="E58" s="18"/>
      <c r="F58" s="18"/>
      <c r="G58" s="49"/>
      <c r="H58" s="66"/>
      <c r="I58" s="50"/>
      <c r="J58" s="18"/>
    </row>
    <row r="59" spans="1:10" ht="21" x14ac:dyDescent="0.4">
      <c r="A59" s="30"/>
      <c r="B59" s="31"/>
      <c r="C59" s="49"/>
      <c r="D59" s="18"/>
      <c r="E59" s="18"/>
      <c r="F59" s="18"/>
      <c r="G59" s="49"/>
      <c r="H59" s="59"/>
      <c r="I59" s="50"/>
      <c r="J59" s="18"/>
    </row>
    <row r="60" spans="1:10" ht="21" x14ac:dyDescent="0.4">
      <c r="A60" s="30"/>
      <c r="B60" s="31"/>
      <c r="C60" s="49"/>
      <c r="D60" s="18"/>
      <c r="E60" s="18"/>
      <c r="F60" s="18"/>
      <c r="G60" s="49"/>
      <c r="H60" s="59"/>
      <c r="I60" s="50"/>
      <c r="J60" s="18"/>
    </row>
    <row r="61" spans="1:10" ht="21" x14ac:dyDescent="0.4">
      <c r="A61" s="30"/>
      <c r="B61" s="31"/>
      <c r="C61" s="49"/>
      <c r="D61" s="18"/>
      <c r="E61" s="18"/>
      <c r="F61" s="18"/>
      <c r="G61" s="49"/>
      <c r="H61" s="59"/>
      <c r="I61" s="50"/>
      <c r="J61" s="18"/>
    </row>
    <row r="62" spans="1:10" ht="21" x14ac:dyDescent="0.4">
      <c r="A62" s="30"/>
      <c r="B62" s="31"/>
      <c r="C62" s="49"/>
      <c r="D62" s="18"/>
      <c r="E62" s="18"/>
      <c r="F62" s="18"/>
      <c r="G62" s="49"/>
      <c r="H62" s="59"/>
      <c r="I62" s="50"/>
      <c r="J62" s="18"/>
    </row>
    <row r="63" spans="1:10" ht="21" x14ac:dyDescent="0.4">
      <c r="A63" s="30"/>
      <c r="B63" s="31"/>
      <c r="C63" s="49"/>
      <c r="D63" s="18"/>
      <c r="E63" s="18"/>
      <c r="F63" s="18"/>
      <c r="G63" s="49"/>
      <c r="H63" s="59"/>
      <c r="I63" s="50"/>
      <c r="J63" s="18"/>
    </row>
    <row r="64" spans="1:10" ht="21" x14ac:dyDescent="0.4">
      <c r="A64" s="30"/>
      <c r="B64" s="31"/>
      <c r="C64" s="49"/>
      <c r="D64" s="18"/>
      <c r="E64" s="18"/>
      <c r="F64" s="18"/>
      <c r="G64" s="49"/>
      <c r="H64" s="59"/>
      <c r="I64" s="50"/>
      <c r="J64" s="18"/>
    </row>
    <row r="65" spans="1:10" ht="21" x14ac:dyDescent="0.4">
      <c r="A65" s="30"/>
      <c r="B65" s="31"/>
      <c r="C65" s="49"/>
      <c r="D65" s="18"/>
      <c r="E65" s="18"/>
      <c r="F65" s="18"/>
      <c r="G65" s="49"/>
      <c r="H65" s="59"/>
      <c r="I65" s="50"/>
      <c r="J65" s="18"/>
    </row>
    <row r="66" spans="1:10" ht="21" x14ac:dyDescent="0.4">
      <c r="A66" s="30"/>
      <c r="B66" s="31"/>
      <c r="C66" s="49"/>
      <c r="D66" s="18"/>
      <c r="E66" s="18"/>
      <c r="F66" s="18"/>
      <c r="G66" s="49"/>
      <c r="H66" s="59"/>
      <c r="I66" s="50"/>
      <c r="J66" s="18"/>
    </row>
    <row r="67" spans="1:10" ht="21" x14ac:dyDescent="0.4">
      <c r="A67" s="30"/>
      <c r="B67" s="31"/>
      <c r="C67" s="49"/>
      <c r="D67" s="18"/>
      <c r="E67" s="18"/>
      <c r="F67" s="18"/>
      <c r="G67" s="49"/>
      <c r="H67" s="59"/>
      <c r="I67" s="50"/>
      <c r="J67" s="18"/>
    </row>
    <row r="68" spans="1:10" ht="21" x14ac:dyDescent="0.4">
      <c r="A68" s="30"/>
      <c r="B68" s="31"/>
      <c r="C68" s="49"/>
      <c r="D68" s="18"/>
      <c r="E68" s="18"/>
      <c r="F68" s="18"/>
      <c r="G68" s="49"/>
      <c r="H68" s="59"/>
      <c r="I68" s="50"/>
      <c r="J68" s="18"/>
    </row>
    <row r="69" spans="1:10" ht="21" x14ac:dyDescent="0.4">
      <c r="A69" s="30"/>
      <c r="B69" s="31"/>
      <c r="C69" s="49"/>
      <c r="D69" s="18"/>
      <c r="E69" s="18"/>
      <c r="F69" s="18"/>
      <c r="G69" s="49"/>
      <c r="H69" s="59"/>
      <c r="I69" s="50"/>
      <c r="J69" s="18"/>
    </row>
    <row r="70" spans="1:10" ht="21" x14ac:dyDescent="0.4">
      <c r="A70" s="30"/>
      <c r="B70" s="31"/>
      <c r="C70" s="49"/>
      <c r="D70" s="18"/>
      <c r="E70" s="18"/>
      <c r="F70" s="18"/>
      <c r="G70" s="49"/>
      <c r="H70" s="59"/>
      <c r="I70" s="50"/>
      <c r="J70" s="18"/>
    </row>
    <row r="71" spans="1:10" ht="21" x14ac:dyDescent="0.4">
      <c r="A71" s="30"/>
      <c r="B71" s="31"/>
      <c r="C71" s="49"/>
      <c r="D71" s="18"/>
      <c r="E71" s="18"/>
      <c r="F71" s="18"/>
      <c r="G71" s="49"/>
      <c r="H71" s="59"/>
      <c r="I71" s="50"/>
      <c r="J71" s="18"/>
    </row>
    <row r="72" spans="1:10" ht="21" x14ac:dyDescent="0.4">
      <c r="A72" s="30"/>
      <c r="B72" s="31"/>
      <c r="C72" s="49"/>
      <c r="D72" s="18"/>
      <c r="E72" s="18"/>
      <c r="F72" s="18"/>
      <c r="G72" s="49"/>
      <c r="H72" s="59"/>
      <c r="I72" s="50"/>
      <c r="J72" s="18"/>
    </row>
    <row r="73" spans="1:10" ht="15.6" x14ac:dyDescent="0.3">
      <c r="A73" s="30"/>
      <c r="B73" s="31"/>
      <c r="C73" s="49"/>
      <c r="D73" s="18"/>
      <c r="E73" s="18"/>
      <c r="F73" s="18"/>
      <c r="G73" s="49"/>
      <c r="H73" s="54"/>
      <c r="I73" s="50"/>
      <c r="J73" s="18"/>
    </row>
    <row r="74" spans="1:10" ht="15.6" x14ac:dyDescent="0.3">
      <c r="A74" s="30"/>
      <c r="B74" s="31"/>
      <c r="C74" s="49"/>
      <c r="D74" s="18"/>
      <c r="E74" s="18"/>
      <c r="F74" s="18"/>
      <c r="G74" s="49"/>
      <c r="H74" s="54"/>
      <c r="I74" s="50"/>
      <c r="J74" s="18"/>
    </row>
    <row r="75" spans="1:10" ht="15.6" x14ac:dyDescent="0.3">
      <c r="A75" s="30"/>
      <c r="B75" s="31"/>
      <c r="C75" s="49"/>
      <c r="D75" s="18"/>
      <c r="E75" s="18"/>
      <c r="F75" s="18"/>
      <c r="G75" s="49"/>
      <c r="H75" s="54"/>
      <c r="I75" s="50"/>
      <c r="J75" s="18"/>
    </row>
    <row r="76" spans="1:10" ht="15.6" x14ac:dyDescent="0.3">
      <c r="A76" s="30"/>
      <c r="B76" s="31"/>
      <c r="C76" s="49"/>
      <c r="D76" s="18"/>
      <c r="E76" s="18"/>
      <c r="F76" s="18"/>
      <c r="G76" s="49"/>
      <c r="H76" s="54"/>
      <c r="I76" s="50"/>
      <c r="J76" s="18"/>
    </row>
    <row r="77" spans="1:10" ht="15.6" x14ac:dyDescent="0.3">
      <c r="A77" s="30"/>
      <c r="B77" s="31"/>
      <c r="C77" s="49"/>
      <c r="D77" s="18"/>
      <c r="E77" s="18"/>
      <c r="F77" s="18"/>
      <c r="G77" s="49"/>
      <c r="H77" s="54"/>
      <c r="I77" s="50"/>
      <c r="J77" s="18"/>
    </row>
    <row r="78" spans="1:10" x14ac:dyDescent="0.3">
      <c r="A78" s="30"/>
      <c r="B78" s="31"/>
      <c r="C78" s="49"/>
      <c r="D78" s="18"/>
      <c r="E78" s="18"/>
      <c r="F78" s="18"/>
      <c r="G78" s="49"/>
      <c r="H78" s="49"/>
      <c r="I78" s="36"/>
      <c r="J78" s="18"/>
    </row>
    <row r="79" spans="1:10" x14ac:dyDescent="0.3">
      <c r="A79" s="30"/>
      <c r="B79" s="31"/>
      <c r="C79" s="49"/>
      <c r="D79" s="18"/>
      <c r="E79" s="18"/>
      <c r="F79" s="18"/>
      <c r="G79" s="49"/>
      <c r="H79" s="49"/>
      <c r="I79" s="36"/>
      <c r="J79" s="18"/>
    </row>
    <row r="80" spans="1:10" x14ac:dyDescent="0.3">
      <c r="A80" s="30"/>
      <c r="B80" s="31"/>
      <c r="C80" s="49"/>
      <c r="D80" s="18"/>
      <c r="E80" s="18"/>
      <c r="F80" s="18"/>
      <c r="G80" s="49"/>
      <c r="H80" s="49"/>
      <c r="I80" s="36"/>
      <c r="J80" s="18"/>
    </row>
    <row r="81" spans="1:10" x14ac:dyDescent="0.3">
      <c r="A81" s="30"/>
      <c r="B81" s="31"/>
      <c r="C81" s="49"/>
      <c r="D81" s="18"/>
      <c r="E81" s="18"/>
      <c r="F81" s="18"/>
      <c r="G81" s="49"/>
      <c r="H81" s="49"/>
      <c r="I81" s="36"/>
      <c r="J81" s="18"/>
    </row>
    <row r="82" spans="1:10" x14ac:dyDescent="0.3">
      <c r="A82" s="30"/>
      <c r="B82" s="31"/>
      <c r="C82" s="49"/>
      <c r="D82" s="18"/>
      <c r="E82" s="18"/>
      <c r="F82" s="18"/>
      <c r="G82" s="49"/>
      <c r="H82" s="49"/>
      <c r="I82" s="36"/>
      <c r="J82" s="18"/>
    </row>
    <row r="83" spans="1:10" x14ac:dyDescent="0.3">
      <c r="A83" s="30"/>
      <c r="B83" s="31"/>
      <c r="C83" s="49"/>
      <c r="D83" s="18"/>
      <c r="E83" s="18"/>
      <c r="F83" s="18"/>
      <c r="G83" s="49"/>
      <c r="H83" s="49"/>
      <c r="I83" s="36"/>
      <c r="J83" s="18"/>
    </row>
    <row r="84" spans="1:10" x14ac:dyDescent="0.3">
      <c r="A84" s="30"/>
      <c r="B84" s="31"/>
      <c r="C84" s="49"/>
      <c r="D84" s="18"/>
      <c r="E84" s="18"/>
      <c r="F84" s="18"/>
      <c r="G84" s="49"/>
      <c r="H84" s="49"/>
      <c r="I84" s="36"/>
      <c r="J84" s="18"/>
    </row>
    <row r="85" spans="1:10" x14ac:dyDescent="0.3">
      <c r="A85" s="30"/>
      <c r="B85" s="31"/>
      <c r="C85" s="49"/>
      <c r="D85" s="18"/>
      <c r="E85" s="18"/>
      <c r="F85" s="18"/>
      <c r="G85" s="49"/>
      <c r="H85" s="49"/>
      <c r="I85" s="36"/>
      <c r="J85" s="18"/>
    </row>
    <row r="86" spans="1:10" x14ac:dyDescent="0.3">
      <c r="A86" s="30"/>
      <c r="B86" s="31"/>
      <c r="C86" s="49"/>
      <c r="D86" s="18"/>
      <c r="E86" s="18"/>
      <c r="F86" s="18"/>
      <c r="G86" s="49"/>
      <c r="H86" s="49"/>
      <c r="I86" s="36"/>
      <c r="J86" s="18"/>
    </row>
    <row r="87" spans="1:10" x14ac:dyDescent="0.3">
      <c r="A87" s="30"/>
      <c r="B87" s="31"/>
      <c r="C87" s="49"/>
      <c r="D87" s="18"/>
      <c r="E87" s="18"/>
      <c r="F87" s="18"/>
      <c r="G87" s="49"/>
      <c r="H87" s="49"/>
      <c r="I87" s="36"/>
      <c r="J87" s="18"/>
    </row>
    <row r="88" spans="1:10" x14ac:dyDescent="0.3">
      <c r="A88" s="30"/>
      <c r="B88" s="31"/>
      <c r="C88" s="49"/>
      <c r="D88" s="18"/>
      <c r="E88" s="18"/>
      <c r="F88" s="18"/>
      <c r="G88" s="49"/>
      <c r="H88" s="49"/>
      <c r="I88" s="36"/>
      <c r="J88" s="18"/>
    </row>
    <row r="89" spans="1:10" x14ac:dyDescent="0.3">
      <c r="A89" s="30"/>
      <c r="B89" s="31"/>
      <c r="C89" s="49"/>
      <c r="D89" s="18"/>
      <c r="E89" s="18"/>
      <c r="F89" s="18"/>
      <c r="G89" s="49"/>
      <c r="H89" s="49"/>
      <c r="I89" s="36"/>
      <c r="J89" s="18"/>
    </row>
    <row r="90" spans="1:10" x14ac:dyDescent="0.3">
      <c r="A90" s="30"/>
      <c r="B90" s="31"/>
      <c r="C90" s="49"/>
      <c r="D90" s="18"/>
      <c r="E90" s="18"/>
      <c r="F90" s="18"/>
      <c r="G90" s="49"/>
      <c r="H90" s="49"/>
      <c r="I90" s="36"/>
      <c r="J90" s="18"/>
    </row>
    <row r="91" spans="1:10" x14ac:dyDescent="0.3">
      <c r="A91" s="30"/>
      <c r="B91" s="31"/>
      <c r="C91" s="49"/>
      <c r="D91" s="18"/>
      <c r="E91" s="18"/>
      <c r="F91" s="18"/>
      <c r="G91" s="49"/>
      <c r="H91" s="49"/>
      <c r="I91" s="36"/>
      <c r="J91" s="18"/>
    </row>
    <row r="92" spans="1:10" x14ac:dyDescent="0.3">
      <c r="A92" s="30"/>
      <c r="B92" s="31"/>
      <c r="C92" s="49"/>
      <c r="D92" s="18"/>
      <c r="E92" s="18"/>
      <c r="F92" s="18"/>
      <c r="G92" s="49"/>
      <c r="H92" s="49"/>
      <c r="I92" s="36"/>
      <c r="J92" s="18"/>
    </row>
    <row r="93" spans="1:10" x14ac:dyDescent="0.3">
      <c r="A93" s="30"/>
      <c r="B93" s="31"/>
      <c r="C93" s="49"/>
      <c r="D93" s="18"/>
      <c r="E93" s="18"/>
      <c r="F93" s="18"/>
      <c r="G93" s="49"/>
      <c r="H93" s="49"/>
      <c r="I93" s="36"/>
      <c r="J93" s="18"/>
    </row>
    <row r="94" spans="1:10" x14ac:dyDescent="0.3">
      <c r="A94" s="30"/>
      <c r="B94" s="31"/>
      <c r="C94" s="49"/>
      <c r="D94" s="18"/>
      <c r="E94" s="18"/>
      <c r="F94" s="18"/>
      <c r="G94" s="49"/>
      <c r="H94" s="49"/>
      <c r="I94" s="36"/>
      <c r="J94" s="18"/>
    </row>
    <row r="95" spans="1:10" x14ac:dyDescent="0.3">
      <c r="A95" s="30"/>
      <c r="B95" s="31"/>
      <c r="C95" s="49"/>
      <c r="D95" s="18"/>
      <c r="E95" s="18"/>
      <c r="F95" s="18"/>
      <c r="G95" s="49"/>
      <c r="H95" s="49"/>
      <c r="I95" s="36"/>
      <c r="J95" s="18"/>
    </row>
    <row r="96" spans="1:10" x14ac:dyDescent="0.3">
      <c r="A96" s="30"/>
      <c r="B96" s="31"/>
      <c r="C96" s="49"/>
      <c r="D96" s="18"/>
      <c r="E96" s="18"/>
      <c r="F96" s="18"/>
      <c r="G96" s="49"/>
      <c r="H96" s="49"/>
      <c r="I96" s="36"/>
      <c r="J96" s="18"/>
    </row>
    <row r="97" spans="1:10" x14ac:dyDescent="0.3">
      <c r="A97" s="30"/>
      <c r="B97" s="31"/>
      <c r="C97" s="49"/>
      <c r="D97" s="18"/>
      <c r="E97" s="18"/>
      <c r="F97" s="18"/>
      <c r="G97" s="49"/>
      <c r="H97" s="49"/>
      <c r="I97" s="36"/>
      <c r="J97" s="18"/>
    </row>
    <row r="98" spans="1:10" x14ac:dyDescent="0.3">
      <c r="A98" s="30"/>
      <c r="B98" s="31"/>
      <c r="C98" s="49"/>
      <c r="D98" s="18"/>
      <c r="E98" s="18"/>
      <c r="F98" s="18"/>
      <c r="G98" s="49"/>
      <c r="H98" s="49"/>
      <c r="I98" s="36"/>
      <c r="J98" s="18"/>
    </row>
    <row r="99" spans="1:10" x14ac:dyDescent="0.3">
      <c r="A99" s="30"/>
      <c r="B99" s="31"/>
      <c r="C99" s="49"/>
      <c r="D99" s="18"/>
      <c r="E99" s="18"/>
      <c r="F99" s="18"/>
      <c r="G99" s="49"/>
      <c r="H99" s="49"/>
      <c r="I99" s="36"/>
      <c r="J99" s="18"/>
    </row>
  </sheetData>
  <mergeCells count="39">
    <mergeCell ref="C39:D39"/>
    <mergeCell ref="C40:D40"/>
    <mergeCell ref="D41:E41"/>
    <mergeCell ref="C33:D33"/>
    <mergeCell ref="C34:D34"/>
    <mergeCell ref="C35:D35"/>
    <mergeCell ref="C36:D36"/>
    <mergeCell ref="C37:D37"/>
    <mergeCell ref="C38:D38"/>
    <mergeCell ref="C32:D32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20:D20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B2:I2"/>
    <mergeCell ref="D4:H4"/>
    <mergeCell ref="A5:I5"/>
    <mergeCell ref="C6:H6"/>
    <mergeCell ref="D8:E8"/>
    <mergeCell ref="F8:H8"/>
  </mergeCells>
  <pageMargins left="0.7" right="0.7" top="0.75" bottom="0.75" header="0.3" footer="0.3"/>
  <pageSetup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9E418-419D-4C54-95F0-188AE86CCFBB}">
  <dimension ref="A1:L99"/>
  <sheetViews>
    <sheetView showGridLines="0" tabSelected="1" workbookViewId="0">
      <selection activeCell="K41" sqref="K41"/>
    </sheetView>
  </sheetViews>
  <sheetFormatPr defaultRowHeight="18" x14ac:dyDescent="0.35"/>
  <cols>
    <col min="1" max="1" width="2.33203125" customWidth="1"/>
    <col min="2" max="2" width="2.5546875" customWidth="1"/>
    <col min="3" max="3" width="6.109375" style="10" customWidth="1"/>
    <col min="4" max="4" width="4.6640625" style="84" customWidth="1"/>
    <col min="5" max="5" width="32.21875" style="75" customWidth="1"/>
    <col min="6" max="6" width="3.6640625" style="7" customWidth="1"/>
    <col min="7" max="7" width="3.88671875" style="7" customWidth="1"/>
    <col min="8" max="8" width="33.33203125" style="75" customWidth="1"/>
    <col min="9" max="9" width="3.6640625" style="19" customWidth="1"/>
    <col min="10" max="10" width="6.5546875" style="15" customWidth="1"/>
    <col min="11" max="11" width="51.5546875" style="8" customWidth="1"/>
  </cols>
  <sheetData>
    <row r="1" spans="1:12" x14ac:dyDescent="0.35">
      <c r="C1" s="3"/>
      <c r="D1" s="82"/>
      <c r="E1" s="73"/>
      <c r="F1" s="6"/>
      <c r="G1" s="6"/>
      <c r="H1" s="13"/>
      <c r="I1" s="6"/>
      <c r="J1" s="13"/>
      <c r="K1" s="2"/>
      <c r="L1" s="24"/>
    </row>
    <row r="2" spans="1:12" ht="23.4" x14ac:dyDescent="0.45">
      <c r="C2" s="3"/>
      <c r="D2" s="87" t="s">
        <v>91</v>
      </c>
      <c r="E2" s="87"/>
      <c r="F2" s="87"/>
      <c r="G2" s="87"/>
      <c r="H2" s="87"/>
      <c r="I2" s="87"/>
      <c r="J2" s="87"/>
      <c r="K2" s="85"/>
      <c r="L2" s="26"/>
    </row>
    <row r="3" spans="1:12" ht="23.4" x14ac:dyDescent="0.45">
      <c r="C3" s="3"/>
      <c r="D3" s="82"/>
      <c r="E3" s="97" t="s">
        <v>92</v>
      </c>
      <c r="F3" s="97"/>
      <c r="G3" s="97"/>
      <c r="H3" s="97"/>
      <c r="I3" s="29"/>
      <c r="J3" s="14"/>
      <c r="K3" s="85"/>
      <c r="L3" s="26"/>
    </row>
    <row r="4" spans="1:12" ht="23.4" x14ac:dyDescent="0.45">
      <c r="C4" s="30"/>
      <c r="D4" s="82"/>
      <c r="E4" s="88" t="s">
        <v>90</v>
      </c>
      <c r="F4" s="88"/>
      <c r="G4" s="88"/>
      <c r="H4" s="88"/>
      <c r="I4" s="88"/>
      <c r="J4" s="88"/>
      <c r="K4" s="51"/>
      <c r="L4" s="26"/>
    </row>
    <row r="5" spans="1:12" ht="21" x14ac:dyDescent="0.4">
      <c r="K5" s="86"/>
      <c r="L5" s="35"/>
    </row>
    <row r="6" spans="1:12" ht="21" x14ac:dyDescent="0.4">
      <c r="C6" s="30"/>
      <c r="D6" s="89" t="s">
        <v>98</v>
      </c>
      <c r="E6" s="89"/>
      <c r="F6" s="89"/>
      <c r="G6" s="89"/>
      <c r="H6" s="89"/>
      <c r="I6" s="89"/>
      <c r="J6" s="89"/>
      <c r="K6" s="86"/>
      <c r="L6" s="35"/>
    </row>
    <row r="7" spans="1:12" x14ac:dyDescent="0.35">
      <c r="C7" s="30"/>
      <c r="D7" s="82"/>
      <c r="E7" s="74"/>
      <c r="F7" s="28"/>
      <c r="G7" s="28"/>
      <c r="H7" s="74"/>
      <c r="I7" s="29"/>
      <c r="J7" s="36"/>
      <c r="K7" s="18"/>
      <c r="L7" s="26"/>
    </row>
    <row r="8" spans="1:12" ht="21" x14ac:dyDescent="0.4">
      <c r="A8" s="103"/>
      <c r="B8" s="103"/>
      <c r="C8" s="37"/>
      <c r="D8" s="83"/>
      <c r="F8" s="19"/>
      <c r="G8" s="105"/>
      <c r="H8" s="106" t="str">
        <f>[1]!wwsInput("Type your name here")</f>
        <v>Type your name here</v>
      </c>
      <c r="I8" s="80"/>
      <c r="J8" s="39"/>
      <c r="K8" s="40" t="s">
        <v>97</v>
      </c>
      <c r="L8" s="35"/>
    </row>
    <row r="9" spans="1:12" ht="21" x14ac:dyDescent="0.4">
      <c r="A9" s="104" t="s">
        <v>6</v>
      </c>
      <c r="B9" s="104" t="s">
        <v>7</v>
      </c>
      <c r="C9" s="41">
        <f>IF(J9="*",1,0)</f>
        <v>1</v>
      </c>
      <c r="D9" s="78">
        <v>1</v>
      </c>
      <c r="E9" s="108" t="str">
        <f>[1]!wwsCheckbox(A9,1,FALSE)</f>
        <v>He should start?</v>
      </c>
      <c r="F9" s="109"/>
      <c r="G9" s="107"/>
      <c r="H9" s="109" t="str">
        <f>[1]!wwsCheckbox(B9,1,FALSE)</f>
        <v>Should he start?</v>
      </c>
      <c r="I9" s="110"/>
      <c r="J9" s="32" t="str">
        <f>IF(H9=B9,"*","?")</f>
        <v>*</v>
      </c>
      <c r="K9" s="44" t="str">
        <f>IF(A9=E9,"Modal, then subject, then verb.","")</f>
        <v>Modal, then subject, then verb.</v>
      </c>
      <c r="L9" s="45" t="s">
        <v>8</v>
      </c>
    </row>
    <row r="10" spans="1:12" ht="21" x14ac:dyDescent="0.4">
      <c r="A10" s="104" t="s">
        <v>9</v>
      </c>
      <c r="B10" s="104" t="s">
        <v>10</v>
      </c>
      <c r="C10" s="41">
        <f t="shared" ref="C10:C40" si="0">IF(J10="*",1,0)</f>
        <v>1</v>
      </c>
      <c r="D10" s="78">
        <v>2</v>
      </c>
      <c r="E10" s="108" t="str">
        <f>[1]!wwsCheckbox(A10,2,FALSE)</f>
        <v>Is it expensive?</v>
      </c>
      <c r="F10" s="109"/>
      <c r="G10" s="107"/>
      <c r="H10" s="109" t="str">
        <f>[1]!wwsCheckbox(B10,2,FALSE)</f>
        <v>It is expensive?</v>
      </c>
      <c r="I10" s="110"/>
      <c r="J10" s="32" t="str">
        <f>IF(E10=A10,"*","?")</f>
        <v>*</v>
      </c>
      <c r="K10" s="44" t="str">
        <f>IF(B10=H10,"'Be' verb before subject.","")</f>
        <v>'Be' verb before subject.</v>
      </c>
      <c r="L10" s="45" t="s">
        <v>11</v>
      </c>
    </row>
    <row r="11" spans="1:12" ht="21" x14ac:dyDescent="0.4">
      <c r="A11" s="104" t="s">
        <v>12</v>
      </c>
      <c r="B11" s="104" t="s">
        <v>13</v>
      </c>
      <c r="C11" s="41">
        <f t="shared" si="0"/>
        <v>1</v>
      </c>
      <c r="D11" s="78">
        <v>3</v>
      </c>
      <c r="E11" s="108" t="str">
        <f>[1]!wwsCheckbox(A11,3,FALSE)</f>
        <v>Is she smart?</v>
      </c>
      <c r="F11" s="109"/>
      <c r="G11" s="107"/>
      <c r="H11" s="109" t="str">
        <f>[1]!wwsCheckbox(B11,3,FALSE)</f>
        <v>She is smart?</v>
      </c>
      <c r="I11" s="110"/>
      <c r="J11" s="32" t="str">
        <f>IF(E11=A11,"*","?")</f>
        <v>*</v>
      </c>
      <c r="K11" s="44" t="str">
        <f>IF(B11=H11,"'Be' verb before subject.","")</f>
        <v>'Be' verb before subject.</v>
      </c>
      <c r="L11" s="45" t="s">
        <v>14</v>
      </c>
    </row>
    <row r="12" spans="1:12" ht="21" x14ac:dyDescent="0.4">
      <c r="A12" s="104" t="s">
        <v>15</v>
      </c>
      <c r="B12" s="104" t="s">
        <v>16</v>
      </c>
      <c r="C12" s="41">
        <f t="shared" si="0"/>
        <v>1</v>
      </c>
      <c r="D12" s="78">
        <v>4</v>
      </c>
      <c r="E12" s="108" t="str">
        <f>[1]!wwsCheckbox(A12,4,FALSE)</f>
        <v>Is he a boy?</v>
      </c>
      <c r="F12" s="109"/>
      <c r="G12" s="107"/>
      <c r="H12" s="109" t="str">
        <f>[1]!wwsCheckbox(B12,4,FALSE)</f>
        <v>He is a boy?</v>
      </c>
      <c r="I12" s="110"/>
      <c r="J12" s="32" t="str">
        <f>IF(E12=A12,"*","?")</f>
        <v>*</v>
      </c>
      <c r="K12" s="44" t="str">
        <f>IF(B12=H12,"'Be' verb before subject.","")</f>
        <v>'Be' verb before subject.</v>
      </c>
      <c r="L12" s="45" t="s">
        <v>17</v>
      </c>
    </row>
    <row r="13" spans="1:12" ht="21" x14ac:dyDescent="0.4">
      <c r="A13" s="104" t="s">
        <v>18</v>
      </c>
      <c r="B13" s="104" t="s">
        <v>19</v>
      </c>
      <c r="C13" s="41">
        <f t="shared" si="0"/>
        <v>1</v>
      </c>
      <c r="D13" s="78">
        <v>5</v>
      </c>
      <c r="E13" s="108" t="str">
        <f>[1]!wwsCheckbox(A13,5,FALSE)</f>
        <v>Can she start soon?</v>
      </c>
      <c r="F13" s="109"/>
      <c r="G13" s="107"/>
      <c r="H13" s="109" t="str">
        <f>[1]!wwsCheckbox(B13,5,FALSE)</f>
        <v>She can start soon?</v>
      </c>
      <c r="I13" s="110"/>
      <c r="J13" s="32" t="str">
        <f>IF(E13=A13,"*","?")</f>
        <v>*</v>
      </c>
      <c r="K13" s="44" t="str">
        <f>IF(B13=H13,"Modal, then subject, then verb.","")</f>
        <v>Modal, then subject, then verb.</v>
      </c>
      <c r="L13" s="45" t="s">
        <v>20</v>
      </c>
    </row>
    <row r="14" spans="1:12" ht="21" x14ac:dyDescent="0.4">
      <c r="A14" s="104" t="s">
        <v>7</v>
      </c>
      <c r="B14" s="104" t="s">
        <v>6</v>
      </c>
      <c r="C14" s="41">
        <f t="shared" si="0"/>
        <v>1</v>
      </c>
      <c r="D14" s="78">
        <v>6</v>
      </c>
      <c r="E14" s="108" t="str">
        <f>[1]!wwsCheckbox(A14,6,FALSE)</f>
        <v>Should he start?</v>
      </c>
      <c r="F14" s="109"/>
      <c r="G14" s="107"/>
      <c r="H14" s="109" t="str">
        <f>[1]!wwsCheckbox(B14,6,FALSE)</f>
        <v>He should start?</v>
      </c>
      <c r="I14" s="110"/>
      <c r="J14" s="32" t="str">
        <f>IF(E14=A14,"*","?")</f>
        <v>*</v>
      </c>
      <c r="K14" s="44" t="str">
        <f>IF(B14=H14,"Modal, then subject, then verb.","")</f>
        <v>Modal, then subject, then verb.</v>
      </c>
      <c r="L14" s="45" t="s">
        <v>21</v>
      </c>
    </row>
    <row r="15" spans="1:12" ht="21" x14ac:dyDescent="0.4">
      <c r="A15" s="104" t="s">
        <v>22</v>
      </c>
      <c r="B15" s="104" t="s">
        <v>23</v>
      </c>
      <c r="C15" s="41">
        <f t="shared" si="0"/>
        <v>1</v>
      </c>
      <c r="D15" s="78">
        <v>7</v>
      </c>
      <c r="E15" s="108" t="str">
        <f>[1]!wwsCheckbox(A15,7,FALSE)</f>
        <v>It will end tomorrow?</v>
      </c>
      <c r="F15" s="109"/>
      <c r="G15" s="107"/>
      <c r="H15" s="109" t="str">
        <f>[1]!wwsCheckbox(B15,7,FALSE)</f>
        <v>Will it end tomorrow?</v>
      </c>
      <c r="I15" s="110"/>
      <c r="J15" s="32" t="str">
        <f>IF(H15=B15,"*","?")</f>
        <v>*</v>
      </c>
      <c r="K15" s="44" t="str">
        <f>IF(A15=E15,"Modal, then subject, then verb.","")</f>
        <v>Modal, then subject, then verb.</v>
      </c>
      <c r="L15" s="45" t="s">
        <v>24</v>
      </c>
    </row>
    <row r="16" spans="1:12" ht="21" x14ac:dyDescent="0.4">
      <c r="A16" s="104" t="s">
        <v>25</v>
      </c>
      <c r="B16" s="104" t="s">
        <v>26</v>
      </c>
      <c r="C16" s="41">
        <f t="shared" si="0"/>
        <v>1</v>
      </c>
      <c r="D16" s="78">
        <v>8</v>
      </c>
      <c r="E16" s="108" t="str">
        <f>[1]!wwsCheckbox(A16,8,FALSE)</f>
        <v>Will be it here?</v>
      </c>
      <c r="F16" s="109"/>
      <c r="G16" s="107"/>
      <c r="H16" s="109" t="str">
        <f>[1]!wwsCheckbox(B16,8,FALSE)</f>
        <v>Will it be here?</v>
      </c>
      <c r="I16" s="110"/>
      <c r="J16" s="32" t="str">
        <f>IF(H16=B16,"*","?")</f>
        <v>*</v>
      </c>
      <c r="K16" s="44" t="str">
        <f>IF(A16=E16,"Modal, then subject, then verb.","")</f>
        <v>Modal, then subject, then verb.</v>
      </c>
      <c r="L16" s="45" t="s">
        <v>27</v>
      </c>
    </row>
    <row r="17" spans="1:12" ht="21" x14ac:dyDescent="0.4">
      <c r="A17" s="104" t="s">
        <v>28</v>
      </c>
      <c r="B17" s="104" t="s">
        <v>29</v>
      </c>
      <c r="C17" s="41">
        <f t="shared" si="0"/>
        <v>1</v>
      </c>
      <c r="D17" s="78">
        <v>9</v>
      </c>
      <c r="E17" s="108" t="str">
        <f>[1]!wwsCheckbox(A17,9,FALSE)</f>
        <v>Is the girl happy?</v>
      </c>
      <c r="F17" s="109"/>
      <c r="G17" s="107"/>
      <c r="H17" s="109" t="str">
        <f>[1]!wwsCheckbox(B17,9,FALSE)</f>
        <v>The girl is happy?</v>
      </c>
      <c r="I17" s="110"/>
      <c r="J17" s="32" t="str">
        <f>IF(E17=A17,"*","?")</f>
        <v>*</v>
      </c>
      <c r="K17" s="44" t="str">
        <f>IF(B17=H17,"'Be' verb before subject.","")</f>
        <v>'Be' verb before subject.</v>
      </c>
      <c r="L17" s="45" t="s">
        <v>30</v>
      </c>
    </row>
    <row r="18" spans="1:12" ht="21" x14ac:dyDescent="0.4">
      <c r="A18" s="104" t="s">
        <v>31</v>
      </c>
      <c r="B18" s="104" t="s">
        <v>32</v>
      </c>
      <c r="C18" s="41">
        <f t="shared" si="0"/>
        <v>1</v>
      </c>
      <c r="D18" s="78">
        <v>10</v>
      </c>
      <c r="E18" s="108" t="str">
        <f>[1]!wwsCheckbox(A18,10,FALSE)</f>
        <v>Is he not here?</v>
      </c>
      <c r="F18" s="109"/>
      <c r="G18" s="107"/>
      <c r="H18" s="109" t="str">
        <f>[1]!wwsCheckbox(B18,10,FALSE)</f>
        <v>He not here?</v>
      </c>
      <c r="I18" s="110"/>
      <c r="J18" s="32" t="str">
        <f>IF(E18=A18,"*","?")</f>
        <v>*</v>
      </c>
      <c r="K18" s="44" t="str">
        <f>IF(B18=H18,"'Be' verb before subject.","")</f>
        <v>'Be' verb before subject.</v>
      </c>
      <c r="L18" s="45" t="s">
        <v>33</v>
      </c>
    </row>
    <row r="19" spans="1:12" ht="21" x14ac:dyDescent="0.4">
      <c r="A19" s="104" t="s">
        <v>34</v>
      </c>
      <c r="B19" s="104" t="s">
        <v>35</v>
      </c>
      <c r="C19" s="41">
        <f t="shared" si="0"/>
        <v>1</v>
      </c>
      <c r="D19" s="78">
        <v>11</v>
      </c>
      <c r="E19" s="108" t="str">
        <f>[1]!wwsCheckbox(A19,11,FALSE)</f>
        <v>Boys no are here?</v>
      </c>
      <c r="F19" s="109"/>
      <c r="G19" s="107"/>
      <c r="H19" s="109" t="str">
        <f>[1]!wwsCheckbox(B19,11,FALSE)</f>
        <v>Are no boys here?</v>
      </c>
      <c r="I19" s="110"/>
      <c r="J19" s="32" t="str">
        <f>IF(H19=B19,"*","?")</f>
        <v>*</v>
      </c>
      <c r="K19" s="44" t="str">
        <f>IF(A19=E19,"'Be' verb before subject.","")</f>
        <v>'Be' verb before subject.</v>
      </c>
      <c r="L19" s="45" t="s">
        <v>36</v>
      </c>
    </row>
    <row r="20" spans="1:12" ht="21" x14ac:dyDescent="0.4">
      <c r="A20" s="104" t="s">
        <v>37</v>
      </c>
      <c r="B20" s="104" t="s">
        <v>38</v>
      </c>
      <c r="C20" s="41">
        <f t="shared" si="0"/>
        <v>1</v>
      </c>
      <c r="D20" s="78">
        <v>12</v>
      </c>
      <c r="E20" s="108" t="str">
        <f>[1]!wwsCheckbox(A20,12,FALSE)</f>
        <v>Should he be here?</v>
      </c>
      <c r="F20" s="109"/>
      <c r="G20" s="107"/>
      <c r="H20" s="109" t="str">
        <f>[1]!wwsCheckbox(B20,12,FALSE)</f>
        <v>He should be here?</v>
      </c>
      <c r="I20" s="110"/>
      <c r="J20" s="32" t="str">
        <f>IF(E20=A20,"*","?")</f>
        <v>*</v>
      </c>
      <c r="K20" s="44" t="str">
        <f>IF(B20=H20,"Modal, then subject, then verb.","")</f>
        <v>Modal, then subject, then verb.</v>
      </c>
      <c r="L20" s="45" t="s">
        <v>39</v>
      </c>
    </row>
    <row r="21" spans="1:12" ht="21" x14ac:dyDescent="0.4">
      <c r="A21" s="104" t="s">
        <v>40</v>
      </c>
      <c r="B21" s="104" t="s">
        <v>41</v>
      </c>
      <c r="C21" s="41">
        <f t="shared" si="0"/>
        <v>1</v>
      </c>
      <c r="D21" s="78">
        <v>13</v>
      </c>
      <c r="E21" s="108" t="str">
        <f>[1]!wwsCheckbox(A21,13,FALSE)</f>
        <v>Can she start?</v>
      </c>
      <c r="F21" s="109"/>
      <c r="G21" s="107"/>
      <c r="H21" s="109" t="str">
        <f>[1]!wwsCheckbox(B21,13,FALSE)</f>
        <v>She can start?</v>
      </c>
      <c r="I21" s="110"/>
      <c r="J21" s="32" t="str">
        <f>IF(E21=A21,"*","?")</f>
        <v>*</v>
      </c>
      <c r="K21" s="44" t="str">
        <f>IF(B21=H21,"Modal, then subject, then verb.","")</f>
        <v>Modal, then subject, then verb.</v>
      </c>
      <c r="L21" s="45" t="s">
        <v>42</v>
      </c>
    </row>
    <row r="22" spans="1:12" ht="21" x14ac:dyDescent="0.4">
      <c r="A22" s="104" t="s">
        <v>43</v>
      </c>
      <c r="B22" s="104" t="s">
        <v>44</v>
      </c>
      <c r="C22" s="41">
        <f t="shared" si="0"/>
        <v>1</v>
      </c>
      <c r="D22" s="78">
        <v>14</v>
      </c>
      <c r="E22" s="108" t="str">
        <f>[1]!wwsCheckbox(A22,14,FALSE)</f>
        <v>He should no be here?</v>
      </c>
      <c r="F22" s="109"/>
      <c r="G22" s="107"/>
      <c r="H22" s="109" t="str">
        <f>[1]!wwsCheckbox(B22,14,FALSE)</f>
        <v>Should he not be here?</v>
      </c>
      <c r="I22" s="110"/>
      <c r="J22" s="32" t="str">
        <f>IF(H22=B22,"*","?")</f>
        <v>*</v>
      </c>
      <c r="K22" s="44" t="str">
        <f>IF(A22=E22,"Modal, then subject, then verb.","")</f>
        <v>Modal, then subject, then verb.</v>
      </c>
      <c r="L22" s="45" t="s">
        <v>45</v>
      </c>
    </row>
    <row r="23" spans="1:12" ht="21" x14ac:dyDescent="0.4">
      <c r="A23" s="104" t="s">
        <v>46</v>
      </c>
      <c r="B23" s="104" t="s">
        <v>47</v>
      </c>
      <c r="C23" s="41">
        <f t="shared" si="0"/>
        <v>1</v>
      </c>
      <c r="D23" s="78">
        <v>15</v>
      </c>
      <c r="E23" s="108" t="str">
        <f>[1]!wwsCheckbox(A23,15,FALSE)</f>
        <v>The girls are happy?</v>
      </c>
      <c r="F23" s="109"/>
      <c r="G23" s="107"/>
      <c r="H23" s="109" t="str">
        <f>[1]!wwsCheckbox(B23,15,FALSE)</f>
        <v>Are the girls happy?</v>
      </c>
      <c r="I23" s="110"/>
      <c r="J23" s="32" t="str">
        <f>IF(H23=B23,"*","?")</f>
        <v>*</v>
      </c>
      <c r="K23" s="44" t="str">
        <f>IF(A23=E23,"'Be' verb before subject.","")</f>
        <v>'Be' verb before subject.</v>
      </c>
      <c r="L23" s="45" t="s">
        <v>36</v>
      </c>
    </row>
    <row r="24" spans="1:12" ht="21" x14ac:dyDescent="0.4">
      <c r="A24" s="104" t="s">
        <v>95</v>
      </c>
      <c r="B24" s="104" t="s">
        <v>96</v>
      </c>
      <c r="C24" s="41">
        <f t="shared" si="0"/>
        <v>1</v>
      </c>
      <c r="D24" s="78">
        <v>16</v>
      </c>
      <c r="E24" s="108" t="str">
        <f>[1]!wwsCheckbox(A24,16,FALSE)</f>
        <v>Will she go?</v>
      </c>
      <c r="F24" s="109"/>
      <c r="G24" s="107"/>
      <c r="H24" s="109" t="str">
        <f>[1]!wwsCheckbox(B24,16,FALSE)</f>
        <v>She will go?</v>
      </c>
      <c r="I24" s="110"/>
      <c r="J24" s="32" t="str">
        <f>IF(A24=E24,"*","?")</f>
        <v>*</v>
      </c>
      <c r="K24" s="44" t="str">
        <f>IF(B24=H24,"Modal, then subject, then verb.","")</f>
        <v>Modal, then subject, then verb.</v>
      </c>
      <c r="L24" s="45" t="s">
        <v>48</v>
      </c>
    </row>
    <row r="25" spans="1:12" ht="21" x14ac:dyDescent="0.4">
      <c r="A25" s="104" t="s">
        <v>49</v>
      </c>
      <c r="B25" s="104" t="s">
        <v>50</v>
      </c>
      <c r="C25" s="41">
        <f t="shared" si="0"/>
        <v>1</v>
      </c>
      <c r="D25" s="78">
        <v>17</v>
      </c>
      <c r="E25" s="108" t="str">
        <f>[1]!wwsCheckbox(A25,17,FALSE)</f>
        <v>Are three girls here?</v>
      </c>
      <c r="F25" s="109"/>
      <c r="G25" s="107"/>
      <c r="H25" s="109" t="str">
        <f>[1]!wwsCheckbox(B25,17,FALSE)</f>
        <v>Three girls here?</v>
      </c>
      <c r="I25" s="110"/>
      <c r="J25" s="32" t="str">
        <f>IF(A25=E25,"*","?")</f>
        <v>*</v>
      </c>
      <c r="K25" s="44" t="str">
        <f>IF(B25=H25,"'Be' verb before subject.","")</f>
        <v>'Be' verb before subject.</v>
      </c>
      <c r="L25" s="45" t="s">
        <v>36</v>
      </c>
    </row>
    <row r="26" spans="1:12" ht="21" x14ac:dyDescent="0.4">
      <c r="A26" s="104" t="s">
        <v>51</v>
      </c>
      <c r="B26" s="104" t="s">
        <v>52</v>
      </c>
      <c r="C26" s="41">
        <f t="shared" si="0"/>
        <v>1</v>
      </c>
      <c r="D26" s="78">
        <v>18</v>
      </c>
      <c r="E26" s="108" t="str">
        <f>[1]!wwsCheckbox(A26,18,FALSE)</f>
        <v>Is she a girl?</v>
      </c>
      <c r="F26" s="109"/>
      <c r="G26" s="107"/>
      <c r="H26" s="109" t="str">
        <f>[1]!wwsCheckbox(B26,18,FALSE)</f>
        <v>She is a girl?</v>
      </c>
      <c r="I26" s="110"/>
      <c r="J26" s="32" t="str">
        <f>IF(A26=E26,"*","?")</f>
        <v>*</v>
      </c>
      <c r="K26" s="44" t="str">
        <f>IF(B26=H26,"'Be' verb before subject.","")</f>
        <v>'Be' verb before subject.</v>
      </c>
      <c r="L26" s="45" t="s">
        <v>30</v>
      </c>
    </row>
    <row r="27" spans="1:12" ht="21" x14ac:dyDescent="0.4">
      <c r="A27" s="104" t="s">
        <v>53</v>
      </c>
      <c r="B27" s="104" t="s">
        <v>54</v>
      </c>
      <c r="C27" s="41">
        <f t="shared" si="0"/>
        <v>1</v>
      </c>
      <c r="D27" s="78">
        <v>19</v>
      </c>
      <c r="E27" s="108" t="str">
        <f>[1]!wwsCheckbox(A27,19,FALSE)</f>
        <v>Can they wait here?</v>
      </c>
      <c r="F27" s="109"/>
      <c r="G27" s="107"/>
      <c r="H27" s="109" t="str">
        <f>[1]!wwsCheckbox(B27,19,FALSE)</f>
        <v>They can wait here?</v>
      </c>
      <c r="I27" s="110"/>
      <c r="J27" s="32" t="str">
        <f>IF(A27=E27,"*","?")</f>
        <v>*</v>
      </c>
      <c r="K27" s="44" t="str">
        <f>IF(B27=H27,"Modal, then subject, then verb.","")</f>
        <v>Modal, then subject, then verb.</v>
      </c>
      <c r="L27" s="45" t="s">
        <v>55</v>
      </c>
    </row>
    <row r="28" spans="1:12" ht="21" x14ac:dyDescent="0.4">
      <c r="A28" s="104" t="s">
        <v>56</v>
      </c>
      <c r="B28" s="104" t="s">
        <v>57</v>
      </c>
      <c r="C28" s="41">
        <f t="shared" si="0"/>
        <v>1</v>
      </c>
      <c r="D28" s="78">
        <v>20</v>
      </c>
      <c r="E28" s="108" t="str">
        <f>[1]!wwsCheckbox(A28,20,FALSE)</f>
        <v>A boy there?</v>
      </c>
      <c r="F28" s="109"/>
      <c r="G28" s="107"/>
      <c r="H28" s="109" t="str">
        <f>[1]!wwsCheckbox(B28,20,FALSE)</f>
        <v>Is a boy there?</v>
      </c>
      <c r="I28" s="110"/>
      <c r="J28" s="32" t="str">
        <f>IF(H28=B28,"*","?")</f>
        <v>*</v>
      </c>
      <c r="K28" s="44" t="str">
        <f>IF(A28=E28,"'Be' verb before subject.","")</f>
        <v>'Be' verb before subject.</v>
      </c>
      <c r="L28" s="45" t="s">
        <v>30</v>
      </c>
    </row>
    <row r="29" spans="1:12" ht="21" x14ac:dyDescent="0.4">
      <c r="A29" s="104" t="s">
        <v>58</v>
      </c>
      <c r="B29" s="104" t="s">
        <v>59</v>
      </c>
      <c r="C29" s="41">
        <f t="shared" si="0"/>
        <v>1</v>
      </c>
      <c r="D29" s="78">
        <v>21</v>
      </c>
      <c r="E29" s="108" t="str">
        <f>[1]!wwsCheckbox(A29,21,FALSE)</f>
        <v>Are they girls?</v>
      </c>
      <c r="F29" s="109"/>
      <c r="G29" s="107"/>
      <c r="H29" s="109" t="str">
        <f>[1]!wwsCheckbox(B29,21,FALSE)</f>
        <v>They are girls?</v>
      </c>
      <c r="I29" s="110"/>
      <c r="J29" s="32" t="str">
        <f>IF(A29=E29,"*","?")</f>
        <v>*</v>
      </c>
      <c r="K29" s="44" t="str">
        <f>IF(B29=H29,"'Be' verb before subject.","")</f>
        <v>'Be' verb before subject.</v>
      </c>
      <c r="L29" s="45" t="s">
        <v>36</v>
      </c>
    </row>
    <row r="30" spans="1:12" ht="21" x14ac:dyDescent="0.4">
      <c r="A30" s="104" t="s">
        <v>60</v>
      </c>
      <c r="B30" s="104" t="s">
        <v>15</v>
      </c>
      <c r="C30" s="41">
        <f t="shared" si="0"/>
        <v>1</v>
      </c>
      <c r="D30" s="78">
        <v>22</v>
      </c>
      <c r="E30" s="108" t="str">
        <f>[1]!wwsCheckbox(A30,22,FALSE)</f>
        <v>He a boy?</v>
      </c>
      <c r="F30" s="109"/>
      <c r="G30" s="107"/>
      <c r="H30" s="109" t="str">
        <f>[1]!wwsCheckbox(B30,22,FALSE)</f>
        <v>Is he a boy?</v>
      </c>
      <c r="I30" s="110"/>
      <c r="J30" s="32" t="str">
        <f>IF(H30=B30,"*","?")</f>
        <v>*</v>
      </c>
      <c r="K30" s="44" t="str">
        <f>IF(A30=E30,"'Be' verb before subject.","")</f>
        <v>'Be' verb before subject.</v>
      </c>
      <c r="L30" s="45" t="s">
        <v>36</v>
      </c>
    </row>
    <row r="31" spans="1:12" ht="21" x14ac:dyDescent="0.4">
      <c r="A31" s="104" t="s">
        <v>61</v>
      </c>
      <c r="B31" s="104" t="s">
        <v>62</v>
      </c>
      <c r="C31" s="41">
        <f t="shared" si="0"/>
        <v>1</v>
      </c>
      <c r="D31" s="78">
        <v>23</v>
      </c>
      <c r="E31" s="108" t="str">
        <f>[1]!wwsCheckbox(A31,23,FALSE)</f>
        <v>There two cars?</v>
      </c>
      <c r="F31" s="109"/>
      <c r="G31" s="107"/>
      <c r="H31" s="109" t="str">
        <f>[1]!wwsCheckbox(B31,23,FALSE)</f>
        <v>Are there two cars?</v>
      </c>
      <c r="I31" s="110"/>
      <c r="J31" s="32" t="str">
        <f>IF(H31=B31,"*","?")</f>
        <v>*</v>
      </c>
      <c r="K31" s="44" t="str">
        <f>IF(A31=E31,"'Be' verb before subject.","")</f>
        <v>'Be' verb before subject.</v>
      </c>
      <c r="L31" s="45" t="s">
        <v>63</v>
      </c>
    </row>
    <row r="32" spans="1:12" ht="21" x14ac:dyDescent="0.4">
      <c r="A32" s="104" t="s">
        <v>64</v>
      </c>
      <c r="B32" s="104" t="s">
        <v>65</v>
      </c>
      <c r="C32" s="41">
        <f t="shared" si="0"/>
        <v>1</v>
      </c>
      <c r="D32" s="78">
        <v>24</v>
      </c>
      <c r="E32" s="108" t="str">
        <f>[1]!wwsCheckbox(A32,24,FALSE)</f>
        <v>Will they come?</v>
      </c>
      <c r="F32" s="109"/>
      <c r="G32" s="107"/>
      <c r="H32" s="109" t="str">
        <f>[1]!wwsCheckbox(B32,24,FALSE)</f>
        <v>They will come?</v>
      </c>
      <c r="I32" s="110"/>
      <c r="J32" s="32" t="str">
        <f>IF(A32=E32,"*","?")</f>
        <v>*</v>
      </c>
      <c r="K32" s="44" t="str">
        <f>IF(B32=H32,"Modal, then subject, then verb.","")</f>
        <v>Modal, then subject, then verb.</v>
      </c>
      <c r="L32" s="45" t="s">
        <v>42</v>
      </c>
    </row>
    <row r="33" spans="1:12" ht="21" x14ac:dyDescent="0.4">
      <c r="A33" s="104" t="s">
        <v>66</v>
      </c>
      <c r="B33" s="104" t="s">
        <v>67</v>
      </c>
      <c r="C33" s="41">
        <f t="shared" si="0"/>
        <v>1</v>
      </c>
      <c r="D33" s="78">
        <v>25</v>
      </c>
      <c r="E33" s="108" t="str">
        <f>[1]!wwsCheckbox(A33,25,FALSE)</f>
        <v>Is there a car here?</v>
      </c>
      <c r="F33" s="109"/>
      <c r="G33" s="107"/>
      <c r="H33" s="109" t="str">
        <f>[1]!wwsCheckbox(B33,25,FALSE)</f>
        <v>There is a car here?</v>
      </c>
      <c r="I33" s="110"/>
      <c r="J33" s="32" t="str">
        <f>IF(A33=E33,"*","?")</f>
        <v>*</v>
      </c>
      <c r="K33" s="44" t="str">
        <f>IF(B33=H33,"'Be' verb before subject.","")</f>
        <v>'Be' verb before subject.</v>
      </c>
      <c r="L33" s="45" t="s">
        <v>68</v>
      </c>
    </row>
    <row r="34" spans="1:12" ht="21" x14ac:dyDescent="0.4">
      <c r="A34" s="104" t="s">
        <v>69</v>
      </c>
      <c r="B34" s="104" t="s">
        <v>70</v>
      </c>
      <c r="C34" s="41">
        <f t="shared" si="0"/>
        <v>1</v>
      </c>
      <c r="D34" s="78">
        <v>26</v>
      </c>
      <c r="E34" s="108" t="str">
        <f>[1]!wwsCheckbox(A34,26,FALSE)</f>
        <v>It is a car?</v>
      </c>
      <c r="F34" s="109"/>
      <c r="G34" s="107"/>
      <c r="H34" s="109" t="str">
        <f>[1]!wwsCheckbox(B34,26,FALSE)</f>
        <v>Is it a car?</v>
      </c>
      <c r="I34" s="110"/>
      <c r="J34" s="32" t="str">
        <f>IF(H34=B34,"*","?")</f>
        <v>*</v>
      </c>
      <c r="K34" s="44" t="str">
        <f>IF(A34=E34,"'Be' verb before subject.","")</f>
        <v>'Be' verb before subject.</v>
      </c>
      <c r="L34" s="45" t="s">
        <v>71</v>
      </c>
    </row>
    <row r="35" spans="1:12" ht="21" x14ac:dyDescent="0.4">
      <c r="A35" s="104" t="s">
        <v>72</v>
      </c>
      <c r="B35" s="104" t="s">
        <v>73</v>
      </c>
      <c r="C35" s="41">
        <f t="shared" si="0"/>
        <v>1</v>
      </c>
      <c r="D35" s="78">
        <v>27</v>
      </c>
      <c r="E35" s="108" t="str">
        <f>[1]!wwsCheckbox(A35,27,FALSE)</f>
        <v>Are they bananas?</v>
      </c>
      <c r="F35" s="109"/>
      <c r="G35" s="107"/>
      <c r="H35" s="109" t="str">
        <f>[1]!wwsCheckbox(B35,27,FALSE)</f>
        <v>They are bananas?</v>
      </c>
      <c r="I35" s="110"/>
      <c r="J35" s="32" t="str">
        <f>IF(A35=E35,"*","?")</f>
        <v>*</v>
      </c>
      <c r="K35" s="44" t="str">
        <f>IF(B35=H35,"'Be' verb before subject.","")</f>
        <v>'Be' verb before subject.</v>
      </c>
      <c r="L35" s="45" t="s">
        <v>74</v>
      </c>
    </row>
    <row r="36" spans="1:12" ht="21" x14ac:dyDescent="0.4">
      <c r="A36" s="104" t="s">
        <v>65</v>
      </c>
      <c r="B36" s="104" t="s">
        <v>64</v>
      </c>
      <c r="C36" s="41">
        <f t="shared" si="0"/>
        <v>1</v>
      </c>
      <c r="D36" s="78">
        <v>28</v>
      </c>
      <c r="E36" s="108" t="str">
        <f>[1]!wwsCheckbox(A36,28,FALSE)</f>
        <v>They will come?</v>
      </c>
      <c r="F36" s="109"/>
      <c r="G36" s="107"/>
      <c r="H36" s="109" t="str">
        <f>[1]!wwsCheckbox(B36,28,FALSE)</f>
        <v>Will they come?</v>
      </c>
      <c r="I36" s="110"/>
      <c r="J36" s="32" t="str">
        <f>IF(H36=B36,"*","?")</f>
        <v>*</v>
      </c>
      <c r="K36" s="44" t="str">
        <f>IF(A36=E36,"Modal, then subject, then verb.","")</f>
        <v>Modal, then subject, then verb.</v>
      </c>
      <c r="L36" s="45" t="s">
        <v>75</v>
      </c>
    </row>
    <row r="37" spans="1:12" ht="21" x14ac:dyDescent="0.4">
      <c r="A37" s="104" t="s">
        <v>76</v>
      </c>
      <c r="B37" s="104" t="s">
        <v>77</v>
      </c>
      <c r="C37" s="41">
        <f t="shared" si="0"/>
        <v>1</v>
      </c>
      <c r="D37" s="78">
        <v>29</v>
      </c>
      <c r="E37" s="108" t="str">
        <f>[1]!wwsCheckbox(A37,29,FALSE)</f>
        <v>Are the boys here?</v>
      </c>
      <c r="F37" s="109"/>
      <c r="G37" s="107"/>
      <c r="H37" s="109" t="str">
        <f>[1]!wwsCheckbox(B37,29,FALSE)</f>
        <v>The boys here?</v>
      </c>
      <c r="I37" s="110"/>
      <c r="J37" s="32" t="str">
        <f>IF(A37=E37,"*","?")</f>
        <v>*</v>
      </c>
      <c r="K37" s="44" t="str">
        <f>IF(B37=H37,"'Be' verb before subject.","")</f>
        <v>'Be' verb before subject.</v>
      </c>
      <c r="L37" s="45" t="s">
        <v>30</v>
      </c>
    </row>
    <row r="38" spans="1:12" ht="21" x14ac:dyDescent="0.4">
      <c r="A38" s="104" t="s">
        <v>99</v>
      </c>
      <c r="B38" s="104" t="s">
        <v>100</v>
      </c>
      <c r="C38" s="41">
        <f t="shared" si="0"/>
        <v>1</v>
      </c>
      <c r="D38" s="78">
        <v>30</v>
      </c>
      <c r="E38" s="108" t="str">
        <f>[1]!wwsCheckbox(A38,30,FALSE)</f>
        <v>He no can speak French?</v>
      </c>
      <c r="F38" s="109"/>
      <c r="G38" s="107"/>
      <c r="H38" s="109" t="str">
        <f>[1]!wwsCheckbox(B38,30,FALSE)</f>
        <v>Can he not speak French?</v>
      </c>
      <c r="I38" s="110"/>
      <c r="J38" s="32" t="str">
        <f>IF(H38=B38,"*","?")</f>
        <v>*</v>
      </c>
      <c r="K38" s="44" t="str">
        <f>IF(A38=E38,"Modal, then subject, then verb.","")</f>
        <v>Modal, then subject, then verb.</v>
      </c>
      <c r="L38" s="45" t="s">
        <v>80</v>
      </c>
    </row>
    <row r="39" spans="1:12" ht="21" x14ac:dyDescent="0.4">
      <c r="A39" s="104" t="s">
        <v>81</v>
      </c>
      <c r="B39" s="104" t="s">
        <v>82</v>
      </c>
      <c r="C39" s="41">
        <f t="shared" si="0"/>
        <v>1</v>
      </c>
      <c r="D39" s="78">
        <v>31</v>
      </c>
      <c r="E39" s="108" t="str">
        <f>[1]!wwsCheckbox(A39,31,FALSE)</f>
        <v>Will it not be here?</v>
      </c>
      <c r="F39" s="109"/>
      <c r="G39" s="107"/>
      <c r="H39" s="109" t="str">
        <f>[1]!wwsCheckbox(B39,31,FALSE)</f>
        <v>It will be not here?</v>
      </c>
      <c r="I39" s="110"/>
      <c r="J39" s="32" t="str">
        <f>IF(A39=E39,"*","?")</f>
        <v>*</v>
      </c>
      <c r="K39" s="44" t="str">
        <f>IF(B39=H39,"Modal, then subject, then verb.","")</f>
        <v>Modal, then subject, then verb.</v>
      </c>
      <c r="L39" s="45" t="s">
        <v>83</v>
      </c>
    </row>
    <row r="40" spans="1:12" ht="21" x14ac:dyDescent="0.4">
      <c r="A40" s="104" t="s">
        <v>84</v>
      </c>
      <c r="B40" s="104" t="s">
        <v>85</v>
      </c>
      <c r="C40" s="41">
        <f t="shared" si="0"/>
        <v>1</v>
      </c>
      <c r="D40" s="78">
        <v>32</v>
      </c>
      <c r="E40" s="108" t="str">
        <f>[1]!wwsCheckbox(A40,32,FALSE)</f>
        <v>They happy?</v>
      </c>
      <c r="F40" s="109"/>
      <c r="G40" s="107"/>
      <c r="H40" s="109" t="str">
        <f>[1]!wwsCheckbox(B40,32,FALSE)</f>
        <v>Are they happy?</v>
      </c>
      <c r="I40" s="110"/>
      <c r="J40" s="32" t="str">
        <f>IF(H40=B40,"*","?")</f>
        <v>*</v>
      </c>
      <c r="K40" s="44" t="str">
        <f>IF(A40=E40,"'Be' verb before subject.","")</f>
        <v>'Be' verb before subject.</v>
      </c>
      <c r="L40" s="45" t="s">
        <v>86</v>
      </c>
    </row>
    <row r="41" spans="1:12" ht="21" x14ac:dyDescent="0.4">
      <c r="A41" s="103"/>
      <c r="B41" s="103"/>
      <c r="C41" s="37"/>
      <c r="D41" s="82"/>
      <c r="E41" s="77"/>
      <c r="F41" s="96">
        <f>SUM(C9:C40)/32</f>
        <v>1</v>
      </c>
      <c r="G41" s="96"/>
      <c r="H41" s="81" t="s">
        <v>87</v>
      </c>
      <c r="I41" s="59"/>
      <c r="J41" s="34"/>
      <c r="K41" s="111" t="str">
        <f>[1]!wwsSetup("useHTTPS", TRUE)</f>
        <v>useHTTPS = "True"</v>
      </c>
      <c r="L41" s="35"/>
    </row>
    <row r="42" spans="1:12" ht="21" x14ac:dyDescent="0.4">
      <c r="A42" s="103"/>
      <c r="B42" s="103"/>
      <c r="C42" s="30"/>
      <c r="D42" s="82"/>
      <c r="E42" s="74"/>
      <c r="F42" s="28"/>
      <c r="G42" s="28"/>
      <c r="H42" s="74"/>
      <c r="I42" s="59"/>
      <c r="J42" s="36"/>
      <c r="K42" s="18"/>
      <c r="L42" s="27" t="s">
        <v>88</v>
      </c>
    </row>
    <row r="43" spans="1:12" ht="21" x14ac:dyDescent="0.4">
      <c r="A43" s="103"/>
      <c r="B43" s="103"/>
      <c r="C43" s="30"/>
      <c r="D43" s="82"/>
      <c r="E43" s="74"/>
      <c r="F43" s="28"/>
      <c r="G43" s="28"/>
      <c r="H43" s="74"/>
      <c r="I43" s="59"/>
      <c r="J43" s="36"/>
      <c r="K43" s="18"/>
    </row>
    <row r="44" spans="1:12" ht="21" x14ac:dyDescent="0.4">
      <c r="A44" s="103"/>
      <c r="B44" s="103"/>
      <c r="C44" s="30"/>
      <c r="D44" s="82"/>
      <c r="E44" s="74"/>
      <c r="F44" s="28"/>
      <c r="G44" s="28"/>
      <c r="H44" s="74"/>
      <c r="I44" s="59"/>
      <c r="J44" s="36"/>
      <c r="K44" s="18"/>
    </row>
    <row r="45" spans="1:12" ht="21" x14ac:dyDescent="0.4">
      <c r="C45" s="30"/>
      <c r="D45" s="82"/>
      <c r="E45" s="74"/>
      <c r="F45" s="28"/>
      <c r="G45" s="28"/>
      <c r="H45" s="74"/>
      <c r="I45" s="59"/>
      <c r="J45" s="36"/>
      <c r="K45" s="18"/>
    </row>
    <row r="46" spans="1:12" ht="21" x14ac:dyDescent="0.4">
      <c r="C46" s="30"/>
      <c r="D46" s="82"/>
      <c r="E46" s="36"/>
      <c r="F46" s="18"/>
      <c r="G46" s="18"/>
      <c r="H46" s="36"/>
      <c r="I46" s="59"/>
      <c r="J46" s="50"/>
      <c r="K46" s="18"/>
    </row>
    <row r="47" spans="1:12" ht="21" x14ac:dyDescent="0.4">
      <c r="C47" s="30"/>
      <c r="D47" s="82"/>
      <c r="E47" s="36"/>
      <c r="F47" s="18"/>
      <c r="G47" s="18"/>
      <c r="H47" s="36"/>
      <c r="I47" s="59"/>
      <c r="J47" s="50"/>
      <c r="K47" s="18"/>
    </row>
    <row r="48" spans="1:12" ht="21" x14ac:dyDescent="0.4">
      <c r="C48" s="30"/>
      <c r="D48" s="82"/>
      <c r="E48" s="36"/>
      <c r="F48" s="18"/>
      <c r="G48" s="18"/>
      <c r="H48" s="36"/>
      <c r="I48" s="59"/>
      <c r="J48" s="50"/>
      <c r="K48" s="18"/>
    </row>
    <row r="49" spans="3:11" ht="21" x14ac:dyDescent="0.4">
      <c r="C49" s="30"/>
      <c r="D49" s="82"/>
      <c r="E49" s="36"/>
      <c r="F49" s="18"/>
      <c r="G49" s="18"/>
      <c r="H49" s="36"/>
      <c r="I49" s="59"/>
      <c r="J49" s="50"/>
      <c r="K49" s="18"/>
    </row>
    <row r="50" spans="3:11" ht="21" x14ac:dyDescent="0.4">
      <c r="C50" s="30"/>
      <c r="D50" s="82"/>
      <c r="E50" s="36"/>
      <c r="F50" s="18"/>
      <c r="G50" s="18"/>
      <c r="H50" s="36"/>
      <c r="I50" s="59"/>
      <c r="J50" s="50"/>
      <c r="K50" s="18"/>
    </row>
    <row r="51" spans="3:11" ht="21" x14ac:dyDescent="0.4">
      <c r="C51" s="30"/>
      <c r="D51" s="82"/>
      <c r="E51" s="36"/>
      <c r="F51" s="18"/>
      <c r="G51" s="18"/>
      <c r="H51" s="36"/>
      <c r="I51" s="59"/>
      <c r="J51" s="50"/>
      <c r="K51" s="18"/>
    </row>
    <row r="52" spans="3:11" ht="21" x14ac:dyDescent="0.4">
      <c r="C52" s="30"/>
      <c r="D52" s="82"/>
      <c r="E52" s="36"/>
      <c r="F52" s="18"/>
      <c r="G52" s="18"/>
      <c r="H52" s="36"/>
      <c r="I52" s="59"/>
      <c r="J52" s="50"/>
      <c r="K52" s="18"/>
    </row>
    <row r="53" spans="3:11" ht="21" x14ac:dyDescent="0.4">
      <c r="C53" s="30"/>
      <c r="D53" s="82"/>
      <c r="E53" s="36"/>
      <c r="F53" s="18"/>
      <c r="G53" s="18"/>
      <c r="H53" s="36"/>
      <c r="I53" s="59"/>
      <c r="J53" s="50"/>
      <c r="K53" s="18"/>
    </row>
    <row r="54" spans="3:11" ht="21" x14ac:dyDescent="0.4">
      <c r="C54" s="30"/>
      <c r="D54" s="82"/>
      <c r="E54" s="36"/>
      <c r="F54" s="18"/>
      <c r="G54" s="18"/>
      <c r="H54" s="36"/>
      <c r="I54" s="59"/>
      <c r="J54" s="50"/>
      <c r="K54" s="18"/>
    </row>
    <row r="55" spans="3:11" ht="21" x14ac:dyDescent="0.4">
      <c r="C55" s="30"/>
      <c r="D55" s="82"/>
      <c r="E55" s="36"/>
      <c r="F55" s="18"/>
      <c r="G55" s="18"/>
      <c r="H55" s="36"/>
      <c r="I55" s="59"/>
      <c r="J55" s="50"/>
      <c r="K55" s="18"/>
    </row>
    <row r="56" spans="3:11" ht="21" x14ac:dyDescent="0.35">
      <c r="C56" s="30"/>
      <c r="D56" s="82"/>
      <c r="E56" s="36"/>
      <c r="F56" s="18"/>
      <c r="G56" s="18"/>
      <c r="H56" s="36"/>
      <c r="I56" s="55"/>
      <c r="J56" s="50"/>
      <c r="K56" s="18"/>
    </row>
    <row r="57" spans="3:11" ht="21" x14ac:dyDescent="0.35">
      <c r="C57" s="30"/>
      <c r="D57" s="82"/>
      <c r="E57" s="36"/>
      <c r="F57" s="18"/>
      <c r="G57" s="18"/>
      <c r="H57" s="36"/>
      <c r="I57" s="55"/>
      <c r="J57" s="50"/>
      <c r="K57" s="18"/>
    </row>
    <row r="58" spans="3:11" ht="21" x14ac:dyDescent="0.35">
      <c r="C58" s="30"/>
      <c r="D58" s="82"/>
      <c r="E58" s="36"/>
      <c r="F58" s="18"/>
      <c r="G58" s="18"/>
      <c r="H58" s="36"/>
      <c r="I58" s="55"/>
      <c r="J58" s="50"/>
      <c r="K58" s="18"/>
    </row>
    <row r="59" spans="3:11" ht="21" x14ac:dyDescent="0.4">
      <c r="C59" s="30"/>
      <c r="D59" s="82"/>
      <c r="E59" s="36"/>
      <c r="F59" s="18"/>
      <c r="G59" s="18"/>
      <c r="H59" s="36"/>
      <c r="I59" s="59"/>
      <c r="J59" s="50"/>
      <c r="K59" s="18"/>
    </row>
    <row r="60" spans="3:11" ht="21" x14ac:dyDescent="0.4">
      <c r="C60" s="30"/>
      <c r="D60" s="82"/>
      <c r="E60" s="36"/>
      <c r="F60" s="18"/>
      <c r="G60" s="18"/>
      <c r="H60" s="36"/>
      <c r="I60" s="59"/>
      <c r="J60" s="50"/>
      <c r="K60" s="18"/>
    </row>
    <row r="61" spans="3:11" ht="21" x14ac:dyDescent="0.4">
      <c r="C61" s="30"/>
      <c r="D61" s="82"/>
      <c r="E61" s="36"/>
      <c r="F61" s="18"/>
      <c r="G61" s="18"/>
      <c r="H61" s="36"/>
      <c r="I61" s="59"/>
      <c r="J61" s="50"/>
      <c r="K61" s="18"/>
    </row>
    <row r="62" spans="3:11" ht="21" x14ac:dyDescent="0.4">
      <c r="C62" s="30"/>
      <c r="D62" s="82"/>
      <c r="E62" s="36"/>
      <c r="F62" s="18"/>
      <c r="G62" s="18"/>
      <c r="H62" s="36"/>
      <c r="I62" s="59"/>
      <c r="J62" s="50"/>
      <c r="K62" s="18"/>
    </row>
    <row r="63" spans="3:11" ht="21" x14ac:dyDescent="0.4">
      <c r="C63" s="30"/>
      <c r="D63" s="82"/>
      <c r="E63" s="36"/>
      <c r="F63" s="18"/>
      <c r="G63" s="18"/>
      <c r="H63" s="36"/>
      <c r="I63" s="59"/>
      <c r="J63" s="50"/>
      <c r="K63" s="18"/>
    </row>
    <row r="64" spans="3:11" ht="21" x14ac:dyDescent="0.4">
      <c r="C64" s="30"/>
      <c r="D64" s="82"/>
      <c r="E64" s="36"/>
      <c r="F64" s="18"/>
      <c r="G64" s="18"/>
      <c r="H64" s="36"/>
      <c r="I64" s="59"/>
      <c r="J64" s="50"/>
      <c r="K64" s="18"/>
    </row>
    <row r="65" spans="3:11" ht="21" x14ac:dyDescent="0.4">
      <c r="C65" s="30"/>
      <c r="D65" s="82"/>
      <c r="E65" s="36"/>
      <c r="F65" s="18"/>
      <c r="G65" s="18"/>
      <c r="H65" s="36"/>
      <c r="I65" s="59"/>
      <c r="J65" s="50"/>
      <c r="K65" s="18"/>
    </row>
    <row r="66" spans="3:11" ht="21" x14ac:dyDescent="0.4">
      <c r="C66" s="30"/>
      <c r="D66" s="82"/>
      <c r="E66" s="36"/>
      <c r="F66" s="18"/>
      <c r="G66" s="18"/>
      <c r="H66" s="36"/>
      <c r="I66" s="59"/>
      <c r="J66" s="50"/>
      <c r="K66" s="18"/>
    </row>
    <row r="67" spans="3:11" ht="21" x14ac:dyDescent="0.4">
      <c r="C67" s="30"/>
      <c r="D67" s="82"/>
      <c r="E67" s="36"/>
      <c r="F67" s="18"/>
      <c r="G67" s="18"/>
      <c r="H67" s="36"/>
      <c r="I67" s="59"/>
      <c r="J67" s="50"/>
      <c r="K67" s="18"/>
    </row>
    <row r="68" spans="3:11" ht="21" x14ac:dyDescent="0.4">
      <c r="C68" s="30"/>
      <c r="D68" s="82"/>
      <c r="E68" s="36"/>
      <c r="F68" s="18"/>
      <c r="G68" s="18"/>
      <c r="H68" s="36"/>
      <c r="I68" s="59"/>
      <c r="J68" s="50"/>
      <c r="K68" s="18"/>
    </row>
    <row r="69" spans="3:11" ht="21" x14ac:dyDescent="0.4">
      <c r="C69" s="30"/>
      <c r="D69" s="82"/>
      <c r="E69" s="36"/>
      <c r="F69" s="18"/>
      <c r="G69" s="18"/>
      <c r="H69" s="36"/>
      <c r="I69" s="59"/>
      <c r="J69" s="50"/>
      <c r="K69" s="18"/>
    </row>
    <row r="70" spans="3:11" ht="21" x14ac:dyDescent="0.4">
      <c r="C70" s="30"/>
      <c r="D70" s="82"/>
      <c r="E70" s="36"/>
      <c r="F70" s="18"/>
      <c r="G70" s="18"/>
      <c r="H70" s="36"/>
      <c r="I70" s="59"/>
      <c r="J70" s="50"/>
      <c r="K70" s="18"/>
    </row>
    <row r="71" spans="3:11" ht="21" x14ac:dyDescent="0.4">
      <c r="C71" s="30"/>
      <c r="D71" s="82"/>
      <c r="E71" s="36"/>
      <c r="F71" s="18"/>
      <c r="G71" s="18"/>
      <c r="H71" s="36"/>
      <c r="I71" s="59"/>
      <c r="J71" s="50"/>
      <c r="K71" s="18"/>
    </row>
    <row r="72" spans="3:11" ht="21" x14ac:dyDescent="0.4">
      <c r="C72" s="30"/>
      <c r="D72" s="82"/>
      <c r="E72" s="36"/>
      <c r="F72" s="18"/>
      <c r="G72" s="18"/>
      <c r="H72" s="36"/>
      <c r="I72" s="59"/>
      <c r="J72" s="50"/>
      <c r="K72" s="18"/>
    </row>
    <row r="73" spans="3:11" x14ac:dyDescent="0.35">
      <c r="C73" s="30"/>
      <c r="D73" s="82"/>
      <c r="E73" s="36"/>
      <c r="F73" s="18"/>
      <c r="G73" s="18"/>
      <c r="H73" s="36"/>
      <c r="I73" s="54"/>
      <c r="J73" s="50"/>
      <c r="K73" s="18"/>
    </row>
    <row r="74" spans="3:11" x14ac:dyDescent="0.35">
      <c r="C74" s="30"/>
      <c r="D74" s="82"/>
      <c r="E74" s="36"/>
      <c r="F74" s="18"/>
      <c r="G74" s="18"/>
      <c r="H74" s="36"/>
      <c r="I74" s="54"/>
      <c r="J74" s="50"/>
      <c r="K74" s="18"/>
    </row>
    <row r="75" spans="3:11" x14ac:dyDescent="0.35">
      <c r="C75" s="30"/>
      <c r="D75" s="82"/>
      <c r="E75" s="36"/>
      <c r="F75" s="18"/>
      <c r="G75" s="18"/>
      <c r="H75" s="36"/>
      <c r="I75" s="54"/>
      <c r="J75" s="50"/>
      <c r="K75" s="18"/>
    </row>
    <row r="76" spans="3:11" x14ac:dyDescent="0.35">
      <c r="C76" s="30"/>
      <c r="D76" s="82"/>
      <c r="E76" s="36"/>
      <c r="F76" s="18"/>
      <c r="G76" s="18"/>
      <c r="H76" s="36"/>
      <c r="I76" s="54"/>
      <c r="J76" s="50"/>
      <c r="K76" s="18"/>
    </row>
    <row r="77" spans="3:11" x14ac:dyDescent="0.35">
      <c r="C77" s="30"/>
      <c r="D77" s="82"/>
      <c r="E77" s="36"/>
      <c r="F77" s="18"/>
      <c r="G77" s="18"/>
      <c r="H77" s="36"/>
      <c r="I77" s="54"/>
      <c r="J77" s="50"/>
      <c r="K77" s="18"/>
    </row>
    <row r="78" spans="3:11" x14ac:dyDescent="0.35">
      <c r="C78" s="30"/>
      <c r="D78" s="82"/>
      <c r="E78" s="36"/>
      <c r="F78" s="18"/>
      <c r="G78" s="18"/>
      <c r="H78" s="36"/>
      <c r="I78" s="49"/>
      <c r="J78" s="36"/>
      <c r="K78" s="18"/>
    </row>
    <row r="79" spans="3:11" x14ac:dyDescent="0.35">
      <c r="C79" s="30"/>
      <c r="D79" s="82"/>
      <c r="E79" s="36"/>
      <c r="F79" s="18"/>
      <c r="G79" s="18"/>
      <c r="H79" s="36"/>
      <c r="I79" s="49"/>
      <c r="J79" s="36"/>
      <c r="K79" s="18"/>
    </row>
    <row r="80" spans="3:11" x14ac:dyDescent="0.35">
      <c r="C80" s="30"/>
      <c r="D80" s="82"/>
      <c r="E80" s="36"/>
      <c r="F80" s="18"/>
      <c r="G80" s="18"/>
      <c r="H80" s="36"/>
      <c r="I80" s="49"/>
      <c r="J80" s="36"/>
      <c r="K80" s="18"/>
    </row>
    <row r="81" spans="3:11" x14ac:dyDescent="0.35">
      <c r="C81" s="30"/>
      <c r="D81" s="82"/>
      <c r="E81" s="36"/>
      <c r="F81" s="18"/>
      <c r="G81" s="18"/>
      <c r="H81" s="36"/>
      <c r="I81" s="49"/>
      <c r="J81" s="36"/>
      <c r="K81" s="18"/>
    </row>
    <row r="82" spans="3:11" x14ac:dyDescent="0.35">
      <c r="C82" s="30"/>
      <c r="D82" s="82"/>
      <c r="E82" s="36"/>
      <c r="F82" s="18"/>
      <c r="G82" s="18"/>
      <c r="H82" s="36"/>
      <c r="I82" s="49"/>
      <c r="J82" s="36"/>
      <c r="K82" s="18"/>
    </row>
    <row r="83" spans="3:11" x14ac:dyDescent="0.35">
      <c r="C83" s="30"/>
      <c r="D83" s="82"/>
      <c r="E83" s="36"/>
      <c r="F83" s="18"/>
      <c r="G83" s="18"/>
      <c r="H83" s="36"/>
      <c r="I83" s="49"/>
      <c r="J83" s="36"/>
      <c r="K83" s="18"/>
    </row>
    <row r="84" spans="3:11" x14ac:dyDescent="0.35">
      <c r="C84" s="30"/>
      <c r="D84" s="82"/>
      <c r="E84" s="36"/>
      <c r="F84" s="18"/>
      <c r="G84" s="18"/>
      <c r="H84" s="36"/>
      <c r="I84" s="49"/>
      <c r="J84" s="36"/>
      <c r="K84" s="18"/>
    </row>
    <row r="85" spans="3:11" x14ac:dyDescent="0.35">
      <c r="C85" s="30"/>
      <c r="D85" s="82"/>
      <c r="E85" s="36"/>
      <c r="F85" s="18"/>
      <c r="G85" s="18"/>
      <c r="H85" s="36"/>
      <c r="I85" s="49"/>
      <c r="J85" s="36"/>
      <c r="K85" s="18"/>
    </row>
    <row r="86" spans="3:11" x14ac:dyDescent="0.35">
      <c r="C86" s="30"/>
      <c r="D86" s="82"/>
      <c r="E86" s="36"/>
      <c r="F86" s="18"/>
      <c r="G86" s="18"/>
      <c r="H86" s="36"/>
      <c r="I86" s="49"/>
      <c r="J86" s="36"/>
      <c r="K86" s="18"/>
    </row>
    <row r="87" spans="3:11" x14ac:dyDescent="0.35">
      <c r="C87" s="30"/>
      <c r="D87" s="82"/>
      <c r="E87" s="36"/>
      <c r="F87" s="18"/>
      <c r="G87" s="18"/>
      <c r="H87" s="36"/>
      <c r="I87" s="49"/>
      <c r="J87" s="36"/>
      <c r="K87" s="18"/>
    </row>
    <row r="88" spans="3:11" x14ac:dyDescent="0.35">
      <c r="C88" s="30"/>
      <c r="D88" s="82"/>
      <c r="E88" s="36"/>
      <c r="F88" s="18"/>
      <c r="G88" s="18"/>
      <c r="H88" s="36"/>
      <c r="I88" s="49"/>
      <c r="J88" s="36"/>
      <c r="K88" s="18"/>
    </row>
    <row r="89" spans="3:11" x14ac:dyDescent="0.35">
      <c r="C89" s="30"/>
      <c r="D89" s="82"/>
      <c r="E89" s="36"/>
      <c r="F89" s="18"/>
      <c r="G89" s="18"/>
      <c r="H89" s="36"/>
      <c r="I89" s="49"/>
      <c r="J89" s="36"/>
      <c r="K89" s="18"/>
    </row>
    <row r="90" spans="3:11" x14ac:dyDescent="0.35">
      <c r="C90" s="30"/>
      <c r="D90" s="82"/>
      <c r="E90" s="36"/>
      <c r="F90" s="18"/>
      <c r="G90" s="18"/>
      <c r="H90" s="36"/>
      <c r="I90" s="49"/>
      <c r="J90" s="36"/>
      <c r="K90" s="18"/>
    </row>
    <row r="91" spans="3:11" x14ac:dyDescent="0.35">
      <c r="C91" s="30"/>
      <c r="D91" s="82"/>
      <c r="E91" s="36"/>
      <c r="F91" s="18"/>
      <c r="G91" s="18"/>
      <c r="H91" s="36"/>
      <c r="I91" s="49"/>
      <c r="J91" s="36"/>
      <c r="K91" s="18"/>
    </row>
    <row r="92" spans="3:11" x14ac:dyDescent="0.35">
      <c r="C92" s="30"/>
      <c r="D92" s="82"/>
      <c r="E92" s="36"/>
      <c r="F92" s="18"/>
      <c r="G92" s="18"/>
      <c r="H92" s="36"/>
      <c r="I92" s="49"/>
      <c r="J92" s="36"/>
      <c r="K92" s="18"/>
    </row>
    <row r="93" spans="3:11" x14ac:dyDescent="0.35">
      <c r="C93" s="30"/>
      <c r="D93" s="82"/>
      <c r="E93" s="36"/>
      <c r="F93" s="18"/>
      <c r="G93" s="18"/>
      <c r="H93" s="36"/>
      <c r="I93" s="49"/>
      <c r="J93" s="36"/>
      <c r="K93" s="18"/>
    </row>
    <row r="94" spans="3:11" x14ac:dyDescent="0.35">
      <c r="C94" s="30"/>
      <c r="D94" s="82"/>
      <c r="E94" s="36"/>
      <c r="F94" s="18"/>
      <c r="G94" s="18"/>
      <c r="H94" s="36"/>
      <c r="I94" s="49"/>
      <c r="J94" s="36"/>
      <c r="K94" s="18"/>
    </row>
    <row r="95" spans="3:11" x14ac:dyDescent="0.35">
      <c r="C95" s="30"/>
      <c r="D95" s="82"/>
      <c r="E95" s="36"/>
      <c r="F95" s="18"/>
      <c r="G95" s="18"/>
      <c r="H95" s="36"/>
      <c r="I95" s="49"/>
      <c r="J95" s="36"/>
      <c r="K95" s="18"/>
    </row>
    <row r="96" spans="3:11" x14ac:dyDescent="0.35">
      <c r="C96" s="30"/>
      <c r="D96" s="82"/>
      <c r="E96" s="36"/>
      <c r="F96" s="18"/>
      <c r="G96" s="18"/>
      <c r="H96" s="36"/>
      <c r="I96" s="49"/>
      <c r="J96" s="36"/>
      <c r="K96" s="18"/>
    </row>
    <row r="97" spans="3:11" x14ac:dyDescent="0.35">
      <c r="C97" s="30"/>
      <c r="D97" s="82"/>
      <c r="E97" s="36"/>
      <c r="F97" s="18"/>
      <c r="G97" s="18"/>
      <c r="H97" s="36"/>
      <c r="I97" s="49"/>
      <c r="J97" s="36"/>
      <c r="K97" s="18"/>
    </row>
    <row r="98" spans="3:11" x14ac:dyDescent="0.35">
      <c r="C98" s="30"/>
      <c r="D98" s="82"/>
      <c r="E98" s="36"/>
      <c r="F98" s="18"/>
      <c r="G98" s="18"/>
      <c r="H98" s="36"/>
      <c r="I98" s="49"/>
      <c r="J98" s="36"/>
      <c r="K98" s="18"/>
    </row>
    <row r="99" spans="3:11" x14ac:dyDescent="0.35">
      <c r="C99" s="30"/>
      <c r="D99" s="82"/>
      <c r="E99" s="36"/>
      <c r="F99" s="18"/>
      <c r="G99" s="18"/>
      <c r="H99" s="36"/>
      <c r="I99" s="49"/>
      <c r="J99" s="36"/>
      <c r="K99" s="18"/>
    </row>
  </sheetData>
  <mergeCells count="69">
    <mergeCell ref="H39:I39"/>
    <mergeCell ref="H40:I40"/>
    <mergeCell ref="H33:I33"/>
    <mergeCell ref="H34:I34"/>
    <mergeCell ref="H35:I35"/>
    <mergeCell ref="H36:I36"/>
    <mergeCell ref="H37:I37"/>
    <mergeCell ref="H38:I38"/>
    <mergeCell ref="H27:I27"/>
    <mergeCell ref="H28:I28"/>
    <mergeCell ref="H29:I29"/>
    <mergeCell ref="H30:I30"/>
    <mergeCell ref="H31:I31"/>
    <mergeCell ref="H32:I32"/>
    <mergeCell ref="H21:I21"/>
    <mergeCell ref="H22:I22"/>
    <mergeCell ref="H23:I23"/>
    <mergeCell ref="H24:I24"/>
    <mergeCell ref="H25:I25"/>
    <mergeCell ref="H26:I26"/>
    <mergeCell ref="H15:I15"/>
    <mergeCell ref="H16:I16"/>
    <mergeCell ref="H17:I17"/>
    <mergeCell ref="H18:I18"/>
    <mergeCell ref="H19:I19"/>
    <mergeCell ref="H20:I20"/>
    <mergeCell ref="E37:F37"/>
    <mergeCell ref="E38:F38"/>
    <mergeCell ref="E39:F39"/>
    <mergeCell ref="E40:F40"/>
    <mergeCell ref="H9:I9"/>
    <mergeCell ref="H10:I10"/>
    <mergeCell ref="H11:I11"/>
    <mergeCell ref="H12:I12"/>
    <mergeCell ref="H13:I13"/>
    <mergeCell ref="H14:I14"/>
    <mergeCell ref="E31:F31"/>
    <mergeCell ref="E32:F32"/>
    <mergeCell ref="E33:F33"/>
    <mergeCell ref="E34:F34"/>
    <mergeCell ref="E35:F35"/>
    <mergeCell ref="E36:F36"/>
    <mergeCell ref="E25:F25"/>
    <mergeCell ref="E26:F26"/>
    <mergeCell ref="E27:F27"/>
    <mergeCell ref="E28:F28"/>
    <mergeCell ref="E29:F29"/>
    <mergeCell ref="E30:F30"/>
    <mergeCell ref="E19:F19"/>
    <mergeCell ref="E20:F20"/>
    <mergeCell ref="E21:F21"/>
    <mergeCell ref="E22:F22"/>
    <mergeCell ref="E23:F23"/>
    <mergeCell ref="E24:F24"/>
    <mergeCell ref="E13:F13"/>
    <mergeCell ref="E14:F14"/>
    <mergeCell ref="E15:F15"/>
    <mergeCell ref="E16:F16"/>
    <mergeCell ref="E17:F17"/>
    <mergeCell ref="E18:F18"/>
    <mergeCell ref="D2:J2"/>
    <mergeCell ref="E3:H3"/>
    <mergeCell ref="E4:J4"/>
    <mergeCell ref="D6:J6"/>
    <mergeCell ref="F41:G41"/>
    <mergeCell ref="E9:F9"/>
    <mergeCell ref="E10:F10"/>
    <mergeCell ref="E11:F11"/>
    <mergeCell ref="E12:F12"/>
  </mergeCells>
  <conditionalFormatting sqref="L9:L37 L39:L40">
    <cfRule type="expression" dxfId="278" priority="310">
      <formula>"h6=1"</formula>
    </cfRule>
  </conditionalFormatting>
  <conditionalFormatting sqref="L4">
    <cfRule type="expression" dxfId="277" priority="309">
      <formula>"f7=c7"</formula>
    </cfRule>
  </conditionalFormatting>
  <conditionalFormatting sqref="L38">
    <cfRule type="expression" dxfId="276" priority="308">
      <formula>"h6=1"</formula>
    </cfRule>
  </conditionalFormatting>
  <conditionalFormatting sqref="J9">
    <cfRule type="cellIs" dxfId="274" priority="306" operator="equal">
      <formula>"*"</formula>
    </cfRule>
  </conditionalFormatting>
  <conditionalFormatting sqref="I41">
    <cfRule type="expression" dxfId="254" priority="285">
      <formula>"$D$6=$H$1"</formula>
    </cfRule>
  </conditionalFormatting>
  <conditionalFormatting sqref="I42:I72">
    <cfRule type="expression" dxfId="253" priority="284">
      <formula>"$D$6=$H$1"</formula>
    </cfRule>
  </conditionalFormatting>
  <conditionalFormatting sqref="K4">
    <cfRule type="expression" dxfId="252" priority="307">
      <formula>"""=""H1=""1"""""""</formula>
    </cfRule>
  </conditionalFormatting>
  <conditionalFormatting sqref="A9">
    <cfRule type="expression" dxfId="251" priority="283">
      <formula>AND(F9="n",J9="*")</formula>
    </cfRule>
  </conditionalFormatting>
  <conditionalFormatting sqref="B10">
    <cfRule type="expression" dxfId="250" priority="281">
      <formula>AND(I10="n",J10="*")</formula>
    </cfRule>
  </conditionalFormatting>
  <conditionalFormatting sqref="B9">
    <cfRule type="expression" dxfId="249" priority="280">
      <formula>AND(I9="n",J9="*")</formula>
    </cfRule>
  </conditionalFormatting>
  <conditionalFormatting sqref="B11">
    <cfRule type="expression" dxfId="248" priority="279">
      <formula>AND(I11="n",J11="*")</formula>
    </cfRule>
  </conditionalFormatting>
  <conditionalFormatting sqref="B12">
    <cfRule type="expression" dxfId="247" priority="248">
      <formula>AND(I12="n",J12="*")</formula>
    </cfRule>
  </conditionalFormatting>
  <conditionalFormatting sqref="B13">
    <cfRule type="expression" dxfId="246" priority="247">
      <formula>AND(I13="n",J13="*")</formula>
    </cfRule>
  </conditionalFormatting>
  <conditionalFormatting sqref="B14">
    <cfRule type="expression" dxfId="245" priority="246">
      <formula>AND(I14="n",J14="*")</formula>
    </cfRule>
  </conditionalFormatting>
  <conditionalFormatting sqref="B15">
    <cfRule type="expression" dxfId="244" priority="245">
      <formula>AND(I15="n",J15="*")</formula>
    </cfRule>
  </conditionalFormatting>
  <conditionalFormatting sqref="B16">
    <cfRule type="expression" dxfId="243" priority="244">
      <formula>AND(I16="n",J16="*")</formula>
    </cfRule>
  </conditionalFormatting>
  <conditionalFormatting sqref="B17">
    <cfRule type="expression" dxfId="242" priority="243">
      <formula>AND(I17="n",J17="*")</formula>
    </cfRule>
  </conditionalFormatting>
  <conditionalFormatting sqref="B18">
    <cfRule type="expression" dxfId="241" priority="242">
      <formula>AND(I18="n",J18="*")</formula>
    </cfRule>
  </conditionalFormatting>
  <conditionalFormatting sqref="B19">
    <cfRule type="expression" dxfId="240" priority="241">
      <formula>AND(I19="n",J19="*")</formula>
    </cfRule>
  </conditionalFormatting>
  <conditionalFormatting sqref="B20">
    <cfRule type="expression" dxfId="239" priority="240">
      <formula>AND(I20="n",J20="*")</formula>
    </cfRule>
  </conditionalFormatting>
  <conditionalFormatting sqref="B21">
    <cfRule type="expression" dxfId="238" priority="239">
      <formula>AND(I21="n",J21="*")</formula>
    </cfRule>
  </conditionalFormatting>
  <conditionalFormatting sqref="B22">
    <cfRule type="expression" dxfId="237" priority="238">
      <formula>AND(I22="n",J22="*")</formula>
    </cfRule>
  </conditionalFormatting>
  <conditionalFormatting sqref="B23">
    <cfRule type="expression" dxfId="236" priority="237">
      <formula>AND(I23="n",J23="*")</formula>
    </cfRule>
  </conditionalFormatting>
  <conditionalFormatting sqref="B24">
    <cfRule type="expression" dxfId="235" priority="236">
      <formula>AND(I24="n",J24="*")</formula>
    </cfRule>
  </conditionalFormatting>
  <conditionalFormatting sqref="B25">
    <cfRule type="expression" dxfId="234" priority="235">
      <formula>AND(I25="n",J25="*")</formula>
    </cfRule>
  </conditionalFormatting>
  <conditionalFormatting sqref="B26">
    <cfRule type="expression" dxfId="233" priority="234">
      <formula>AND(I26="n",J26="*")</formula>
    </cfRule>
  </conditionalFormatting>
  <conditionalFormatting sqref="B27">
    <cfRule type="expression" dxfId="232" priority="233">
      <formula>AND(I27="n",J27="*")</formula>
    </cfRule>
  </conditionalFormatting>
  <conditionalFormatting sqref="B28">
    <cfRule type="expression" dxfId="231" priority="232">
      <formula>AND(I28="n",J28="*")</formula>
    </cfRule>
  </conditionalFormatting>
  <conditionalFormatting sqref="B29">
    <cfRule type="expression" dxfId="230" priority="231">
      <formula>AND(I29="n",J29="*")</formula>
    </cfRule>
  </conditionalFormatting>
  <conditionalFormatting sqref="B30">
    <cfRule type="expression" dxfId="229" priority="230">
      <formula>AND(I30="n",J30="*")</formula>
    </cfRule>
  </conditionalFormatting>
  <conditionalFormatting sqref="B31">
    <cfRule type="expression" dxfId="228" priority="229">
      <formula>AND(I31="n",J31="*")</formula>
    </cfRule>
  </conditionalFormatting>
  <conditionalFormatting sqref="B32">
    <cfRule type="expression" dxfId="227" priority="228">
      <formula>AND(I32="n",J32="*")</formula>
    </cfRule>
  </conditionalFormatting>
  <conditionalFormatting sqref="B33">
    <cfRule type="expression" dxfId="226" priority="227">
      <formula>AND(I33="n",J33="*")</formula>
    </cfRule>
  </conditionalFormatting>
  <conditionalFormatting sqref="B34">
    <cfRule type="expression" dxfId="225" priority="226">
      <formula>AND(I34="n",J34="*")</formula>
    </cfRule>
  </conditionalFormatting>
  <conditionalFormatting sqref="B35">
    <cfRule type="expression" dxfId="224" priority="225">
      <formula>AND(I35="n",J35="*")</formula>
    </cfRule>
  </conditionalFormatting>
  <conditionalFormatting sqref="B36">
    <cfRule type="expression" dxfId="223" priority="224">
      <formula>AND(I36="n",J36="*")</formula>
    </cfRule>
  </conditionalFormatting>
  <conditionalFormatting sqref="B37">
    <cfRule type="expression" dxfId="222" priority="223">
      <formula>AND(I37="n",J37="*")</formula>
    </cfRule>
  </conditionalFormatting>
  <conditionalFormatting sqref="B38">
    <cfRule type="expression" dxfId="221" priority="222">
      <formula>AND(I38="n",J38="*")</formula>
    </cfRule>
  </conditionalFormatting>
  <conditionalFormatting sqref="B39">
    <cfRule type="expression" dxfId="220" priority="221">
      <formula>AND(I39="n",J39="*")</formula>
    </cfRule>
  </conditionalFormatting>
  <conditionalFormatting sqref="B40">
    <cfRule type="expression" dxfId="219" priority="220">
      <formula>AND(I40="n",J40="*")</formula>
    </cfRule>
  </conditionalFormatting>
  <conditionalFormatting sqref="J21">
    <cfRule type="cellIs" dxfId="218" priority="190" operator="equal">
      <formula>"*"</formula>
    </cfRule>
  </conditionalFormatting>
  <conditionalFormatting sqref="J22">
    <cfRule type="cellIs" dxfId="215" priority="176" operator="equal">
      <formula>"*"</formula>
    </cfRule>
  </conditionalFormatting>
  <conditionalFormatting sqref="J18">
    <cfRule type="cellIs" dxfId="214" priority="192" operator="equal">
      <formula>"*"</formula>
    </cfRule>
  </conditionalFormatting>
  <conditionalFormatting sqref="J17">
    <cfRule type="cellIs" dxfId="210" priority="193" operator="equal">
      <formula>"*"</formula>
    </cfRule>
  </conditionalFormatting>
  <conditionalFormatting sqref="J28">
    <cfRule type="cellIs" dxfId="209" priority="174" operator="equal">
      <formula>"*"</formula>
    </cfRule>
  </conditionalFormatting>
  <conditionalFormatting sqref="J12">
    <cfRule type="cellIs" dxfId="207" priority="196" operator="equal">
      <formula>"*"</formula>
    </cfRule>
  </conditionalFormatting>
  <conditionalFormatting sqref="J11">
    <cfRule type="cellIs" dxfId="204" priority="197" operator="equal">
      <formula>"*"</formula>
    </cfRule>
  </conditionalFormatting>
  <conditionalFormatting sqref="J10">
    <cfRule type="cellIs" dxfId="202" priority="198" operator="equal">
      <formula>"*"</formula>
    </cfRule>
  </conditionalFormatting>
  <conditionalFormatting sqref="J13">
    <cfRule type="cellIs" dxfId="194" priority="195" operator="equal">
      <formula>"*"</formula>
    </cfRule>
  </conditionalFormatting>
  <conditionalFormatting sqref="J14">
    <cfRule type="cellIs" dxfId="193" priority="194" operator="equal">
      <formula>"*"</formula>
    </cfRule>
  </conditionalFormatting>
  <conditionalFormatting sqref="J20">
    <cfRule type="cellIs" dxfId="190" priority="191" operator="equal">
      <formula>"*"</formula>
    </cfRule>
  </conditionalFormatting>
  <conditionalFormatting sqref="J24">
    <cfRule type="cellIs" dxfId="188" priority="189" operator="equal">
      <formula>"*"</formula>
    </cfRule>
  </conditionalFormatting>
  <conditionalFormatting sqref="J15">
    <cfRule type="cellIs" dxfId="178" priority="179" operator="equal">
      <formula>"*"</formula>
    </cfRule>
  </conditionalFormatting>
  <conditionalFormatting sqref="J16">
    <cfRule type="cellIs" dxfId="177" priority="178" operator="equal">
      <formula>"*"</formula>
    </cfRule>
  </conditionalFormatting>
  <conditionalFormatting sqref="J19">
    <cfRule type="cellIs" dxfId="176" priority="177" operator="equal">
      <formula>"*"</formula>
    </cfRule>
  </conditionalFormatting>
  <conditionalFormatting sqref="J23">
    <cfRule type="cellIs" dxfId="174" priority="175" operator="equal">
      <formula>"*"</formula>
    </cfRule>
  </conditionalFormatting>
  <conditionalFormatting sqref="J30">
    <cfRule type="cellIs" dxfId="172" priority="173" operator="equal">
      <formula>"*"</formula>
    </cfRule>
  </conditionalFormatting>
  <conditionalFormatting sqref="J31">
    <cfRule type="cellIs" dxfId="171" priority="172" operator="equal">
      <formula>"*"</formula>
    </cfRule>
  </conditionalFormatting>
  <conditionalFormatting sqref="J34">
    <cfRule type="cellIs" dxfId="170" priority="171" operator="equal">
      <formula>"*"</formula>
    </cfRule>
  </conditionalFormatting>
  <conditionalFormatting sqref="J36">
    <cfRule type="cellIs" dxfId="169" priority="170" operator="equal">
      <formula>"*"</formula>
    </cfRule>
  </conditionalFormatting>
  <conditionalFormatting sqref="J38">
    <cfRule type="cellIs" dxfId="168" priority="169" operator="equal">
      <formula>"*"</formula>
    </cfRule>
  </conditionalFormatting>
  <conditionalFormatting sqref="J40">
    <cfRule type="cellIs" dxfId="167" priority="168" operator="equal">
      <formula>"*"</formula>
    </cfRule>
  </conditionalFormatting>
  <conditionalFormatting sqref="A10">
    <cfRule type="expression" dxfId="166" priority="167">
      <formula>AND(F10="n",J10="*")</formula>
    </cfRule>
  </conditionalFormatting>
  <conditionalFormatting sqref="A11">
    <cfRule type="expression" dxfId="165" priority="166">
      <formula>AND(F11="n",J11="*")</formula>
    </cfRule>
  </conditionalFormatting>
  <conditionalFormatting sqref="A12">
    <cfRule type="expression" dxfId="164" priority="165">
      <formula>AND(F12="n",J12="*")</formula>
    </cfRule>
  </conditionalFormatting>
  <conditionalFormatting sqref="A13">
    <cfRule type="expression" dxfId="163" priority="164">
      <formula>AND(F13="n",J13="*")</formula>
    </cfRule>
  </conditionalFormatting>
  <conditionalFormatting sqref="A14">
    <cfRule type="expression" dxfId="162" priority="163">
      <formula>AND(F14="n",J14="*")</formula>
    </cfRule>
  </conditionalFormatting>
  <conditionalFormatting sqref="A15">
    <cfRule type="expression" dxfId="161" priority="162">
      <formula>AND(F15="n",J15="*")</formula>
    </cfRule>
  </conditionalFormatting>
  <conditionalFormatting sqref="A16">
    <cfRule type="expression" dxfId="160" priority="161">
      <formula>AND(F16="n",J16="*")</formula>
    </cfRule>
  </conditionalFormatting>
  <conditionalFormatting sqref="A17">
    <cfRule type="expression" dxfId="159" priority="160">
      <formula>AND(F17="n",J17="*")</formula>
    </cfRule>
  </conditionalFormatting>
  <conditionalFormatting sqref="A18">
    <cfRule type="expression" dxfId="158" priority="159">
      <formula>AND(F18="n",J18="*")</formula>
    </cfRule>
  </conditionalFormatting>
  <conditionalFormatting sqref="A19">
    <cfRule type="expression" dxfId="157" priority="158">
      <formula>AND(F19="n",J19="*")</formula>
    </cfRule>
  </conditionalFormatting>
  <conditionalFormatting sqref="A20">
    <cfRule type="expression" dxfId="156" priority="157">
      <formula>AND(F20="n",J20="*")</formula>
    </cfRule>
  </conditionalFormatting>
  <conditionalFormatting sqref="A21">
    <cfRule type="expression" dxfId="155" priority="156">
      <formula>AND(F21="n",J21="*")</formula>
    </cfRule>
  </conditionalFormatting>
  <conditionalFormatting sqref="A22">
    <cfRule type="expression" dxfId="154" priority="155">
      <formula>AND(F22="n",J22="*")</formula>
    </cfRule>
  </conditionalFormatting>
  <conditionalFormatting sqref="A23">
    <cfRule type="expression" dxfId="153" priority="154">
      <formula>AND(F23="n",J23="*")</formula>
    </cfRule>
  </conditionalFormatting>
  <conditionalFormatting sqref="A24">
    <cfRule type="expression" dxfId="152" priority="153">
      <formula>AND(F24="n",J24="*")</formula>
    </cfRule>
  </conditionalFormatting>
  <conditionalFormatting sqref="A25">
    <cfRule type="expression" dxfId="151" priority="152">
      <formula>AND(F25="n",J25="*")</formula>
    </cfRule>
  </conditionalFormatting>
  <conditionalFormatting sqref="A26">
    <cfRule type="expression" dxfId="150" priority="151">
      <formula>AND(F26="n",J26="*")</formula>
    </cfRule>
  </conditionalFormatting>
  <conditionalFormatting sqref="A27">
    <cfRule type="expression" dxfId="149" priority="150">
      <formula>AND(F27="n",J27="*")</formula>
    </cfRule>
  </conditionalFormatting>
  <conditionalFormatting sqref="A28">
    <cfRule type="expression" dxfId="148" priority="149">
      <formula>AND(F28="n",J28="*")</formula>
    </cfRule>
  </conditionalFormatting>
  <conditionalFormatting sqref="A29">
    <cfRule type="expression" dxfId="147" priority="148">
      <formula>AND(F29="n",J29="*")</formula>
    </cfRule>
  </conditionalFormatting>
  <conditionalFormatting sqref="A30">
    <cfRule type="expression" dxfId="146" priority="147">
      <formula>AND(F30="n",J30="*")</formula>
    </cfRule>
  </conditionalFormatting>
  <conditionalFormatting sqref="A31">
    <cfRule type="expression" dxfId="145" priority="146">
      <formula>AND(F31="n",J31="*")</formula>
    </cfRule>
  </conditionalFormatting>
  <conditionalFormatting sqref="A32">
    <cfRule type="expression" dxfId="144" priority="145">
      <formula>AND(F32="n",J32="*")</formula>
    </cfRule>
  </conditionalFormatting>
  <conditionalFormatting sqref="A33">
    <cfRule type="expression" dxfId="143" priority="144">
      <formula>AND(F33="n",J33="*")</formula>
    </cfRule>
  </conditionalFormatting>
  <conditionalFormatting sqref="A34">
    <cfRule type="expression" dxfId="142" priority="143">
      <formula>AND(F34="n",J34="*")</formula>
    </cfRule>
  </conditionalFormatting>
  <conditionalFormatting sqref="A35">
    <cfRule type="expression" dxfId="141" priority="142">
      <formula>AND(F35="n",J35="*")</formula>
    </cfRule>
  </conditionalFormatting>
  <conditionalFormatting sqref="A36">
    <cfRule type="expression" dxfId="140" priority="141">
      <formula>AND(F36="n",J36="*")</formula>
    </cfRule>
  </conditionalFormatting>
  <conditionalFormatting sqref="A37">
    <cfRule type="expression" dxfId="139" priority="140">
      <formula>AND(F37="n",J37="*")</formula>
    </cfRule>
  </conditionalFormatting>
  <conditionalFormatting sqref="A38">
    <cfRule type="expression" dxfId="138" priority="139">
      <formula>AND(F38="n",J38="*")</formula>
    </cfRule>
  </conditionalFormatting>
  <conditionalFormatting sqref="A39">
    <cfRule type="expression" dxfId="137" priority="138">
      <formula>AND(F39="n",J39="*")</formula>
    </cfRule>
  </conditionalFormatting>
  <conditionalFormatting sqref="A40">
    <cfRule type="expression" dxfId="136" priority="137">
      <formula>AND(F40="n",J40="*")</formula>
    </cfRule>
  </conditionalFormatting>
  <conditionalFormatting sqref="E9">
    <cfRule type="expression" dxfId="135" priority="136">
      <formula>AND(L9="n",M9="*")</formula>
    </cfRule>
  </conditionalFormatting>
  <conditionalFormatting sqref="J25">
    <cfRule type="cellIs" dxfId="71" priority="72" operator="equal">
      <formula>"*"</formula>
    </cfRule>
  </conditionalFormatting>
  <conditionalFormatting sqref="J26">
    <cfRule type="cellIs" dxfId="70" priority="71" operator="equal">
      <formula>"*"</formula>
    </cfRule>
  </conditionalFormatting>
  <conditionalFormatting sqref="J27">
    <cfRule type="cellIs" dxfId="69" priority="70" operator="equal">
      <formula>"*"</formula>
    </cfRule>
  </conditionalFormatting>
  <conditionalFormatting sqref="J29">
    <cfRule type="cellIs" dxfId="68" priority="69" operator="equal">
      <formula>"*"</formula>
    </cfRule>
  </conditionalFormatting>
  <conditionalFormatting sqref="J32">
    <cfRule type="cellIs" dxfId="67" priority="68" operator="equal">
      <formula>"*"</formula>
    </cfRule>
  </conditionalFormatting>
  <conditionalFormatting sqref="J33">
    <cfRule type="cellIs" dxfId="66" priority="67" operator="equal">
      <formula>"*"</formula>
    </cfRule>
  </conditionalFormatting>
  <conditionalFormatting sqref="J35">
    <cfRule type="cellIs" dxfId="65" priority="66" operator="equal">
      <formula>"*"</formula>
    </cfRule>
  </conditionalFormatting>
  <conditionalFormatting sqref="J37">
    <cfRule type="cellIs" dxfId="64" priority="65" operator="equal">
      <formula>"*"</formula>
    </cfRule>
  </conditionalFormatting>
  <conditionalFormatting sqref="J39">
    <cfRule type="cellIs" dxfId="63" priority="64" operator="equal">
      <formula>"*"</formula>
    </cfRule>
  </conditionalFormatting>
  <conditionalFormatting sqref="H9">
    <cfRule type="expression" dxfId="62" priority="63">
      <formula>AND(O9="n",P9="*")</formula>
    </cfRule>
  </conditionalFormatting>
  <conditionalFormatting sqref="E10">
    <cfRule type="expression" dxfId="61" priority="62">
      <formula>AND(L10="n",M10="*")</formula>
    </cfRule>
  </conditionalFormatting>
  <conditionalFormatting sqref="H10">
    <cfRule type="expression" dxfId="60" priority="61">
      <formula>AND(O10="n",P10="*")</formula>
    </cfRule>
  </conditionalFormatting>
  <conditionalFormatting sqref="E11">
    <cfRule type="expression" dxfId="59" priority="60">
      <formula>AND(L11="n",M11="*")</formula>
    </cfRule>
  </conditionalFormatting>
  <conditionalFormatting sqref="E12">
    <cfRule type="expression" dxfId="58" priority="59">
      <formula>AND(L12="n",M12="*")</formula>
    </cfRule>
  </conditionalFormatting>
  <conditionalFormatting sqref="E13">
    <cfRule type="expression" dxfId="57" priority="58">
      <formula>AND(L13="n",M13="*")</formula>
    </cfRule>
  </conditionalFormatting>
  <conditionalFormatting sqref="E14">
    <cfRule type="expression" dxfId="56" priority="57">
      <formula>AND(L14="n",M14="*")</formula>
    </cfRule>
  </conditionalFormatting>
  <conditionalFormatting sqref="E15">
    <cfRule type="expression" dxfId="55" priority="56">
      <formula>AND(L15="n",M15="*")</formula>
    </cfRule>
  </conditionalFormatting>
  <conditionalFormatting sqref="E16">
    <cfRule type="expression" dxfId="54" priority="55">
      <formula>AND(L16="n",M16="*")</formula>
    </cfRule>
  </conditionalFormatting>
  <conditionalFormatting sqref="E17">
    <cfRule type="expression" dxfId="53" priority="54">
      <formula>AND(L17="n",M17="*")</formula>
    </cfRule>
  </conditionalFormatting>
  <conditionalFormatting sqref="E18">
    <cfRule type="expression" dxfId="52" priority="53">
      <formula>AND(L18="n",M18="*")</formula>
    </cfRule>
  </conditionalFormatting>
  <conditionalFormatting sqref="E19">
    <cfRule type="expression" dxfId="51" priority="52">
      <formula>AND(L19="n",M19="*")</formula>
    </cfRule>
  </conditionalFormatting>
  <conditionalFormatting sqref="E20">
    <cfRule type="expression" dxfId="50" priority="51">
      <formula>AND(L20="n",M20="*")</formula>
    </cfRule>
  </conditionalFormatting>
  <conditionalFormatting sqref="E21">
    <cfRule type="expression" dxfId="49" priority="50">
      <formula>AND(L21="n",M21="*")</formula>
    </cfRule>
  </conditionalFormatting>
  <conditionalFormatting sqref="E22">
    <cfRule type="expression" dxfId="48" priority="49">
      <formula>AND(L22="n",M22="*")</formula>
    </cfRule>
  </conditionalFormatting>
  <conditionalFormatting sqref="E23">
    <cfRule type="expression" dxfId="47" priority="48">
      <formula>AND(L23="n",M23="*")</formula>
    </cfRule>
  </conditionalFormatting>
  <conditionalFormatting sqref="E24">
    <cfRule type="expression" dxfId="46" priority="47">
      <formula>AND(L24="n",M24="*")</formula>
    </cfRule>
  </conditionalFormatting>
  <conditionalFormatting sqref="E25">
    <cfRule type="expression" dxfId="45" priority="46">
      <formula>AND(L25="n",M25="*")</formula>
    </cfRule>
  </conditionalFormatting>
  <conditionalFormatting sqref="E26">
    <cfRule type="expression" dxfId="44" priority="45">
      <formula>AND(L26="n",M26="*")</formula>
    </cfRule>
  </conditionalFormatting>
  <conditionalFormatting sqref="E27">
    <cfRule type="expression" dxfId="43" priority="44">
      <formula>AND(L27="n",M27="*")</formula>
    </cfRule>
  </conditionalFormatting>
  <conditionalFormatting sqref="E28">
    <cfRule type="expression" dxfId="42" priority="43">
      <formula>AND(L28="n",M28="*")</formula>
    </cfRule>
  </conditionalFormatting>
  <conditionalFormatting sqref="E29">
    <cfRule type="expression" dxfId="41" priority="42">
      <formula>AND(L29="n",M29="*")</formula>
    </cfRule>
  </conditionalFormatting>
  <conditionalFormatting sqref="E30">
    <cfRule type="expression" dxfId="40" priority="41">
      <formula>AND(L30="n",M30="*")</formula>
    </cfRule>
  </conditionalFormatting>
  <conditionalFormatting sqref="E31">
    <cfRule type="expression" dxfId="39" priority="40">
      <formula>AND(L31="n",M31="*")</formula>
    </cfRule>
  </conditionalFormatting>
  <conditionalFormatting sqref="E32">
    <cfRule type="expression" dxfId="38" priority="39">
      <formula>AND(L32="n",M32="*")</formula>
    </cfRule>
  </conditionalFormatting>
  <conditionalFormatting sqref="E33">
    <cfRule type="expression" dxfId="37" priority="38">
      <formula>AND(L33="n",M33="*")</formula>
    </cfRule>
  </conditionalFormatting>
  <conditionalFormatting sqref="E34">
    <cfRule type="expression" dxfId="36" priority="37">
      <formula>AND(L34="n",M34="*")</formula>
    </cfRule>
  </conditionalFormatting>
  <conditionalFormatting sqref="E35">
    <cfRule type="expression" dxfId="35" priority="36">
      <formula>AND(L35="n",M35="*")</formula>
    </cfRule>
  </conditionalFormatting>
  <conditionalFormatting sqref="E36">
    <cfRule type="expression" dxfId="34" priority="35">
      <formula>AND(L36="n",M36="*")</formula>
    </cfRule>
  </conditionalFormatting>
  <conditionalFormatting sqref="E37">
    <cfRule type="expression" dxfId="33" priority="34">
      <formula>AND(L37="n",M37="*")</formula>
    </cfRule>
  </conditionalFormatting>
  <conditionalFormatting sqref="E38">
    <cfRule type="expression" dxfId="32" priority="33">
      <formula>AND(L38="n",M38="*")</formula>
    </cfRule>
  </conditionalFormatting>
  <conditionalFormatting sqref="E39">
    <cfRule type="expression" dxfId="31" priority="32">
      <formula>AND(L39="n",M39="*")</formula>
    </cfRule>
  </conditionalFormatting>
  <conditionalFormatting sqref="E40">
    <cfRule type="expression" dxfId="30" priority="31">
      <formula>AND(L40="n",M40="*")</formula>
    </cfRule>
  </conditionalFormatting>
  <conditionalFormatting sqref="H11">
    <cfRule type="expression" dxfId="29" priority="30">
      <formula>AND(O11="n",P11="*")</formula>
    </cfRule>
  </conditionalFormatting>
  <conditionalFormatting sqref="H12">
    <cfRule type="expression" dxfId="28" priority="29">
      <formula>AND(O12="n",P12="*")</formula>
    </cfRule>
  </conditionalFormatting>
  <conditionalFormatting sqref="H13">
    <cfRule type="expression" dxfId="27" priority="28">
      <formula>AND(O13="n",P13="*")</formula>
    </cfRule>
  </conditionalFormatting>
  <conditionalFormatting sqref="H14">
    <cfRule type="expression" dxfId="26" priority="27">
      <formula>AND(O14="n",P14="*")</formula>
    </cfRule>
  </conditionalFormatting>
  <conditionalFormatting sqref="H15">
    <cfRule type="expression" dxfId="25" priority="26">
      <formula>AND(O15="n",P15="*")</formula>
    </cfRule>
  </conditionalFormatting>
  <conditionalFormatting sqref="H16">
    <cfRule type="expression" dxfId="24" priority="25">
      <formula>AND(O16="n",P16="*")</formula>
    </cfRule>
  </conditionalFormatting>
  <conditionalFormatting sqref="H17">
    <cfRule type="expression" dxfId="23" priority="24">
      <formula>AND(O17="n",P17="*")</formula>
    </cfRule>
  </conditionalFormatting>
  <conditionalFormatting sqref="H18">
    <cfRule type="expression" dxfId="22" priority="23">
      <formula>AND(O18="n",P18="*")</formula>
    </cfRule>
  </conditionalFormatting>
  <conditionalFormatting sqref="H19">
    <cfRule type="expression" dxfId="21" priority="22">
      <formula>AND(O19="n",P19="*")</formula>
    </cfRule>
  </conditionalFormatting>
  <conditionalFormatting sqref="H20">
    <cfRule type="expression" dxfId="20" priority="21">
      <formula>AND(O20="n",P20="*")</formula>
    </cfRule>
  </conditionalFormatting>
  <conditionalFormatting sqref="H21">
    <cfRule type="expression" dxfId="19" priority="20">
      <formula>AND(O21="n",P21="*")</formula>
    </cfRule>
  </conditionalFormatting>
  <conditionalFormatting sqref="H22">
    <cfRule type="expression" dxfId="18" priority="19">
      <formula>AND(O22="n",P22="*")</formula>
    </cfRule>
  </conditionalFormatting>
  <conditionalFormatting sqref="H23">
    <cfRule type="expression" dxfId="17" priority="18">
      <formula>AND(O23="n",P23="*")</formula>
    </cfRule>
  </conditionalFormatting>
  <conditionalFormatting sqref="H24">
    <cfRule type="expression" dxfId="16" priority="17">
      <formula>AND(O24="n",P24="*")</formula>
    </cfRule>
  </conditionalFormatting>
  <conditionalFormatting sqref="H25">
    <cfRule type="expression" dxfId="15" priority="16">
      <formula>AND(O25="n",P25="*")</formula>
    </cfRule>
  </conditionalFormatting>
  <conditionalFormatting sqref="H26">
    <cfRule type="expression" dxfId="14" priority="15">
      <formula>AND(O26="n",P26="*")</formula>
    </cfRule>
  </conditionalFormatting>
  <conditionalFormatting sqref="H27">
    <cfRule type="expression" dxfId="13" priority="14">
      <formula>AND(O27="n",P27="*")</formula>
    </cfRule>
  </conditionalFormatting>
  <conditionalFormatting sqref="H28">
    <cfRule type="expression" dxfId="12" priority="13">
      <formula>AND(O28="n",P28="*")</formula>
    </cfRule>
  </conditionalFormatting>
  <conditionalFormatting sqref="H29">
    <cfRule type="expression" dxfId="11" priority="12">
      <formula>AND(O29="n",P29="*")</formula>
    </cfRule>
  </conditionalFormatting>
  <conditionalFormatting sqref="H30">
    <cfRule type="expression" dxfId="10" priority="11">
      <formula>AND(O30="n",P30="*")</formula>
    </cfRule>
  </conditionalFormatting>
  <conditionalFormatting sqref="H31">
    <cfRule type="expression" dxfId="9" priority="10">
      <formula>AND(O31="n",P31="*")</formula>
    </cfRule>
  </conditionalFormatting>
  <conditionalFormatting sqref="H32">
    <cfRule type="expression" dxfId="8" priority="9">
      <formula>AND(O32="n",P32="*")</formula>
    </cfRule>
  </conditionalFormatting>
  <conditionalFormatting sqref="H33">
    <cfRule type="expression" dxfId="7" priority="8">
      <formula>AND(O33="n",P33="*")</formula>
    </cfRule>
  </conditionalFormatting>
  <conditionalFormatting sqref="H34">
    <cfRule type="expression" dxfId="6" priority="7">
      <formula>AND(O34="n",P34="*")</formula>
    </cfRule>
  </conditionalFormatting>
  <conditionalFormatting sqref="H35">
    <cfRule type="expression" dxfId="5" priority="6">
      <formula>AND(O35="n",P35="*")</formula>
    </cfRule>
  </conditionalFormatting>
  <conditionalFormatting sqref="H36">
    <cfRule type="expression" dxfId="4" priority="5">
      <formula>AND(O36="n",P36="*")</formula>
    </cfRule>
  </conditionalFormatting>
  <conditionalFormatting sqref="H37">
    <cfRule type="expression" dxfId="3" priority="4">
      <formula>AND(O37="n",P37="*")</formula>
    </cfRule>
  </conditionalFormatting>
  <conditionalFormatting sqref="H38">
    <cfRule type="expression" dxfId="2" priority="3">
      <formula>AND(O38="n",P38="*")</formula>
    </cfRule>
  </conditionalFormatting>
  <conditionalFormatting sqref="H39">
    <cfRule type="expression" dxfId="1" priority="2">
      <formula>AND(O39="n",P39="*")</formula>
    </cfRule>
  </conditionalFormatting>
  <conditionalFormatting sqref="H40">
    <cfRule type="expression" dxfId="0" priority="1">
      <formula>AND(O40="n",P40="*")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Modal verb forms</vt:lpstr>
      <vt:lpstr>SubVerbQnsV1</vt:lpstr>
      <vt:lpstr>BW version</vt:lpstr>
      <vt:lpstr>SubVerbInQns</vt:lpstr>
      <vt:lpstr>'BW version'!Print_Area</vt:lpstr>
      <vt:lpstr>SubVerbQnsV1!Print_Area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2019-07-23T21:26:22Z</dcterms:created>
  <dcterms:modified xsi:type="dcterms:W3CDTF">2019-11-03T23:17:31Z</dcterms:modified>
  <cp:category/>
  <cp:contentStatus/>
</cp:coreProperties>
</file>