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8_{597DDE55-F0D3-4EA3-AA07-9F055E890F9E}" xr6:coauthVersionLast="43" xr6:coauthVersionMax="43" xr10:uidLastSave="{00000000-0000-0000-0000-000000000000}"/>
  <bookViews>
    <workbookView xWindow="-108" yWindow="-108" windowWidth="23256" windowHeight="12576" firstSheet="3" activeTab="3" xr2:uid="{00000000-000D-0000-FFFF-FFFF00000000}"/>
  </bookViews>
  <sheets>
    <sheet name="one to __" sheetId="6" r:id="rId1"/>
    <sheet name="Sheet1" sheetId="9" r:id="rId2"/>
    <sheet name="1 to __" sheetId="2" r:id="rId3"/>
    <sheet name="fill_in_one_to_1" sheetId="10" r:id="rId4"/>
  </sheets>
  <externalReferences>
    <externalReference r:id="rId5"/>
  </externalReferences>
  <definedNames>
    <definedName name="_xlnm.Print_Area" localSheetId="2">'1 to __'!$A$1:$M$14</definedName>
    <definedName name="_xlnm.Print_Area" localSheetId="0">'one to __'!$B$1:$I$15</definedName>
  </definedNames>
  <calcPr calcId="181029"/>
  <webPublishObjects count="1">
    <webPublishObject id="2028" divId="Number tasks_2028" destinationFile="C:\Users\Ken\Desktop\Number tasks.mht" title="HACC ESL1 Number Tasks"/>
  </webPublishObject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7" i="10" l="1"/>
  <c r="D5" i="10"/>
  <c r="A16" i="10" l="1"/>
  <c r="A17" i="10" s="1"/>
  <c r="A15" i="10"/>
  <c r="F5" i="6"/>
  <c r="F14" i="10"/>
  <c r="F13" i="10"/>
  <c r="F12" i="10"/>
  <c r="F11" i="10"/>
  <c r="F10" i="10"/>
  <c r="F9" i="10"/>
  <c r="F8" i="10"/>
  <c r="F7" i="10"/>
  <c r="F6" i="10"/>
  <c r="F5" i="10"/>
  <c r="H19" i="10"/>
  <c r="M27" i="10"/>
  <c r="C7" i="10"/>
  <c r="K27" i="10"/>
  <c r="C41" i="10"/>
  <c r="C12" i="10"/>
  <c r="C13" i="10"/>
  <c r="C18" i="10"/>
  <c r="C20" i="10"/>
  <c r="C31" i="10"/>
  <c r="C11" i="10"/>
  <c r="C32" i="10"/>
  <c r="C38" i="10"/>
  <c r="C40" i="10"/>
  <c r="C14" i="10"/>
  <c r="H27" i="10"/>
  <c r="P19" i="10"/>
  <c r="C8" i="10"/>
  <c r="C6" i="10"/>
  <c r="M35" i="10"/>
  <c r="H23" i="10"/>
  <c r="C28" i="10"/>
  <c r="G23" i="10"/>
  <c r="L23" i="10"/>
  <c r="K31" i="10"/>
  <c r="L35" i="10"/>
  <c r="H31" i="10"/>
  <c r="C24" i="10"/>
  <c r="M19" i="10"/>
  <c r="C35" i="10"/>
  <c r="C37" i="10"/>
  <c r="C25" i="10"/>
  <c r="C33" i="10"/>
  <c r="C3" i="10"/>
  <c r="C26" i="10"/>
  <c r="P31" i="10"/>
  <c r="C5" i="10"/>
  <c r="C39" i="10"/>
  <c r="C23" i="10"/>
  <c r="C9" i="10"/>
  <c r="P23" i="10"/>
  <c r="C34" i="10"/>
  <c r="C22" i="10"/>
  <c r="M23" i="10"/>
  <c r="K35" i="10"/>
  <c r="P35" i="10"/>
  <c r="P27" i="10"/>
  <c r="C15" i="10"/>
  <c r="H35" i="10"/>
  <c r="C29" i="10"/>
  <c r="C36" i="10"/>
  <c r="C19" i="10"/>
  <c r="C17" i="10"/>
  <c r="C30" i="10"/>
  <c r="K23" i="10"/>
  <c r="C21" i="10"/>
  <c r="C10" i="10"/>
  <c r="C27" i="10"/>
  <c r="C16" i="10"/>
  <c r="K19" i="10"/>
  <c r="M31" i="10"/>
  <c r="D15" i="10" l="1"/>
  <c r="E15" i="10" s="1"/>
  <c r="D33" i="10"/>
  <c r="E33" i="10" s="1"/>
  <c r="P18" i="10"/>
  <c r="D10" i="10"/>
  <c r="E10" i="10" s="1"/>
  <c r="D40" i="10"/>
  <c r="E40" i="10" s="1"/>
  <c r="D12" i="10"/>
  <c r="E12" i="10" s="1"/>
  <c r="D24" i="10"/>
  <c r="E24" i="10" s="1"/>
  <c r="D30" i="10"/>
  <c r="E30" i="10" s="1"/>
  <c r="D36" i="10"/>
  <c r="E36" i="10" s="1"/>
  <c r="K18" i="10"/>
  <c r="K22" i="10"/>
  <c r="M26" i="10"/>
  <c r="H34" i="10"/>
  <c r="D9" i="10"/>
  <c r="E9" i="10" s="1"/>
  <c r="D27" i="10"/>
  <c r="E27" i="10" s="1"/>
  <c r="P22" i="10"/>
  <c r="D22" i="10"/>
  <c r="E22" i="10" s="1"/>
  <c r="D34" i="10"/>
  <c r="E34" i="10" s="1"/>
  <c r="D6" i="10"/>
  <c r="E6" i="10" s="1"/>
  <c r="D18" i="10"/>
  <c r="E18" i="10" s="1"/>
  <c r="D7" i="10"/>
  <c r="D13" i="10"/>
  <c r="E13" i="10" s="1"/>
  <c r="D19" i="10"/>
  <c r="E19" i="10" s="1"/>
  <c r="D25" i="10"/>
  <c r="E25" i="10" s="1"/>
  <c r="D31" i="10"/>
  <c r="E31" i="10" s="1"/>
  <c r="D37" i="10"/>
  <c r="E37" i="10" s="1"/>
  <c r="M18" i="10"/>
  <c r="L22" i="10"/>
  <c r="P26" i="10"/>
  <c r="K34" i="10"/>
  <c r="D8" i="10"/>
  <c r="E8" i="10" s="1"/>
  <c r="D14" i="10"/>
  <c r="E14" i="10" s="1"/>
  <c r="D20" i="10"/>
  <c r="E20" i="10" s="1"/>
  <c r="D26" i="10"/>
  <c r="E26" i="10" s="1"/>
  <c r="D32" i="10"/>
  <c r="E32" i="10" s="1"/>
  <c r="D38" i="10"/>
  <c r="E38" i="10" s="1"/>
  <c r="H18" i="10"/>
  <c r="M22" i="10"/>
  <c r="H30" i="10"/>
  <c r="L34" i="10"/>
  <c r="M34" i="10"/>
  <c r="D21" i="10"/>
  <c r="E21" i="10" s="1"/>
  <c r="D39" i="10"/>
  <c r="E39" i="10" s="1"/>
  <c r="K30" i="10"/>
  <c r="D16" i="10"/>
  <c r="E16" i="10" s="1"/>
  <c r="D28" i="10"/>
  <c r="E28" i="10" s="1"/>
  <c r="G22" i="10"/>
  <c r="H26" i="10"/>
  <c r="M30" i="10"/>
  <c r="P34" i="10"/>
  <c r="E5" i="10"/>
  <c r="D11" i="10"/>
  <c r="E11" i="10" s="1"/>
  <c r="D23" i="10"/>
  <c r="E23" i="10" s="1"/>
  <c r="D29" i="10"/>
  <c r="E29" i="10" s="1"/>
  <c r="D35" i="10"/>
  <c r="E35" i="10" s="1"/>
  <c r="D41" i="10"/>
  <c r="E41" i="10" s="1"/>
  <c r="H22" i="10"/>
  <c r="K26" i="10"/>
  <c r="P30" i="10"/>
  <c r="D17" i="10"/>
  <c r="E17" i="10" s="1"/>
  <c r="A18" i="10"/>
  <c r="A19" i="10" s="1"/>
  <c r="A20" i="10" s="1"/>
  <c r="A21" i="10" s="1"/>
  <c r="A22" i="10" s="1"/>
  <c r="A23" i="10" s="1"/>
  <c r="A24" i="10" s="1"/>
  <c r="D4" i="6"/>
  <c r="E4" i="6"/>
  <c r="I4" i="2"/>
  <c r="I13" i="2"/>
  <c r="I12" i="2"/>
  <c r="I11" i="2"/>
  <c r="I10" i="2"/>
  <c r="I9" i="2"/>
  <c r="I8" i="2"/>
  <c r="I7" i="2"/>
  <c r="I6" i="2"/>
  <c r="I5" i="2"/>
  <c r="D13" i="2"/>
  <c r="D11" i="2"/>
  <c r="E11" i="2"/>
  <c r="D10" i="2"/>
  <c r="E10" i="2"/>
  <c r="D9" i="2"/>
  <c r="E9" i="2"/>
  <c r="D7" i="2"/>
  <c r="E7" i="2"/>
  <c r="D6" i="2"/>
  <c r="E6" i="2"/>
  <c r="D5" i="2"/>
  <c r="E5" i="2"/>
  <c r="D4" i="2"/>
  <c r="E4" i="2"/>
  <c r="D8" i="2"/>
  <c r="E8" i="2"/>
  <c r="I13" i="6"/>
  <c r="I11" i="6"/>
  <c r="I10" i="6"/>
  <c r="I9" i="6"/>
  <c r="I8" i="6"/>
  <c r="I7" i="6"/>
  <c r="F6" i="6"/>
  <c r="I6" i="6"/>
  <c r="I5" i="6"/>
  <c r="F4" i="6"/>
  <c r="I4" i="6"/>
  <c r="D13" i="6"/>
  <c r="D11" i="6"/>
  <c r="E11" i="6"/>
  <c r="D10" i="6"/>
  <c r="E10" i="6"/>
  <c r="D9" i="6"/>
  <c r="E9" i="6"/>
  <c r="D7" i="6"/>
  <c r="E7" i="6"/>
  <c r="D6" i="6"/>
  <c r="E6" i="6"/>
  <c r="D5" i="6"/>
  <c r="E5" i="6"/>
  <c r="D8" i="6"/>
  <c r="E8" i="6"/>
  <c r="F13" i="6"/>
  <c r="F12" i="6"/>
  <c r="I12" i="6"/>
  <c r="F11" i="6"/>
  <c r="F10" i="6"/>
  <c r="F9" i="6"/>
  <c r="F8" i="6"/>
  <c r="F7" i="6"/>
  <c r="D12" i="6"/>
  <c r="D12" i="2"/>
</calcChain>
</file>

<file path=xl/sharedStrings.xml><?xml version="1.0" encoding="utf-8"?>
<sst xmlns="http://schemas.openxmlformats.org/spreadsheetml/2006/main" count="96" uniqueCount="41">
  <si>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</si>
  <si>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</si>
  <si>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</si>
  <si>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</si>
  <si>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</si>
  <si>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</si>
  <si>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</si>
  <si>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</si>
  <si>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</si>
  <si>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</si>
  <si>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</si>
  <si>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</si>
  <si>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</si>
  <si>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</si>
  <si>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</si>
  <si>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</si>
  <si>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</si>
  <si>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</si>
  <si>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</si>
  <si>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</si>
  <si>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</si>
  <si>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</si>
  <si>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</si>
  <si>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</si>
  <si>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</si>
  <si>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</si>
  <si>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</si>
  <si>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</si>
  <si>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</si>
  <si>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</si>
  <si>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</si>
  <si>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</si>
  <si>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</si>
  <si>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</si>
  <si>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</si>
  <si>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</si>
  <si>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</si>
  <si>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</si>
  <si>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</si>
  <si>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Fill in 1 to one</t>
  </si>
  <si>
    <t xml:space="preserve">The reverse task is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</si>
</sst>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omic Sans MS"/>
      <family val="4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right"/>
    </xf>
    <xf numFmtId="0" fontId="0" fillId="0" borderId="0" xfId="0" applyBorder="1" applyProtection="1"/>
    <xf numFmtId="0" fontId="2" fillId="0" borderId="0" xfId="0" applyFont="1" applyBorder="1" applyAlignment="1" applyProtection="1">
      <alignment horizontal="left"/>
    </xf>
    <xf numFmtId="0" fontId="3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center"/>
    </xf>
    <xf numFmtId="0" fontId="0" fillId="3" borderId="0" xfId="0" applyFill="1" applyBorder="1" applyProtection="1"/>
    <xf numFmtId="0" fontId="0" fillId="0" borderId="0" xfId="0" applyAlignment="1" applyProtection="1">
      <alignment horizontal="center"/>
    </xf>
    <xf numFmtId="0" fontId="3" fillId="2" borderId="4" xfId="0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3" fillId="2" borderId="3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/>
    </xf>
    <xf numFmtId="0" fontId="1" fillId="3" borderId="0" xfId="0" applyFont="1" applyFill="1" applyBorder="1" applyAlignment="1" applyProtection="1">
      <alignment horizontal="left"/>
    </xf>
    <xf numFmtId="0" fontId="1" fillId="0" borderId="0" xfId="0" applyFont="1" applyProtection="1"/>
    <xf numFmtId="0" fontId="1" fillId="0" borderId="0" xfId="0" applyFont="1"/>
    <xf numFmtId="0" fontId="1" fillId="0" borderId="0" xfId="0" applyFont="1" applyAlignment="1" applyProtection="1">
      <alignment horizontal="center"/>
    </xf>
    <xf numFmtId="0" fontId="0" fillId="0" borderId="5" xfId="0" applyBorder="1"/>
    <xf numFmtId="0" fontId="0" fillId="0" borderId="5" xfId="0" applyBorder="1" applyProtection="1"/>
    <xf numFmtId="0" fontId="3" fillId="0" borderId="5" xfId="0" applyFont="1" applyBorder="1" applyAlignment="1" applyProtection="1">
      <alignment horizontal="center"/>
    </xf>
    <xf numFmtId="0" fontId="3" fillId="3" borderId="5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center"/>
    </xf>
    <xf numFmtId="0" fontId="3" fillId="2" borderId="0" xfId="0" applyFont="1" applyFill="1" applyBorder="1" applyAlignment="1" applyProtection="1">
      <alignment horizontal="left"/>
      <protection locked="0"/>
    </xf>
    <xf numFmtId="0" fontId="3" fillId="2" borderId="0" xfId="0" applyFont="1" applyFill="1" applyBorder="1" applyAlignment="1" applyProtection="1">
      <alignment horizontal="left"/>
    </xf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3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2" borderId="7" xfId="0" applyFont="1" applyFill="1" applyBorder="1" applyAlignment="1" applyProtection="1">
      <alignment horizontal="center"/>
      <protection locked="0"/>
    </xf>
    <xf numFmtId="0" fontId="2" fillId="0" borderId="0" xfId="0" applyFont="1" applyBorder="1" applyAlignment="1" applyProtection="1"/>
    <xf numFmtId="0" fontId="0" fillId="0" borderId="0" xfId="0" applyAlignment="1"/>
    <xf numFmtId="0" fontId="3" fillId="2" borderId="2" xfId="0" applyFont="1" applyFill="1" applyBorder="1" applyAlignment="1" applyProtection="1"/>
    <xf numFmtId="0" fontId="0" fillId="0" borderId="0" xfId="0" applyAlignment="1" applyProtection="1"/>
    <xf numFmtId="0" fontId="3" fillId="0" borderId="0" xfId="0" applyFont="1" applyBorder="1" applyAlignment="1" applyProtection="1"/>
    <xf numFmtId="0" fontId="1" fillId="3" borderId="0" xfId="0" applyFont="1" applyFill="1" applyBorder="1" applyAlignment="1" applyProtection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vertical="center"/>
    </xf>
    <xf numFmtId="0" fontId="0" fillId="0" borderId="4" xfId="0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0" fillId="0" borderId="0" xfId="0" applyBorder="1"/>
    <xf numFmtId="0" fontId="6" fillId="0" borderId="0" xfId="0" applyFont="1" applyAlignment="1">
      <alignment horizontal="right" vertical="center"/>
    </xf>
    <xf numFmtId="0" fontId="6" fillId="0" borderId="9" xfId="0" applyFont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5" fillId="4" borderId="8" xfId="1" applyFill="1" applyBorder="1" applyAlignment="1">
      <alignment vertical="center"/>
    </xf>
    <xf numFmtId="0" fontId="0" fillId="2" borderId="4" xfId="0" applyFill="1" applyBorder="1"/>
    <xf numFmtId="0" fontId="6" fillId="0" borderId="0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29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121920</xdr:colOff>
      <xdr:row>5</xdr:row>
      <xdr:rowOff>0</xdr:rowOff>
    </xdr:from>
    <xdr:to>
      <xdr:col>5</xdr:col>
      <xdr:colOff>285750</xdr:colOff>
      <xdr:row>10</xdr:row>
      <xdr:rowOff>238125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DAF88DA-8985-4EAA-B6A7-AA969441C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82524">
          <a:off x="3429000" y="1325880"/>
          <a:ext cx="2457450" cy="2143125"/>
        </a:xfrm>
        <a:prstGeom prst="rect">
          <a:avLst/>
        </a:prstGeom>
      </xdr:spPr>
    </xdr:pic>
    <xdr:clientData/>
  </xdr:twoCellAnchor>
  <xdr:twoCellAnchor editAs="oneCell">
    <xdr:from>
      <xdr:col>9</xdr:col>
      <xdr:colOff>251460</xdr:colOff>
      <xdr:row>4</xdr:row>
      <xdr:rowOff>259079</xdr:rowOff>
    </xdr:from>
    <xdr:to>
      <xdr:col>13</xdr:col>
      <xdr:colOff>346710</xdr:colOff>
      <xdr:row>10</xdr:row>
      <xdr:rowOff>211454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CD23ACA-DF87-4D3D-9E6E-4F71D117A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7356">
          <a:off x="10370820" y="1386839"/>
          <a:ext cx="2533650" cy="2238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865650</xdr:colOff>
      <xdr:row>3</xdr:row>
      <xdr:rowOff>261989</xdr:rowOff>
    </xdr:from>
    <xdr:to>
      <xdr:col>5</xdr:col>
      <xdr:colOff>553850</xdr:colOff>
      <xdr:row>9</xdr:row>
      <xdr:rowOff>141566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5215F23-B9D8-4827-99EF-2A4E4DFFA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25513">
          <a:off x="3751725" y="1204964"/>
          <a:ext cx="2602850" cy="2165577"/>
        </a:xfrm>
        <a:prstGeom prst="rect">
          <a:avLst/>
        </a:prstGeom>
      </xdr:spPr>
    </xdr:pic>
    <xdr:clientData/>
  </xdr:twoCellAnchor>
  <xdr:twoCellAnchor editAs="oneCell">
    <xdr:from>
      <xdr:col>8</xdr:col>
      <xdr:colOff>838715</xdr:colOff>
      <xdr:row>4</xdr:row>
      <xdr:rowOff>355937</xdr:rowOff>
    </xdr:from>
    <xdr:to>
      <xdr:col>13</xdr:col>
      <xdr:colOff>170231</xdr:colOff>
      <xdr:row>10</xdr:row>
      <xdr:rowOff>193329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20FC696-55BC-4F10-B3E3-AA93B6166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0043">
          <a:off x="11308595" y="1681817"/>
          <a:ext cx="2630976" cy="212339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aye.com/HACC/fill_in_1_to_one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O69"/>
  <sheetViews>
    <sheetView showGridLines="0" workbookViewId="0">
      <selection activeCell="G4" sqref="G4:N13"/>
    </sheetView>
  </sheetViews>
  <sheetFormatPr defaultRowHeight="14.4" x14ac:dyDescent="0.3"/>
  <cols>
    <col min="1" max="1" width="19.5546875" customWidth="1"/>
    <col min="2" max="2" width="12.5546875" customWidth="1"/>
    <col min="3" max="3" width="10.88671875" customWidth="1"/>
    <col min="4" max="4" width="12.6640625" customWidth="1"/>
    <col min="5" max="5" width="33.44140625" customWidth="1"/>
    <col min="6" max="6" width="8.88671875" style="20"/>
    <col min="7" max="7" width="17.6640625" customWidth="1"/>
    <col min="8" max="8" width="12" customWidth="1"/>
    <col min="9" max="9" width="12.6640625" customWidth="1"/>
  </cols>
  <sheetData>
    <row r="1" spans="1:15" x14ac:dyDescent="0.3">
      <c r="A1" s="1"/>
      <c r="B1" s="4"/>
      <c r="C1" s="4"/>
      <c r="D1" s="4"/>
      <c r="E1" s="4"/>
      <c r="F1" s="4"/>
      <c r="G1" s="4"/>
      <c r="H1" s="4"/>
      <c r="I1" s="4"/>
      <c r="J1" s="1"/>
      <c r="K1" s="1"/>
      <c r="L1" s="1"/>
      <c r="M1" s="1"/>
      <c r="N1" s="1"/>
      <c r="O1" s="1"/>
    </row>
    <row r="2" spans="1:15" ht="30" x14ac:dyDescent="0.7">
      <c r="A2" s="1"/>
      <c r="B2" s="3" t="s">
        <v>0</v>
      </c>
      <c r="C2" s="26"/>
      <c r="D2" s="27"/>
      <c r="E2" s="27"/>
      <c r="F2" s="4"/>
      <c r="G2" s="4"/>
      <c r="H2" s="4"/>
      <c r="I2" s="4"/>
      <c r="J2" s="1"/>
      <c r="K2" s="1"/>
      <c r="L2" s="1"/>
      <c r="M2" s="1"/>
      <c r="N2" s="1"/>
      <c r="O2" s="1"/>
    </row>
    <row r="3" spans="1:15" x14ac:dyDescent="0.3">
      <c r="A3" s="17">
        <v>1</v>
      </c>
      <c r="B3" s="4"/>
      <c r="C3" s="28"/>
      <c r="D3" s="29"/>
      <c r="E3" s="30"/>
      <c r="F3" s="4"/>
      <c r="G3" s="4"/>
      <c r="H3" s="4"/>
      <c r="I3" s="4"/>
      <c r="J3" s="1"/>
      <c r="K3" s="1"/>
      <c r="L3" s="1"/>
      <c r="M3" s="1"/>
      <c r="N3" s="1"/>
      <c r="O3" s="1"/>
    </row>
    <row r="4" spans="1:15" ht="30" x14ac:dyDescent="0.7">
      <c r="A4" s="17">
        <v>1</v>
      </c>
      <c r="B4" s="2" t="s">
        <v>1</v>
      </c>
      <c r="C4" s="31">
        <v>1</v>
      </c>
      <c r="D4" s="2" t="str">
        <f t="shared" ref="D4:D13" si="0">IF(C4&lt;&gt;"",IF(C4=A4,"GOOD","  ?")," ")</f>
        <v>GOOD</v>
      </c>
      <c r="E4" s="32">
        <f>IF(D4="GOOD",1,0)</f>
        <v>1</v>
      </c>
      <c r="F4" s="30">
        <f>A3+10</f>
        <v>11</v>
      </c>
      <c r="G4" s="2" t="s">
        <v>2</v>
      </c>
      <c r="H4" s="31"/>
      <c r="I4" s="2" t="str">
        <f t="shared" ref="I4:I7" si="1">IF(H4&lt;&gt;"",IF(H4=F4,"GOOD","  ?")," ")</f>
        <v xml:space="preserve"> </v>
      </c>
      <c r="J4" s="1"/>
      <c r="K4" s="1"/>
      <c r="L4" s="1"/>
      <c r="M4" s="1"/>
      <c r="N4" s="1"/>
      <c r="O4" s="1"/>
    </row>
    <row r="5" spans="1:15" ht="30" x14ac:dyDescent="0.7">
      <c r="A5" s="17">
        <v>2</v>
      </c>
      <c r="B5" s="2" t="s">
        <v>3</v>
      </c>
      <c r="C5" s="31">
        <v>2</v>
      </c>
      <c r="D5" s="2" t="str">
        <f t="shared" si="0"/>
        <v>GOOD</v>
      </c>
      <c r="E5" s="32">
        <f t="shared" ref="E5:E11" si="2">IF(D5="GOOD",1,0)</f>
        <v>1</v>
      </c>
      <c r="F5" s="30">
        <f>A5+10</f>
        <v>12</v>
      </c>
      <c r="G5" s="2" t="s">
        <v>4</v>
      </c>
      <c r="H5" s="31"/>
      <c r="I5" s="2" t="str">
        <f t="shared" si="1"/>
        <v xml:space="preserve"> </v>
      </c>
      <c r="J5" s="1"/>
      <c r="K5" s="1"/>
      <c r="L5" s="1"/>
      <c r="M5" s="1"/>
      <c r="N5" s="1"/>
      <c r="O5" s="1"/>
    </row>
    <row r="6" spans="1:15" ht="30" x14ac:dyDescent="0.7">
      <c r="A6" s="17">
        <v>3</v>
      </c>
      <c r="B6" s="2" t="s">
        <v>5</v>
      </c>
      <c r="C6" s="31">
        <v>3</v>
      </c>
      <c r="D6" s="2" t="str">
        <f t="shared" si="0"/>
        <v>GOOD</v>
      </c>
      <c r="E6" s="32">
        <f t="shared" si="2"/>
        <v>1</v>
      </c>
      <c r="F6" s="30">
        <f t="shared" ref="F6:F13" si="3">A6+10</f>
        <v>13</v>
      </c>
      <c r="G6" s="2" t="s">
        <v>6</v>
      </c>
      <c r="H6" s="31">
        <v>13</v>
      </c>
      <c r="I6" s="2" t="str">
        <f t="shared" si="1"/>
        <v>GOOD</v>
      </c>
      <c r="J6" s="1"/>
      <c r="K6" s="1"/>
      <c r="L6" s="1"/>
      <c r="M6" s="1"/>
      <c r="N6" s="1"/>
      <c r="O6" s="1"/>
    </row>
    <row r="7" spans="1:15" ht="30" x14ac:dyDescent="0.7">
      <c r="A7" s="17">
        <v>4</v>
      </c>
      <c r="B7" s="2" t="s">
        <v>7</v>
      </c>
      <c r="C7" s="31">
        <v>4</v>
      </c>
      <c r="D7" s="2" t="str">
        <f t="shared" si="0"/>
        <v>GOOD</v>
      </c>
      <c r="E7" s="32">
        <f t="shared" si="2"/>
        <v>1</v>
      </c>
      <c r="F7" s="30">
        <f t="shared" si="3"/>
        <v>14</v>
      </c>
      <c r="G7" s="2" t="s">
        <v>8</v>
      </c>
      <c r="H7" s="31"/>
      <c r="I7" s="2" t="str">
        <f t="shared" si="1"/>
        <v xml:space="preserve"> </v>
      </c>
      <c r="J7" s="1"/>
      <c r="K7" s="1"/>
      <c r="L7" s="1"/>
      <c r="M7" s="1"/>
      <c r="N7" s="1"/>
      <c r="O7" s="1"/>
    </row>
    <row r="8" spans="1:15" ht="30" x14ac:dyDescent="0.7">
      <c r="A8" s="17">
        <v>5</v>
      </c>
      <c r="B8" s="2" t="s">
        <v>9</v>
      </c>
      <c r="C8" s="31">
        <v>5</v>
      </c>
      <c r="D8" s="2" t="str">
        <f t="shared" si="0"/>
        <v>GOOD</v>
      </c>
      <c r="E8" s="32">
        <f t="shared" si="2"/>
        <v>1</v>
      </c>
      <c r="F8" s="30">
        <f t="shared" si="3"/>
        <v>15</v>
      </c>
      <c r="G8" s="2" t="s">
        <v>10</v>
      </c>
      <c r="H8" s="31"/>
      <c r="I8" s="2" t="str">
        <f>IF(H8&lt;&gt;"",IF(H8=F8,"GOOD","  ?")," ")</f>
        <v xml:space="preserve"> </v>
      </c>
      <c r="J8" s="1"/>
      <c r="K8" s="1"/>
      <c r="L8" s="1"/>
      <c r="M8" s="1"/>
      <c r="N8" s="1"/>
      <c r="O8" s="1"/>
    </row>
    <row r="9" spans="1:15" ht="30" x14ac:dyDescent="0.7">
      <c r="A9" s="17">
        <v>6</v>
      </c>
      <c r="B9" s="2" t="s">
        <v>11</v>
      </c>
      <c r="C9" s="31">
        <v>6</v>
      </c>
      <c r="D9" s="2" t="str">
        <f t="shared" si="0"/>
        <v>GOOD</v>
      </c>
      <c r="E9" s="32">
        <f t="shared" si="2"/>
        <v>1</v>
      </c>
      <c r="F9" s="30">
        <f t="shared" si="3"/>
        <v>16</v>
      </c>
      <c r="G9" s="2" t="s">
        <v>12</v>
      </c>
      <c r="H9" s="31"/>
      <c r="I9" s="2" t="str">
        <f t="shared" ref="I9:I13" si="4">IF(H9&lt;&gt;"",IF(H9=F9,"GOOD","  ?")," ")</f>
        <v xml:space="preserve"> </v>
      </c>
      <c r="J9" s="8"/>
      <c r="K9" s="1"/>
      <c r="L9" s="1"/>
      <c r="M9" s="1"/>
      <c r="N9" s="1"/>
      <c r="O9" s="1"/>
    </row>
    <row r="10" spans="1:15" ht="30" x14ac:dyDescent="0.7">
      <c r="A10" s="17">
        <v>7</v>
      </c>
      <c r="B10" s="2" t="s">
        <v>13</v>
      </c>
      <c r="C10" s="31">
        <v>7</v>
      </c>
      <c r="D10" s="2" t="str">
        <f t="shared" si="0"/>
        <v>GOOD</v>
      </c>
      <c r="E10" s="32">
        <f t="shared" si="2"/>
        <v>1</v>
      </c>
      <c r="F10" s="30">
        <f t="shared" si="3"/>
        <v>17</v>
      </c>
      <c r="G10" s="2" t="s">
        <v>14</v>
      </c>
      <c r="H10" s="31"/>
      <c r="I10" s="2" t="str">
        <f t="shared" si="4"/>
        <v xml:space="preserve"> </v>
      </c>
      <c r="J10" s="1"/>
      <c r="K10" s="1"/>
      <c r="L10" s="1"/>
      <c r="M10" s="1"/>
      <c r="N10" s="1"/>
      <c r="O10" s="1"/>
    </row>
    <row r="11" spans="1:15" ht="30" x14ac:dyDescent="0.7">
      <c r="A11" s="17">
        <v>8</v>
      </c>
      <c r="B11" s="2" t="s">
        <v>15</v>
      </c>
      <c r="C11" s="31">
        <v>8</v>
      </c>
      <c r="D11" s="2" t="str">
        <f t="shared" si="0"/>
        <v>GOOD</v>
      </c>
      <c r="E11" s="32">
        <f t="shared" si="2"/>
        <v>1</v>
      </c>
      <c r="F11" s="30">
        <f t="shared" si="3"/>
        <v>18</v>
      </c>
      <c r="G11" s="2" t="s">
        <v>16</v>
      </c>
      <c r="H11" s="31"/>
      <c r="I11" s="2" t="str">
        <f t="shared" si="4"/>
        <v xml:space="preserve"> </v>
      </c>
      <c r="J11" s="1"/>
      <c r="K11" s="1"/>
      <c r="L11" s="1"/>
      <c r="M11" s="1"/>
      <c r="N11" s="1"/>
      <c r="O11" s="1"/>
    </row>
    <row r="12" spans="1:15" ht="30" x14ac:dyDescent="0.7">
      <c r="A12" s="17">
        <v>9</v>
      </c>
      <c r="B12" s="7" t="s">
        <v>17</v>
      </c>
      <c r="C12" s="31">
        <v>9</v>
      </c>
      <c r="D12" s="2" t="str">
        <f t="shared" si="0"/>
        <v>GOOD</v>
      </c>
      <c r="E12" s="32"/>
      <c r="F12" s="30">
        <f t="shared" si="3"/>
        <v>19</v>
      </c>
      <c r="G12" s="7" t="s">
        <v>18</v>
      </c>
      <c r="H12" s="31"/>
      <c r="I12" s="2" t="str">
        <f t="shared" si="4"/>
        <v xml:space="preserve"> </v>
      </c>
      <c r="J12" s="1"/>
      <c r="K12" s="1"/>
      <c r="L12" s="1"/>
      <c r="M12" s="1"/>
      <c r="N12" s="1"/>
      <c r="O12" s="1"/>
    </row>
    <row r="13" spans="1:15" ht="30" x14ac:dyDescent="0.7">
      <c r="A13" s="17">
        <v>10</v>
      </c>
      <c r="B13" s="7" t="s">
        <v>19</v>
      </c>
      <c r="C13" s="31">
        <v>10</v>
      </c>
      <c r="D13" s="2" t="str">
        <f t="shared" si="0"/>
        <v>GOOD</v>
      </c>
      <c r="E13" s="32"/>
      <c r="F13" s="30">
        <f t="shared" si="3"/>
        <v>20</v>
      </c>
      <c r="G13" s="7" t="s">
        <v>20</v>
      </c>
      <c r="H13" s="31"/>
      <c r="I13" s="2" t="str">
        <f t="shared" si="4"/>
        <v xml:space="preserve"> </v>
      </c>
      <c r="J13" s="1"/>
      <c r="K13" s="1"/>
      <c r="L13" s="1"/>
      <c r="M13" s="1"/>
      <c r="N13" s="1"/>
      <c r="O13" s="1"/>
    </row>
    <row r="14" spans="1:15" s="1" customFormat="1" ht="30" x14ac:dyDescent="0.7">
      <c r="B14" s="6"/>
      <c r="C14" s="7"/>
      <c r="D14" s="16"/>
      <c r="E14" s="30"/>
      <c r="F14" s="4"/>
      <c r="G14" s="4"/>
      <c r="H14" s="4"/>
      <c r="I14" s="4"/>
    </row>
    <row r="15" spans="1:15" s="1" customFormat="1" ht="34.200000000000003" x14ac:dyDescent="0.8">
      <c r="B15" s="6"/>
      <c r="C15" s="7"/>
      <c r="D15" s="5"/>
      <c r="E15" s="17"/>
      <c r="F15" s="21"/>
    </row>
    <row r="16" spans="1:15" s="1" customFormat="1" x14ac:dyDescent="0.3">
      <c r="C16" s="9"/>
      <c r="D16" s="15"/>
      <c r="E16" s="17"/>
      <c r="F16" s="21"/>
    </row>
    <row r="17" spans="3:6" s="1" customFormat="1" x14ac:dyDescent="0.3">
      <c r="C17" s="9"/>
      <c r="D17" s="15"/>
      <c r="E17" s="17"/>
      <c r="F17" s="21"/>
    </row>
    <row r="18" spans="3:6" s="1" customFormat="1" x14ac:dyDescent="0.3">
      <c r="F18" s="21"/>
    </row>
    <row r="19" spans="3:6" s="1" customFormat="1" x14ac:dyDescent="0.3">
      <c r="F19" s="21"/>
    </row>
    <row r="20" spans="3:6" s="1" customFormat="1" x14ac:dyDescent="0.3">
      <c r="F20" s="21"/>
    </row>
    <row r="21" spans="3:6" s="1" customFormat="1" x14ac:dyDescent="0.3">
      <c r="F21" s="21"/>
    </row>
    <row r="22" spans="3:6" s="1" customFormat="1" x14ac:dyDescent="0.3">
      <c r="F22" s="21"/>
    </row>
    <row r="23" spans="3:6" s="1" customFormat="1" x14ac:dyDescent="0.3">
      <c r="F23" s="21"/>
    </row>
    <row r="24" spans="3:6" s="1" customFormat="1" x14ac:dyDescent="0.3">
      <c r="F24" s="21"/>
    </row>
    <row r="25" spans="3:6" s="1" customFormat="1" x14ac:dyDescent="0.3">
      <c r="F25" s="21"/>
    </row>
    <row r="26" spans="3:6" s="1" customFormat="1" x14ac:dyDescent="0.3">
      <c r="F26" s="21"/>
    </row>
    <row r="27" spans="3:6" s="1" customFormat="1" x14ac:dyDescent="0.3">
      <c r="F27" s="21"/>
    </row>
    <row r="28" spans="3:6" s="1" customFormat="1" x14ac:dyDescent="0.3">
      <c r="F28" s="21"/>
    </row>
    <row r="29" spans="3:6" s="1" customFormat="1" x14ac:dyDescent="0.3">
      <c r="F29" s="21"/>
    </row>
    <row r="30" spans="3:6" s="1" customFormat="1" x14ac:dyDescent="0.3">
      <c r="F30" s="21"/>
    </row>
    <row r="31" spans="3:6" s="1" customFormat="1" x14ac:dyDescent="0.3">
      <c r="F31" s="21"/>
    </row>
    <row r="32" spans="3:6" s="1" customFormat="1" x14ac:dyDescent="0.3">
      <c r="F32" s="21"/>
    </row>
    <row r="33" spans="6:6" s="1" customFormat="1" x14ac:dyDescent="0.3">
      <c r="F33" s="21"/>
    </row>
    <row r="34" spans="6:6" s="1" customFormat="1" x14ac:dyDescent="0.3">
      <c r="F34" s="21"/>
    </row>
    <row r="35" spans="6:6" s="1" customFormat="1" x14ac:dyDescent="0.3">
      <c r="F35" s="21"/>
    </row>
    <row r="36" spans="6:6" s="1" customFormat="1" x14ac:dyDescent="0.3">
      <c r="F36" s="21"/>
    </row>
    <row r="37" spans="6:6" s="1" customFormat="1" x14ac:dyDescent="0.3">
      <c r="F37" s="21"/>
    </row>
    <row r="38" spans="6:6" s="1" customFormat="1" x14ac:dyDescent="0.3">
      <c r="F38" s="21"/>
    </row>
    <row r="39" spans="6:6" s="1" customFormat="1" x14ac:dyDescent="0.3">
      <c r="F39" s="21"/>
    </row>
    <row r="40" spans="6:6" s="1" customFormat="1" x14ac:dyDescent="0.3">
      <c r="F40" s="21"/>
    </row>
    <row r="41" spans="6:6" s="1" customFormat="1" x14ac:dyDescent="0.3">
      <c r="F41" s="21"/>
    </row>
    <row r="42" spans="6:6" s="1" customFormat="1" x14ac:dyDescent="0.3">
      <c r="F42" s="21"/>
    </row>
    <row r="43" spans="6:6" s="1" customFormat="1" x14ac:dyDescent="0.3">
      <c r="F43" s="21"/>
    </row>
    <row r="44" spans="6:6" s="1" customFormat="1" x14ac:dyDescent="0.3">
      <c r="F44" s="21"/>
    </row>
    <row r="45" spans="6:6" s="1" customFormat="1" x14ac:dyDescent="0.3">
      <c r="F45" s="21"/>
    </row>
    <row r="46" spans="6:6" s="1" customFormat="1" x14ac:dyDescent="0.3">
      <c r="F46" s="21"/>
    </row>
    <row r="47" spans="6:6" s="1" customFormat="1" x14ac:dyDescent="0.3">
      <c r="F47" s="21"/>
    </row>
    <row r="48" spans="6:6" s="1" customFormat="1" x14ac:dyDescent="0.3">
      <c r="F48" s="21"/>
    </row>
    <row r="49" spans="6:6" s="1" customFormat="1" x14ac:dyDescent="0.3">
      <c r="F49" s="21"/>
    </row>
    <row r="50" spans="6:6" s="1" customFormat="1" x14ac:dyDescent="0.3">
      <c r="F50" s="21"/>
    </row>
    <row r="51" spans="6:6" s="1" customFormat="1" x14ac:dyDescent="0.3">
      <c r="F51" s="21"/>
    </row>
    <row r="52" spans="6:6" s="1" customFormat="1" x14ac:dyDescent="0.3">
      <c r="F52" s="21"/>
    </row>
    <row r="53" spans="6:6" s="1" customFormat="1" x14ac:dyDescent="0.3">
      <c r="F53" s="21"/>
    </row>
    <row r="54" spans="6:6" s="1" customFormat="1" x14ac:dyDescent="0.3">
      <c r="F54" s="21"/>
    </row>
    <row r="55" spans="6:6" s="1" customFormat="1" x14ac:dyDescent="0.3">
      <c r="F55" s="21"/>
    </row>
    <row r="56" spans="6:6" s="1" customFormat="1" x14ac:dyDescent="0.3">
      <c r="F56" s="21"/>
    </row>
    <row r="57" spans="6:6" s="1" customFormat="1" x14ac:dyDescent="0.3">
      <c r="F57" s="21"/>
    </row>
    <row r="58" spans="6:6" s="1" customFormat="1" x14ac:dyDescent="0.3">
      <c r="F58" s="21"/>
    </row>
    <row r="59" spans="6:6" s="1" customFormat="1" x14ac:dyDescent="0.3">
      <c r="F59" s="21"/>
    </row>
    <row r="60" spans="6:6" s="1" customFormat="1" x14ac:dyDescent="0.3">
      <c r="F60" s="21"/>
    </row>
    <row r="61" spans="6:6" s="1" customFormat="1" x14ac:dyDescent="0.3">
      <c r="F61" s="21"/>
    </row>
    <row r="62" spans="6:6" s="1" customFormat="1" x14ac:dyDescent="0.3">
      <c r="F62" s="21"/>
    </row>
    <row r="63" spans="6:6" s="1" customFormat="1" x14ac:dyDescent="0.3">
      <c r="F63" s="21"/>
    </row>
    <row r="64" spans="6:6" s="1" customFormat="1" x14ac:dyDescent="0.3">
      <c r="F64" s="21"/>
    </row>
    <row r="65" spans="6:6" s="1" customFormat="1" x14ac:dyDescent="0.3">
      <c r="F65" s="21"/>
    </row>
    <row r="66" spans="6:6" s="1" customFormat="1" x14ac:dyDescent="0.3">
      <c r="F66" s="21"/>
    </row>
    <row r="67" spans="6:6" s="1" customFormat="1" x14ac:dyDescent="0.3">
      <c r="F67" s="21"/>
    </row>
    <row r="68" spans="6:6" s="1" customFormat="1" x14ac:dyDescent="0.3">
      <c r="F68" s="21"/>
    </row>
    <row r="69" spans="6:6" s="1" customFormat="1" x14ac:dyDescent="0.3">
      <c r="F69" s="21"/>
    </row>
  </sheetData>
  <sheetProtection selectLockedCells="1"/>
  <conditionalFormatting sqref="C14:C15">
    <cfRule type="cellIs" dxfId="28" priority="2" operator="equal">
      <formula>"Correct!"</formula>
    </cfRule>
    <cfRule type="cellIs" dxfId="27" priority="3" operator="equal">
      <formula>"Correct!"</formula>
    </cfRule>
  </conditionalFormatting>
  <conditionalFormatting sqref="C14:C15">
    <cfRule type="cellIs" dxfId="26" priority="1" operator="equal">
      <formula>"Please try again"</formula>
    </cfRule>
  </conditionalFormatting>
  <pageMargins left="0.7" right="0.7" top="0.75" bottom="0.75" header="0.3" footer="0.3"/>
  <pageSetup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7"/>
  <sheetViews>
    <sheetView showGridLines="0" workbookViewId="0">
      <selection activeCell="A4" sqref="A4"/>
    </sheetView>
  </sheetViews>
  <sheetFormatPr defaultRowHeight="14.4" x14ac:dyDescent="0.3"/>
  <cols>
    <col min="1" max="1" width="10.44140625" customWidth="1"/>
    <col min="2" max="2" width="10.5546875" customWidth="1"/>
    <col min="3" max="3" width="22.33203125" style="14" customWidth="1"/>
    <col min="4" max="4" width="14.33203125" style="35" customWidth="1"/>
    <col min="5" max="5" width="29.44140625" style="18" customWidth="1"/>
    <col min="6" max="6" width="29.109375" customWidth="1"/>
    <col min="7" max="7" width="11.109375" style="20" customWidth="1"/>
    <col min="8" max="8" width="25.44140625" customWidth="1"/>
    <col min="9" max="9" width="12.5546875" customWidth="1"/>
  </cols>
  <sheetData>
    <row r="1" spans="1:34" x14ac:dyDescent="0.3"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34" ht="30" x14ac:dyDescent="0.7">
      <c r="A2" s="17"/>
      <c r="B2" s="2" t="s">
        <v>0</v>
      </c>
      <c r="C2" s="24"/>
      <c r="D2" s="36"/>
      <c r="E2" s="25"/>
      <c r="F2" s="1"/>
      <c r="G2" s="2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ht="30" x14ac:dyDescent="0.7">
      <c r="A3" s="17"/>
      <c r="B3" s="1"/>
      <c r="C3" s="9"/>
      <c r="D3" s="37"/>
      <c r="E3" s="17"/>
      <c r="F3" s="1"/>
      <c r="G3" s="21"/>
      <c r="H3" s="1"/>
      <c r="I3" s="1"/>
      <c r="J3" s="2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</row>
    <row r="4" spans="1:34" ht="30" x14ac:dyDescent="0.7">
      <c r="A4" s="17" t="s">
        <v>1</v>
      </c>
      <c r="B4" s="2">
        <v>1</v>
      </c>
      <c r="C4" s="11" t="s">
        <v>1</v>
      </c>
      <c r="D4" s="38" t="str">
        <f t="shared" ref="D4:D7" si="0">IF(C4&lt;&gt;"",IF(A4=C4,"GOOD","  ?")," ")</f>
        <v>GOOD</v>
      </c>
      <c r="E4" s="19">
        <f>IF(D4="GOOD",1,0)</f>
        <v>1</v>
      </c>
      <c r="F4" s="17" t="s">
        <v>2</v>
      </c>
      <c r="G4" s="22">
        <v>11</v>
      </c>
      <c r="H4" s="11"/>
      <c r="I4" s="2" t="str">
        <f>IF(H4&lt;&gt;"",IF(H4=J4,"GOOD","  ?")," ")</f>
        <v xml:space="preserve"> </v>
      </c>
      <c r="J4" s="17" t="s">
        <v>2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</row>
    <row r="5" spans="1:34" ht="30" x14ac:dyDescent="0.7">
      <c r="A5" s="17" t="s">
        <v>3</v>
      </c>
      <c r="B5" s="2">
        <v>2</v>
      </c>
      <c r="C5" s="12"/>
      <c r="D5" s="38" t="str">
        <f t="shared" si="0"/>
        <v xml:space="preserve"> </v>
      </c>
      <c r="E5" s="19">
        <f t="shared" ref="E5:E11" si="1">IF(D5="GOOD",1,0)</f>
        <v>0</v>
      </c>
      <c r="F5" s="17" t="s">
        <v>4</v>
      </c>
      <c r="G5" s="22">
        <v>12</v>
      </c>
      <c r="H5" s="12"/>
      <c r="I5" s="2" t="str">
        <f t="shared" ref="I5:I13" si="2">IF(H5&lt;&gt;"",IF(F5=H5,"GOOD","  ?")," ")</f>
        <v xml:space="preserve"> </v>
      </c>
      <c r="J5" s="17" t="s">
        <v>4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ht="30" x14ac:dyDescent="0.7">
      <c r="A6" s="17" t="s">
        <v>5</v>
      </c>
      <c r="B6" s="2">
        <v>3</v>
      </c>
      <c r="C6" s="11" t="s">
        <v>5</v>
      </c>
      <c r="D6" s="38" t="str">
        <f t="shared" si="0"/>
        <v>GOOD</v>
      </c>
      <c r="E6" s="19">
        <f t="shared" si="1"/>
        <v>1</v>
      </c>
      <c r="F6" s="17" t="s">
        <v>6</v>
      </c>
      <c r="G6" s="22">
        <v>13</v>
      </c>
      <c r="H6" s="11"/>
      <c r="I6" s="2" t="str">
        <f t="shared" si="2"/>
        <v xml:space="preserve"> </v>
      </c>
      <c r="J6" s="17" t="s">
        <v>6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ht="30" x14ac:dyDescent="0.7">
      <c r="A7" s="17" t="s">
        <v>7</v>
      </c>
      <c r="B7" s="2">
        <v>4</v>
      </c>
      <c r="C7" s="11"/>
      <c r="D7" s="38" t="str">
        <f t="shared" si="0"/>
        <v xml:space="preserve"> </v>
      </c>
      <c r="E7" s="19">
        <f t="shared" si="1"/>
        <v>0</v>
      </c>
      <c r="F7" s="17" t="s">
        <v>8</v>
      </c>
      <c r="G7" s="22">
        <v>14</v>
      </c>
      <c r="H7" s="11"/>
      <c r="I7" s="2" t="str">
        <f t="shared" si="2"/>
        <v xml:space="preserve"> </v>
      </c>
      <c r="J7" s="17" t="s">
        <v>8</v>
      </c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</row>
    <row r="8" spans="1:34" ht="30" x14ac:dyDescent="0.7">
      <c r="A8" s="17" t="s">
        <v>9</v>
      </c>
      <c r="B8" s="2">
        <v>5</v>
      </c>
      <c r="C8" s="11"/>
      <c r="D8" s="38" t="str">
        <f>IF(C8&lt;&gt;"",IF(A8=C8,"GOOD","  ?")," ")</f>
        <v xml:space="preserve"> </v>
      </c>
      <c r="E8" s="19">
        <f t="shared" si="1"/>
        <v>0</v>
      </c>
      <c r="F8" s="17" t="s">
        <v>10</v>
      </c>
      <c r="G8" s="22">
        <v>15</v>
      </c>
      <c r="H8" s="11"/>
      <c r="I8" s="2" t="str">
        <f t="shared" si="2"/>
        <v xml:space="preserve"> </v>
      </c>
      <c r="J8" s="17" t="s">
        <v>10</v>
      </c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</row>
    <row r="9" spans="1:34" ht="30" x14ac:dyDescent="0.7">
      <c r="A9" s="17" t="s">
        <v>11</v>
      </c>
      <c r="B9" s="2">
        <v>6</v>
      </c>
      <c r="C9" s="11"/>
      <c r="D9" s="38" t="str">
        <f t="shared" ref="D9:D13" si="3">IF(C9&lt;&gt;"",IF(A9=C9,"GOOD","  ?")," ")</f>
        <v xml:space="preserve"> </v>
      </c>
      <c r="E9" s="19">
        <f t="shared" si="1"/>
        <v>0</v>
      </c>
      <c r="F9" s="17" t="s">
        <v>12</v>
      </c>
      <c r="G9" s="22">
        <v>16</v>
      </c>
      <c r="H9" s="11"/>
      <c r="I9" s="2" t="str">
        <f t="shared" si="2"/>
        <v xml:space="preserve"> </v>
      </c>
      <c r="J9" s="17" t="s">
        <v>12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</row>
    <row r="10" spans="1:34" ht="30" x14ac:dyDescent="0.7">
      <c r="A10" s="17" t="s">
        <v>13</v>
      </c>
      <c r="B10" s="2">
        <v>7</v>
      </c>
      <c r="C10" s="13"/>
      <c r="D10" s="38" t="str">
        <f t="shared" si="3"/>
        <v xml:space="preserve"> </v>
      </c>
      <c r="E10" s="19">
        <f t="shared" si="1"/>
        <v>0</v>
      </c>
      <c r="F10" s="17" t="s">
        <v>14</v>
      </c>
      <c r="G10" s="22">
        <v>17</v>
      </c>
      <c r="H10" s="13"/>
      <c r="I10" s="2" t="str">
        <f t="shared" si="2"/>
        <v xml:space="preserve"> </v>
      </c>
      <c r="J10" s="17" t="s">
        <v>14</v>
      </c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</row>
    <row r="11" spans="1:34" ht="30" x14ac:dyDescent="0.7">
      <c r="A11" s="17" t="s">
        <v>15</v>
      </c>
      <c r="B11" s="2">
        <v>8</v>
      </c>
      <c r="C11" s="13"/>
      <c r="D11" s="38" t="str">
        <f t="shared" si="3"/>
        <v xml:space="preserve"> </v>
      </c>
      <c r="E11" s="19">
        <f t="shared" si="1"/>
        <v>0</v>
      </c>
      <c r="F11" s="17" t="s">
        <v>16</v>
      </c>
      <c r="G11" s="22">
        <v>18</v>
      </c>
      <c r="H11" s="13"/>
      <c r="I11" s="2" t="str">
        <f t="shared" si="2"/>
        <v xml:space="preserve"> </v>
      </c>
      <c r="J11" s="17" t="s">
        <v>16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</row>
    <row r="12" spans="1:34" ht="30" x14ac:dyDescent="0.7">
      <c r="A12" s="17" t="s">
        <v>17</v>
      </c>
      <c r="B12" s="7">
        <v>9</v>
      </c>
      <c r="C12" s="13"/>
      <c r="D12" s="38" t="str">
        <f t="shared" si="3"/>
        <v xml:space="preserve"> </v>
      </c>
      <c r="E12" s="19"/>
      <c r="F12" s="17" t="s">
        <v>18</v>
      </c>
      <c r="G12" s="23">
        <v>19</v>
      </c>
      <c r="H12" s="13" t="s">
        <v>18</v>
      </c>
      <c r="I12" s="2" t="str">
        <f t="shared" si="2"/>
        <v>GOOD</v>
      </c>
      <c r="J12" s="17" t="s">
        <v>18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30" x14ac:dyDescent="0.7">
      <c r="A13" s="17" t="s">
        <v>19</v>
      </c>
      <c r="B13" s="7">
        <v>10</v>
      </c>
      <c r="C13" s="13"/>
      <c r="D13" s="38" t="str">
        <f t="shared" si="3"/>
        <v xml:space="preserve"> </v>
      </c>
      <c r="E13" s="19"/>
      <c r="F13" s="17" t="s">
        <v>20</v>
      </c>
      <c r="G13" s="23">
        <v>20</v>
      </c>
      <c r="H13" s="13"/>
      <c r="I13" s="2" t="str">
        <f t="shared" si="2"/>
        <v xml:space="preserve"> </v>
      </c>
      <c r="J13" s="17" t="s">
        <v>20</v>
      </c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</row>
    <row r="14" spans="1:34" ht="30" x14ac:dyDescent="0.7">
      <c r="A14" s="1"/>
      <c r="B14" s="6"/>
      <c r="C14" s="7"/>
      <c r="D14" s="39"/>
      <c r="E14" s="17"/>
      <c r="F14" s="1"/>
      <c r="G14" s="21"/>
      <c r="H14" s="1"/>
      <c r="I14" s="1"/>
      <c r="J14" s="17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</row>
    <row r="15" spans="1:34" ht="34.200000000000003" x14ac:dyDescent="0.8">
      <c r="A15" s="1"/>
      <c r="B15" s="6"/>
      <c r="C15" s="7"/>
      <c r="D15" s="34"/>
      <c r="E15" s="17"/>
      <c r="F15" s="1"/>
      <c r="G15" s="2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</row>
    <row r="16" spans="1:34" ht="30" x14ac:dyDescent="0.7">
      <c r="A16" s="1"/>
      <c r="B16" s="6"/>
      <c r="C16" s="7"/>
      <c r="D16" s="39"/>
      <c r="E16" s="17"/>
      <c r="F16" s="1"/>
      <c r="G16" s="2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</row>
    <row r="17" spans="1:34" x14ac:dyDescent="0.3">
      <c r="A17" s="1"/>
      <c r="B17" s="1"/>
      <c r="C17" s="9"/>
      <c r="D17" s="37"/>
      <c r="E17" s="17"/>
      <c r="F17" s="1"/>
      <c r="G17" s="2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</row>
    <row r="18" spans="1:34" x14ac:dyDescent="0.3">
      <c r="A18" s="1"/>
      <c r="B18" s="1"/>
      <c r="C18" s="9"/>
      <c r="D18" s="37"/>
      <c r="E18" s="17"/>
      <c r="F18" s="1"/>
      <c r="G18" s="2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</row>
    <row r="19" spans="1:34" x14ac:dyDescent="0.3">
      <c r="A19" s="1"/>
      <c r="B19" s="1"/>
      <c r="C19" s="9"/>
      <c r="D19" s="37"/>
      <c r="E19" s="17"/>
      <c r="F19" s="1"/>
      <c r="G19" s="2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</row>
    <row r="20" spans="1:34" x14ac:dyDescent="0.3">
      <c r="A20" s="1"/>
      <c r="B20" s="1"/>
      <c r="C20" s="9"/>
      <c r="D20" s="37"/>
      <c r="E20" s="17"/>
      <c r="F20" s="1"/>
      <c r="G20" s="2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</row>
    <row r="21" spans="1:34" x14ac:dyDescent="0.3">
      <c r="A21" s="1"/>
      <c r="B21" s="1"/>
      <c r="C21" s="9"/>
      <c r="D21" s="37"/>
      <c r="E21" s="17"/>
      <c r="F21" s="1"/>
      <c r="G21" s="2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</row>
    <row r="22" spans="1:34" x14ac:dyDescent="0.3">
      <c r="A22" s="1"/>
      <c r="B22" s="1"/>
      <c r="C22" s="9"/>
      <c r="D22" s="37"/>
      <c r="E22" s="17"/>
      <c r="F22" s="1"/>
      <c r="G22" s="2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</row>
    <row r="23" spans="1:34" x14ac:dyDescent="0.3">
      <c r="A23" s="1"/>
      <c r="B23" s="1"/>
      <c r="C23" s="9"/>
      <c r="D23" s="37"/>
      <c r="E23" s="17"/>
      <c r="F23" s="1"/>
      <c r="G23" s="2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</row>
    <row r="24" spans="1:34" x14ac:dyDescent="0.3">
      <c r="A24" s="1"/>
      <c r="B24" s="1"/>
      <c r="C24" s="9"/>
      <c r="D24" s="37"/>
      <c r="E24" s="17"/>
      <c r="F24" s="1"/>
      <c r="G24" s="2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</row>
    <row r="25" spans="1:34" x14ac:dyDescent="0.3">
      <c r="A25" s="1"/>
      <c r="B25" s="1"/>
      <c r="C25" s="9"/>
      <c r="D25" s="37"/>
      <c r="E25" s="17"/>
      <c r="F25" s="1"/>
      <c r="G25" s="2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</row>
    <row r="26" spans="1:34" x14ac:dyDescent="0.3">
      <c r="A26" s="1"/>
      <c r="B26" s="1"/>
      <c r="C26" s="9"/>
      <c r="D26" s="37"/>
      <c r="E26" s="17"/>
      <c r="F26" s="1"/>
      <c r="G26" s="2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spans="1:34" x14ac:dyDescent="0.3">
      <c r="A27" s="1"/>
      <c r="B27" s="1"/>
      <c r="C27" s="9"/>
      <c r="D27" s="37"/>
      <c r="E27" s="17"/>
      <c r="F27" s="1"/>
      <c r="G27" s="2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spans="1:34" x14ac:dyDescent="0.3">
      <c r="A28" s="1"/>
      <c r="B28" s="1"/>
      <c r="C28" s="9"/>
      <c r="D28" s="37"/>
      <c r="E28" s="17"/>
      <c r="F28" s="1"/>
      <c r="G28" s="2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spans="1:34" x14ac:dyDescent="0.3">
      <c r="A29" s="1"/>
      <c r="B29" s="1"/>
      <c r="C29" s="9"/>
      <c r="D29" s="37"/>
      <c r="E29" s="17"/>
      <c r="F29" s="1"/>
      <c r="G29" s="2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spans="1:34" x14ac:dyDescent="0.3">
      <c r="A30" s="1"/>
      <c r="B30" s="1"/>
      <c r="C30" s="9"/>
      <c r="D30" s="37"/>
      <c r="E30" s="17"/>
      <c r="F30" s="1"/>
      <c r="G30" s="2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spans="1:34" x14ac:dyDescent="0.3">
      <c r="A31" s="1"/>
      <c r="B31" s="1"/>
      <c r="C31" s="9"/>
      <c r="D31" s="37"/>
      <c r="E31" s="17"/>
      <c r="F31" s="1"/>
      <c r="G31" s="2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x14ac:dyDescent="0.3">
      <c r="A32" s="1"/>
      <c r="B32" s="1"/>
      <c r="C32" s="9"/>
      <c r="D32" s="37"/>
      <c r="E32" s="17"/>
      <c r="F32" s="1"/>
      <c r="G32" s="2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spans="1:34" x14ac:dyDescent="0.3">
      <c r="A33" s="1"/>
      <c r="B33" s="1"/>
      <c r="C33" s="9"/>
      <c r="D33" s="37"/>
      <c r="E33" s="17"/>
      <c r="F33" s="1"/>
      <c r="G33" s="2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spans="1:34" x14ac:dyDescent="0.3">
      <c r="A34" s="1"/>
      <c r="B34" s="1"/>
      <c r="C34" s="9"/>
      <c r="D34" s="37"/>
      <c r="E34" s="17"/>
      <c r="F34" s="1"/>
      <c r="G34" s="2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spans="1:34" x14ac:dyDescent="0.3">
      <c r="A35" s="1"/>
      <c r="B35" s="1"/>
      <c r="C35" s="9"/>
      <c r="D35" s="37"/>
      <c r="E35" s="17"/>
      <c r="F35" s="1"/>
      <c r="G35" s="2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spans="1:34" x14ac:dyDescent="0.3">
      <c r="A36" s="1"/>
      <c r="B36" s="1"/>
      <c r="C36" s="9"/>
      <c r="D36" s="37"/>
      <c r="E36" s="17"/>
      <c r="F36" s="1"/>
      <c r="G36" s="2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spans="1:34" x14ac:dyDescent="0.3">
      <c r="A37" s="1"/>
      <c r="B37" s="1"/>
      <c r="C37" s="9"/>
      <c r="D37" s="37"/>
      <c r="E37" s="17"/>
      <c r="F37" s="1"/>
      <c r="G37" s="2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spans="1:34" x14ac:dyDescent="0.3">
      <c r="A38" s="1"/>
      <c r="B38" s="1"/>
      <c r="C38" s="9"/>
      <c r="D38" s="37"/>
      <c r="E38" s="17"/>
      <c r="F38" s="1"/>
      <c r="G38" s="2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spans="1:34" x14ac:dyDescent="0.3">
      <c r="A39" s="1"/>
      <c r="B39" s="1"/>
      <c r="C39" s="9"/>
      <c r="D39" s="37"/>
      <c r="E39" s="17"/>
      <c r="F39" s="1"/>
      <c r="G39" s="2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spans="1:34" x14ac:dyDescent="0.3">
      <c r="A40" s="1"/>
      <c r="B40" s="1"/>
      <c r="C40" s="9"/>
      <c r="D40" s="37"/>
      <c r="E40" s="17"/>
      <c r="F40" s="1"/>
      <c r="G40" s="2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spans="1:34" x14ac:dyDescent="0.3">
      <c r="A41" s="1"/>
      <c r="B41" s="1"/>
      <c r="C41" s="9"/>
      <c r="D41" s="37"/>
      <c r="E41" s="17"/>
      <c r="F41" s="1"/>
      <c r="G41" s="2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spans="1:34" x14ac:dyDescent="0.3">
      <c r="A42" s="1"/>
      <c r="B42" s="1"/>
      <c r="C42" s="9"/>
      <c r="D42" s="37"/>
      <c r="E42" s="17"/>
      <c r="F42" s="1"/>
      <c r="G42" s="2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spans="1:34" x14ac:dyDescent="0.3">
      <c r="A43" s="1"/>
      <c r="B43" s="1"/>
      <c r="C43" s="9"/>
      <c r="D43" s="37"/>
      <c r="E43" s="17"/>
      <c r="F43" s="1"/>
      <c r="G43" s="2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spans="1:34" x14ac:dyDescent="0.3">
      <c r="A44" s="1"/>
      <c r="B44" s="1"/>
      <c r="C44" s="9"/>
      <c r="D44" s="37"/>
      <c r="E44" s="17"/>
      <c r="F44" s="1"/>
      <c r="G44" s="2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x14ac:dyDescent="0.3">
      <c r="A45" s="1"/>
      <c r="B45" s="1"/>
      <c r="C45" s="9"/>
      <c r="D45" s="37"/>
      <c r="E45" s="17"/>
      <c r="F45" s="1"/>
      <c r="G45" s="2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pans="1:34" x14ac:dyDescent="0.3">
      <c r="A46" s="1"/>
      <c r="B46" s="1"/>
      <c r="C46" s="9"/>
      <c r="D46" s="37"/>
      <c r="E46" s="17"/>
      <c r="F46" s="1"/>
      <c r="G46" s="2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spans="1:34" x14ac:dyDescent="0.3">
      <c r="A47" s="1"/>
      <c r="B47" s="1"/>
      <c r="C47" s="9"/>
      <c r="D47" s="37"/>
      <c r="E47" s="17"/>
      <c r="F47" s="1"/>
      <c r="G47" s="2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spans="1:34" x14ac:dyDescent="0.3">
      <c r="A48" s="1"/>
      <c r="B48" s="1"/>
      <c r="C48" s="9"/>
      <c r="D48" s="37"/>
      <c r="E48" s="17"/>
      <c r="F48" s="1"/>
      <c r="G48" s="2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spans="1:34" x14ac:dyDescent="0.3">
      <c r="A49" s="1"/>
      <c r="B49" s="1"/>
      <c r="C49" s="9"/>
      <c r="D49" s="37"/>
      <c r="E49" s="17"/>
      <c r="F49" s="1"/>
      <c r="G49" s="2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spans="1:34" x14ac:dyDescent="0.3">
      <c r="A50" s="1"/>
      <c r="B50" s="1"/>
      <c r="C50" s="9"/>
      <c r="D50" s="37"/>
      <c r="E50" s="17"/>
      <c r="F50" s="1"/>
      <c r="G50" s="2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spans="1:34" x14ac:dyDescent="0.3">
      <c r="A51" s="1"/>
      <c r="B51" s="1"/>
      <c r="C51" s="9"/>
      <c r="D51" s="37"/>
      <c r="E51" s="17"/>
      <c r="F51" s="1"/>
      <c r="G51" s="2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spans="1:34" x14ac:dyDescent="0.3">
      <c r="A52" s="1"/>
      <c r="B52" s="1"/>
      <c r="C52" s="9"/>
      <c r="D52" s="37"/>
      <c r="E52" s="17"/>
      <c r="F52" s="1"/>
      <c r="G52" s="2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34" x14ac:dyDescent="0.3">
      <c r="A53" s="1"/>
      <c r="B53" s="1"/>
      <c r="C53" s="9"/>
      <c r="D53" s="37"/>
      <c r="E53" s="17"/>
      <c r="F53" s="1"/>
      <c r="G53" s="2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34" x14ac:dyDescent="0.3">
      <c r="A54" s="1"/>
      <c r="B54" s="1"/>
      <c r="C54" s="9"/>
      <c r="D54" s="37"/>
      <c r="E54" s="17"/>
      <c r="F54" s="1"/>
      <c r="G54" s="2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34" x14ac:dyDescent="0.3">
      <c r="A55" s="1"/>
      <c r="B55" s="1"/>
      <c r="C55" s="9"/>
      <c r="D55" s="37"/>
      <c r="E55" s="17"/>
      <c r="F55" s="1"/>
      <c r="G55" s="2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34" x14ac:dyDescent="0.3">
      <c r="A56" s="1"/>
      <c r="B56" s="1"/>
      <c r="C56" s="9"/>
      <c r="D56" s="37"/>
      <c r="E56" s="17"/>
      <c r="F56" s="1"/>
      <c r="G56" s="2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34" x14ac:dyDescent="0.3">
      <c r="A57" s="1"/>
      <c r="B57" s="1"/>
      <c r="C57" s="9"/>
      <c r="D57" s="37"/>
      <c r="E57" s="17"/>
      <c r="F57" s="1"/>
      <c r="G57" s="2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34" x14ac:dyDescent="0.3">
      <c r="A58" s="1"/>
      <c r="B58" s="1"/>
      <c r="C58" s="9"/>
      <c r="D58" s="37"/>
      <c r="E58" s="17"/>
      <c r="F58" s="1"/>
      <c r="G58" s="2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34" x14ac:dyDescent="0.3">
      <c r="A59" s="1"/>
      <c r="B59" s="1"/>
      <c r="C59" s="9"/>
      <c r="D59" s="37"/>
      <c r="E59" s="17"/>
      <c r="F59" s="1"/>
      <c r="G59" s="2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34" x14ac:dyDescent="0.3">
      <c r="A60" s="1"/>
      <c r="B60" s="1"/>
      <c r="C60" s="9"/>
      <c r="D60" s="37"/>
      <c r="E60" s="17"/>
      <c r="F60" s="1"/>
      <c r="G60" s="2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34" x14ac:dyDescent="0.3">
      <c r="A61" s="1"/>
      <c r="B61" s="1"/>
      <c r="C61" s="9"/>
      <c r="D61" s="37"/>
      <c r="E61" s="17"/>
      <c r="F61" s="1"/>
      <c r="G61" s="2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34" x14ac:dyDescent="0.3">
      <c r="A62" s="1"/>
      <c r="B62" s="1"/>
      <c r="C62" s="9"/>
      <c r="D62" s="37"/>
      <c r="E62" s="17"/>
      <c r="F62" s="1"/>
      <c r="G62" s="2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34" x14ac:dyDescent="0.3">
      <c r="A63" s="1"/>
      <c r="B63" s="1"/>
      <c r="C63" s="9"/>
      <c r="D63" s="37"/>
      <c r="E63" s="17"/>
      <c r="F63" s="1"/>
      <c r="G63" s="2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34" x14ac:dyDescent="0.3">
      <c r="A64" s="1"/>
      <c r="B64" s="1"/>
      <c r="C64" s="9"/>
      <c r="D64" s="37"/>
      <c r="E64" s="17"/>
      <c r="F64" s="1"/>
      <c r="G64" s="2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3">
      <c r="A65" s="1"/>
      <c r="B65" s="1"/>
      <c r="C65" s="9"/>
      <c r="D65" s="37"/>
      <c r="E65" s="17"/>
      <c r="F65" s="1"/>
      <c r="G65" s="2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3">
      <c r="A66" s="1"/>
      <c r="B66" s="1"/>
      <c r="C66" s="9"/>
      <c r="D66" s="37"/>
      <c r="E66" s="17"/>
      <c r="F66" s="1"/>
      <c r="G66" s="2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3">
      <c r="A67" s="1"/>
      <c r="B67" s="1"/>
      <c r="C67" s="9"/>
      <c r="D67" s="37"/>
      <c r="E67" s="17"/>
      <c r="F67" s="1"/>
      <c r="G67" s="2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</sheetData>
  <sheetProtection selectLockedCells="1"/>
  <conditionalFormatting sqref="C14:C16">
    <cfRule type="cellIs" dxfId="25" priority="17" operator="equal">
      <formula>"Correct!"</formula>
    </cfRule>
    <cfRule type="cellIs" dxfId="24" priority="18" operator="equal">
      <formula>"Correct!"</formula>
    </cfRule>
  </conditionalFormatting>
  <conditionalFormatting sqref="C14:C16">
    <cfRule type="cellIs" dxfId="23" priority="11" operator="equal">
      <formula>"Please try again"</formula>
    </cfRule>
  </conditionalFormatting>
  <pageMargins left="0.7" right="0.7" top="0.75" bottom="0.7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FC63-F9F8-42DA-B877-4EA3F2A89223}">
  <dimension ref="A1:Q42"/>
  <sheetViews>
    <sheetView showGridLines="0" tabSelected="1" workbookViewId="0">
      <selection activeCell="H1" sqref="H1:I1"/>
    </sheetView>
  </sheetViews>
  <sheetFormatPr defaultRowHeight="14.4" x14ac:dyDescent="0.3"/>
  <cols>
    <col min="1" max="1" width="23.21875" customWidth="1"/>
    <col min="2" max="2" width="36" customWidth="1"/>
    <col min="3" max="3" width="8.88671875" customWidth="1"/>
    <col min="4" max="4" width="11.44140625" customWidth="1"/>
  </cols>
  <sheetData>
    <row r="1" spans="1:12" x14ac:dyDescent="0.3">
      <c r="G1" s="47" t="s">
        <v>40</v>
      </c>
      <c r="H1" s="50" t="s">
        <v>39</v>
      </c>
      <c r="I1" s="50"/>
      <c r="J1" s="48"/>
    </row>
    <row r="2" spans="1:12" x14ac:dyDescent="0.3">
      <c r="A2" s="1"/>
      <c r="B2" s="4"/>
      <c r="C2" s="4"/>
      <c r="D2" s="4"/>
      <c r="E2" s="4"/>
      <c r="F2" s="4"/>
      <c r="G2" s="49"/>
      <c r="H2" s="49"/>
      <c r="I2" s="49"/>
      <c r="J2" s="49"/>
      <c r="K2" s="46"/>
      <c r="L2" s="46"/>
    </row>
    <row r="3" spans="1:12" ht="30" x14ac:dyDescent="0.7">
      <c r="A3" s="1"/>
      <c r="B3" s="3" t="s">
        <v>0</v>
      </c>
      <c r="C3" s="51" t="str">
        <f>[1]!wwsInput()</f>
        <v/>
      </c>
      <c r="D3" s="51"/>
      <c r="E3" s="51"/>
      <c r="F3" s="51"/>
      <c r="K3" s="52"/>
      <c r="L3" s="52"/>
    </row>
    <row r="4" spans="1:12" x14ac:dyDescent="0.3">
      <c r="A4" s="17">
        <v>1</v>
      </c>
      <c r="B4" s="4"/>
      <c r="C4" s="28"/>
      <c r="D4" s="29"/>
      <c r="E4" s="30"/>
      <c r="F4" s="4"/>
    </row>
    <row r="5" spans="1:12" ht="30" x14ac:dyDescent="0.7">
      <c r="A5" s="17">
        <v>1</v>
      </c>
      <c r="B5" s="2" t="s">
        <v>1</v>
      </c>
      <c r="C5" s="31">
        <f>[1]!wwsInput(1)</f>
        <v>1</v>
      </c>
      <c r="D5" s="2" t="str">
        <f t="shared" ref="D5:D18" si="0">IF(C5&lt;&gt;"",IF(C5=A5,"GOOD","  ?")," ")</f>
        <v>GOOD</v>
      </c>
      <c r="E5" s="32">
        <f>IF(D5="GOOD",1,0)</f>
        <v>1</v>
      </c>
      <c r="F5" s="30">
        <f>A4+10</f>
        <v>11</v>
      </c>
    </row>
    <row r="6" spans="1:12" ht="30" x14ac:dyDescent="0.7">
      <c r="A6" s="17">
        <v>2</v>
      </c>
      <c r="B6" s="2" t="s">
        <v>3</v>
      </c>
      <c r="C6" s="31">
        <f>[1]!wwsInput(2)</f>
        <v>2</v>
      </c>
      <c r="D6" s="2" t="str">
        <f t="shared" si="0"/>
        <v>GOOD</v>
      </c>
      <c r="E6" s="32">
        <f t="shared" ref="E6:E41" si="1">IF(D6="GOOD",1,0)</f>
        <v>1</v>
      </c>
      <c r="F6" s="30">
        <f t="shared" ref="F6:F14" si="2">A6+10</f>
        <v>12</v>
      </c>
    </row>
    <row r="7" spans="1:12" ht="30" x14ac:dyDescent="0.7">
      <c r="A7" s="17">
        <v>3</v>
      </c>
      <c r="B7" s="2" t="s">
        <v>5</v>
      </c>
      <c r="C7" s="31">
        <f>[1]!wwsInput(4)</f>
        <v>4</v>
      </c>
      <c r="D7" s="2" t="str">
        <f t="shared" si="0"/>
        <v xml:space="preserve">  ?</v>
      </c>
      <c r="E7" s="32">
        <f t="shared" si="1"/>
        <v>0</v>
      </c>
      <c r="F7" s="30">
        <f t="shared" si="2"/>
        <v>13</v>
      </c>
    </row>
    <row r="8" spans="1:12" ht="30" x14ac:dyDescent="0.7">
      <c r="A8" s="17">
        <v>4</v>
      </c>
      <c r="B8" s="2" t="s">
        <v>7</v>
      </c>
      <c r="C8" s="31">
        <f>[1]!wwsInput(3)</f>
        <v>3</v>
      </c>
      <c r="D8" s="2" t="str">
        <f t="shared" si="0"/>
        <v xml:space="preserve">  ?</v>
      </c>
      <c r="E8" s="32">
        <f t="shared" si="1"/>
        <v>0</v>
      </c>
      <c r="F8" s="30">
        <f t="shared" si="2"/>
        <v>14</v>
      </c>
    </row>
    <row r="9" spans="1:12" ht="30" x14ac:dyDescent="0.7">
      <c r="A9" s="17">
        <v>5</v>
      </c>
      <c r="B9" s="2" t="s">
        <v>9</v>
      </c>
      <c r="C9" s="31">
        <f>[1]!wwsInput(5)</f>
        <v>5</v>
      </c>
      <c r="D9" s="2" t="str">
        <f t="shared" si="0"/>
        <v>GOOD</v>
      </c>
      <c r="E9" s="32">
        <f t="shared" si="1"/>
        <v>1</v>
      </c>
      <c r="F9" s="30">
        <f t="shared" si="2"/>
        <v>15</v>
      </c>
    </row>
    <row r="10" spans="1:12" ht="30" x14ac:dyDescent="0.7">
      <c r="A10" s="17">
        <v>6</v>
      </c>
      <c r="B10" s="2" t="s">
        <v>11</v>
      </c>
      <c r="C10" s="31" t="str">
        <f>[1]!wwsInput()</f>
        <v/>
      </c>
      <c r="D10" s="2" t="str">
        <f t="shared" si="0"/>
        <v xml:space="preserve"> </v>
      </c>
      <c r="E10" s="32">
        <f t="shared" si="1"/>
        <v>0</v>
      </c>
      <c r="F10" s="30">
        <f t="shared" si="2"/>
        <v>16</v>
      </c>
    </row>
    <row r="11" spans="1:12" ht="30" x14ac:dyDescent="0.7">
      <c r="A11" s="17">
        <v>7</v>
      </c>
      <c r="B11" s="2" t="s">
        <v>13</v>
      </c>
      <c r="C11" s="31" t="str">
        <f>[1]!wwsInput()</f>
        <v/>
      </c>
      <c r="D11" s="2" t="str">
        <f t="shared" si="0"/>
        <v xml:space="preserve"> </v>
      </c>
      <c r="E11" s="32">
        <f t="shared" si="1"/>
        <v>0</v>
      </c>
      <c r="F11" s="30">
        <f t="shared" si="2"/>
        <v>17</v>
      </c>
    </row>
    <row r="12" spans="1:12" ht="30" x14ac:dyDescent="0.7">
      <c r="A12" s="17">
        <v>8</v>
      </c>
      <c r="B12" s="2" t="s">
        <v>15</v>
      </c>
      <c r="C12" s="31" t="str">
        <f>[1]!wwsInput()</f>
        <v/>
      </c>
      <c r="D12" s="2" t="str">
        <f t="shared" si="0"/>
        <v xml:space="preserve"> </v>
      </c>
      <c r="E12" s="32">
        <f t="shared" si="1"/>
        <v>0</v>
      </c>
      <c r="F12" s="30">
        <f t="shared" si="2"/>
        <v>18</v>
      </c>
    </row>
    <row r="13" spans="1:12" ht="30" x14ac:dyDescent="0.7">
      <c r="A13" s="17">
        <v>9</v>
      </c>
      <c r="B13" s="7" t="s">
        <v>17</v>
      </c>
      <c r="C13" s="31" t="str">
        <f>[1]!wwsInput()</f>
        <v/>
      </c>
      <c r="D13" s="2" t="str">
        <f t="shared" si="0"/>
        <v xml:space="preserve"> </v>
      </c>
      <c r="E13" s="32">
        <f t="shared" si="1"/>
        <v>0</v>
      </c>
      <c r="F13" s="30">
        <f t="shared" si="2"/>
        <v>19</v>
      </c>
    </row>
    <row r="14" spans="1:12" ht="30" x14ac:dyDescent="0.7">
      <c r="A14" s="17">
        <v>10</v>
      </c>
      <c r="B14" s="7" t="s">
        <v>19</v>
      </c>
      <c r="C14" s="31" t="str">
        <f>[1]!wwsInput()</f>
        <v/>
      </c>
      <c r="D14" s="2" t="str">
        <f t="shared" si="0"/>
        <v xml:space="preserve"> </v>
      </c>
      <c r="E14" s="32">
        <f t="shared" si="1"/>
        <v>0</v>
      </c>
      <c r="F14" s="30">
        <f t="shared" si="2"/>
        <v>20</v>
      </c>
    </row>
    <row r="15" spans="1:12" ht="30" x14ac:dyDescent="0.7">
      <c r="A15" s="18">
        <f>A14+1</f>
        <v>11</v>
      </c>
      <c r="B15" s="2" t="s">
        <v>2</v>
      </c>
      <c r="C15" s="31" t="str">
        <f>[1]!wwsInput()</f>
        <v/>
      </c>
      <c r="D15" s="2" t="str">
        <f t="shared" si="0"/>
        <v xml:space="preserve"> </v>
      </c>
      <c r="E15" s="32">
        <f t="shared" si="1"/>
        <v>0</v>
      </c>
      <c r="F15" s="1"/>
      <c r="G15" s="1"/>
      <c r="H15" s="1"/>
      <c r="I15" s="1"/>
    </row>
    <row r="16" spans="1:12" ht="30" x14ac:dyDescent="0.7">
      <c r="A16" s="18">
        <f t="shared" ref="A16:A24" si="3">A15+1</f>
        <v>12</v>
      </c>
      <c r="B16" s="2" t="s">
        <v>4</v>
      </c>
      <c r="C16" s="31" t="str">
        <f>[1]!wwsInput()</f>
        <v/>
      </c>
      <c r="D16" s="2" t="str">
        <f t="shared" si="0"/>
        <v xml:space="preserve"> </v>
      </c>
      <c r="E16" s="32">
        <f t="shared" si="1"/>
        <v>0</v>
      </c>
      <c r="F16" s="1"/>
      <c r="G16" s="1"/>
      <c r="H16" s="1"/>
      <c r="I16" s="1"/>
    </row>
    <row r="17" spans="1:16" ht="30" x14ac:dyDescent="0.7">
      <c r="A17" s="18">
        <f t="shared" si="3"/>
        <v>13</v>
      </c>
      <c r="B17" s="2" t="s">
        <v>6</v>
      </c>
      <c r="C17" s="31" t="str">
        <f>[1]!wwsInput()</f>
        <v/>
      </c>
      <c r="D17" s="2" t="str">
        <f t="shared" si="0"/>
        <v xml:space="preserve"> </v>
      </c>
      <c r="E17" s="32">
        <f t="shared" si="1"/>
        <v>0</v>
      </c>
    </row>
    <row r="18" spans="1:16" ht="30" x14ac:dyDescent="0.7">
      <c r="A18" s="18">
        <f t="shared" si="3"/>
        <v>14</v>
      </c>
      <c r="B18" s="2" t="s">
        <v>8</v>
      </c>
      <c r="C18" s="31" t="str">
        <f>[1]!wwsInput()</f>
        <v/>
      </c>
      <c r="D18" s="2" t="str">
        <f t="shared" si="0"/>
        <v xml:space="preserve"> </v>
      </c>
      <c r="E18" s="32">
        <f t="shared" si="1"/>
        <v>0</v>
      </c>
      <c r="H18" s="42" t="e">
        <f>IF(H19,IF(H19=2,"yes","no"),"")</f>
        <v>#VALUE!</v>
      </c>
      <c r="I18" s="41"/>
      <c r="J18" s="41"/>
      <c r="K18" s="42" t="e">
        <f>IF(K19,IF(K19=5,"yes","no"),"")</f>
        <v>#VALUE!</v>
      </c>
      <c r="L18" s="41"/>
      <c r="M18" s="42" t="e">
        <f>IF(M19,IF(M19=7,"yes","no"),"")</f>
        <v>#VALUE!</v>
      </c>
      <c r="N18" s="41"/>
      <c r="O18" s="41"/>
      <c r="P18" s="42" t="e">
        <f>IF(P19,IF(P19=10,"yes","no"),"")</f>
        <v>#VALUE!</v>
      </c>
    </row>
    <row r="19" spans="1:16" ht="30" x14ac:dyDescent="0.7">
      <c r="A19" s="18">
        <f t="shared" si="3"/>
        <v>15</v>
      </c>
      <c r="B19" s="2" t="s">
        <v>10</v>
      </c>
      <c r="C19" s="31" t="str">
        <f>[1]!wwsInput()</f>
        <v/>
      </c>
      <c r="D19" s="2" t="str">
        <f>IF(C19&lt;&gt;"",IF(C19=A19,"GOOD","  ?")," ")</f>
        <v xml:space="preserve"> </v>
      </c>
      <c r="E19" s="32">
        <f t="shared" si="1"/>
        <v>0</v>
      </c>
      <c r="G19" s="43">
        <v>1</v>
      </c>
      <c r="H19" s="10" t="str">
        <f>[1]!wwsInput()</f>
        <v/>
      </c>
      <c r="I19" s="43">
        <v>3</v>
      </c>
      <c r="J19" s="43">
        <v>4</v>
      </c>
      <c r="K19" s="10" t="str">
        <f>[1]!wwsInput()</f>
        <v/>
      </c>
      <c r="L19" s="43">
        <v>6</v>
      </c>
      <c r="M19" s="10" t="str">
        <f>[1]!wwsInput()</f>
        <v/>
      </c>
      <c r="N19" s="43">
        <v>8</v>
      </c>
      <c r="O19" s="43">
        <v>9</v>
      </c>
      <c r="P19" s="10" t="str">
        <f>[1]!wwsInput()</f>
        <v/>
      </c>
    </row>
    <row r="20" spans="1:16" ht="30" x14ac:dyDescent="0.7">
      <c r="A20" s="18">
        <f t="shared" si="3"/>
        <v>16</v>
      </c>
      <c r="B20" s="2" t="s">
        <v>12</v>
      </c>
      <c r="C20" s="31" t="str">
        <f>[1]!wwsInput()</f>
        <v/>
      </c>
      <c r="D20" s="2" t="str">
        <f t="shared" ref="D20:D24" si="4">IF(C20&lt;&gt;"",IF(C20=A20,"GOOD","  ?")," ")</f>
        <v xml:space="preserve"> </v>
      </c>
      <c r="E20" s="32">
        <f t="shared" si="1"/>
        <v>0</v>
      </c>
    </row>
    <row r="21" spans="1:16" ht="30" x14ac:dyDescent="0.7">
      <c r="A21" s="18">
        <f t="shared" si="3"/>
        <v>17</v>
      </c>
      <c r="B21" s="2" t="s">
        <v>14</v>
      </c>
      <c r="C21" s="31" t="str">
        <f>[1]!wwsInput()</f>
        <v/>
      </c>
      <c r="D21" s="2" t="str">
        <f t="shared" si="4"/>
        <v xml:space="preserve"> </v>
      </c>
      <c r="E21" s="32">
        <f t="shared" si="1"/>
        <v>0</v>
      </c>
    </row>
    <row r="22" spans="1:16" ht="30" x14ac:dyDescent="0.7">
      <c r="A22" s="18">
        <f t="shared" si="3"/>
        <v>18</v>
      </c>
      <c r="B22" s="2" t="s">
        <v>16</v>
      </c>
      <c r="C22" s="31" t="str">
        <f>[1]!wwsInput()</f>
        <v/>
      </c>
      <c r="D22" s="2" t="str">
        <f t="shared" si="4"/>
        <v xml:space="preserve"> </v>
      </c>
      <c r="E22" s="32">
        <f t="shared" si="1"/>
        <v>0</v>
      </c>
      <c r="G22" s="42" t="e">
        <f>IF(G23,IF(G23=11,"yes","no"),"")</f>
        <v>#VALUE!</v>
      </c>
      <c r="H22" s="42" t="e">
        <f>IF(H23,IF(H23=12,"yes","no"),"")</f>
        <v>#VALUE!</v>
      </c>
      <c r="I22" s="41"/>
      <c r="J22" s="41"/>
      <c r="K22" s="42" t="e">
        <f>IF(K23,IF(K23=15,"yes","no"),"")</f>
        <v>#VALUE!</v>
      </c>
      <c r="L22" s="42" t="e">
        <f>IF(L23,IF(L23=16,"yes","no"),"")</f>
        <v>#VALUE!</v>
      </c>
      <c r="M22" s="42" t="e">
        <f>IF(M23,IF(M23=17,"yes","no"),"")</f>
        <v>#VALUE!</v>
      </c>
      <c r="N22" s="41"/>
      <c r="O22" s="41"/>
      <c r="P22" s="42" t="e">
        <f>IF(P23,IF(P23=20,"yes","no"),"")</f>
        <v>#VALUE!</v>
      </c>
    </row>
    <row r="23" spans="1:16" ht="30" x14ac:dyDescent="0.7">
      <c r="A23" s="18">
        <f t="shared" si="3"/>
        <v>19</v>
      </c>
      <c r="B23" s="7" t="s">
        <v>18</v>
      </c>
      <c r="C23" s="31" t="str">
        <f>[1]!wwsInput()</f>
        <v/>
      </c>
      <c r="D23" s="2" t="str">
        <f t="shared" si="4"/>
        <v xml:space="preserve"> </v>
      </c>
      <c r="E23" s="32">
        <f t="shared" si="1"/>
        <v>0</v>
      </c>
      <c r="F23" s="44">
        <v>10</v>
      </c>
      <c r="G23" s="33" t="str">
        <f>[1]!wwsInput()</f>
        <v/>
      </c>
      <c r="H23" s="10" t="str">
        <f>[1]!wwsInput()</f>
        <v/>
      </c>
      <c r="I23" s="43">
        <v>13</v>
      </c>
      <c r="J23" s="43">
        <v>14</v>
      </c>
      <c r="K23" s="10" t="str">
        <f>[1]!wwsInput()</f>
        <v/>
      </c>
      <c r="L23" s="10" t="str">
        <f>[1]!wwsInput()</f>
        <v/>
      </c>
      <c r="M23" s="10" t="str">
        <f>[1]!wwsInput()</f>
        <v/>
      </c>
      <c r="N23" s="43">
        <v>18</v>
      </c>
      <c r="O23" s="43">
        <v>19</v>
      </c>
      <c r="P23" s="10" t="str">
        <f>[1]!wwsInput()</f>
        <v/>
      </c>
    </row>
    <row r="24" spans="1:16" ht="30" x14ac:dyDescent="0.7">
      <c r="A24" s="18">
        <f t="shared" si="3"/>
        <v>20</v>
      </c>
      <c r="B24" s="7" t="s">
        <v>20</v>
      </c>
      <c r="C24" s="31" t="str">
        <f>[1]!wwsInput()</f>
        <v/>
      </c>
      <c r="D24" s="2" t="str">
        <f t="shared" si="4"/>
        <v xml:space="preserve"> </v>
      </c>
      <c r="E24" s="32">
        <f t="shared" si="1"/>
        <v>0</v>
      </c>
    </row>
    <row r="25" spans="1:16" ht="30" x14ac:dyDescent="0.7">
      <c r="A25" s="18">
        <v>21</v>
      </c>
      <c r="B25" s="40" t="s">
        <v>22</v>
      </c>
      <c r="C25" s="31" t="str">
        <f>[1]!wwsInput()</f>
        <v/>
      </c>
      <c r="D25" s="2" t="str">
        <f t="shared" ref="D25:D40" si="5">IF(C25&lt;&gt;"",IF(C25=A25,"GOOD","  ?")," ")</f>
        <v xml:space="preserve"> </v>
      </c>
      <c r="E25" s="32">
        <f t="shared" si="1"/>
        <v>0</v>
      </c>
    </row>
    <row r="26" spans="1:16" ht="30" x14ac:dyDescent="0.7">
      <c r="A26" s="18">
        <v>27</v>
      </c>
      <c r="B26" s="40" t="s">
        <v>23</v>
      </c>
      <c r="C26" s="31" t="str">
        <f>[1]!wwsInput()</f>
        <v/>
      </c>
      <c r="D26" s="2" t="str">
        <f t="shared" si="5"/>
        <v xml:space="preserve"> </v>
      </c>
      <c r="E26" s="32">
        <f t="shared" si="1"/>
        <v>0</v>
      </c>
      <c r="G26" s="42"/>
      <c r="H26" s="42" t="e">
        <f>IF(H27,IF(H27=20,"yes","no"),"")</f>
        <v>#VALUE!</v>
      </c>
      <c r="I26" s="41"/>
      <c r="J26" s="41"/>
      <c r="K26" s="42" t="e">
        <f>IF(K27,IF(K27=50,"yes","no"),"")</f>
        <v>#VALUE!</v>
      </c>
      <c r="L26" s="41"/>
      <c r="M26" s="42" t="e">
        <f>IF(M27,IF(M27=70,"yes","no"),"")</f>
        <v>#VALUE!</v>
      </c>
      <c r="N26" s="41"/>
      <c r="O26" s="41"/>
      <c r="P26" s="42" t="e">
        <f>IF(P27,IF(P27=100,"yes","no"),"")</f>
        <v>#VALUE!</v>
      </c>
    </row>
    <row r="27" spans="1:16" ht="30" x14ac:dyDescent="0.7">
      <c r="A27" s="18">
        <v>29</v>
      </c>
      <c r="B27" s="40" t="s">
        <v>24</v>
      </c>
      <c r="C27" s="31" t="str">
        <f>[1]!wwsInput()</f>
        <v/>
      </c>
      <c r="D27" s="2" t="str">
        <f t="shared" si="5"/>
        <v xml:space="preserve"> </v>
      </c>
      <c r="E27" s="32">
        <f t="shared" si="1"/>
        <v>0</v>
      </c>
      <c r="G27" s="43">
        <v>10</v>
      </c>
      <c r="H27" s="10" t="str">
        <f>[1]!wwsInput()</f>
        <v/>
      </c>
      <c r="I27" s="43">
        <v>30</v>
      </c>
      <c r="J27" s="43">
        <v>40</v>
      </c>
      <c r="K27" s="10" t="str">
        <f>[1]!wwsInput()</f>
        <v/>
      </c>
      <c r="L27" s="43">
        <v>60</v>
      </c>
      <c r="M27" s="10" t="str">
        <f>[1]!wwsInput()</f>
        <v/>
      </c>
      <c r="N27" s="43">
        <v>80</v>
      </c>
      <c r="O27" s="43">
        <v>90</v>
      </c>
      <c r="P27" s="10" t="str">
        <f>[1]!wwsInput()</f>
        <v/>
      </c>
    </row>
    <row r="28" spans="1:16" ht="30" x14ac:dyDescent="0.7">
      <c r="A28" s="18">
        <v>30</v>
      </c>
      <c r="B28" s="40" t="s">
        <v>25</v>
      </c>
      <c r="C28" s="31" t="str">
        <f>[1]!wwsInput()</f>
        <v/>
      </c>
      <c r="D28" s="2" t="str">
        <f t="shared" si="5"/>
        <v xml:space="preserve"> </v>
      </c>
      <c r="E28" s="32">
        <f t="shared" si="1"/>
        <v>0</v>
      </c>
    </row>
    <row r="29" spans="1:16" ht="30" x14ac:dyDescent="0.7">
      <c r="A29" s="18">
        <v>32</v>
      </c>
      <c r="B29" s="40" t="s">
        <v>26</v>
      </c>
      <c r="C29" s="31" t="str">
        <f>[1]!wwsInput()</f>
        <v/>
      </c>
      <c r="D29" s="2" t="str">
        <f t="shared" si="5"/>
        <v xml:space="preserve"> </v>
      </c>
      <c r="E29" s="32">
        <f t="shared" si="1"/>
        <v>0</v>
      </c>
    </row>
    <row r="30" spans="1:16" ht="30" x14ac:dyDescent="0.7">
      <c r="A30" s="18">
        <v>36</v>
      </c>
      <c r="B30" s="40" t="s">
        <v>27</v>
      </c>
      <c r="C30" s="31" t="str">
        <f>[1]!wwsInput()</f>
        <v/>
      </c>
      <c r="D30" s="2" t="str">
        <f t="shared" si="5"/>
        <v xml:space="preserve"> </v>
      </c>
      <c r="E30" s="32">
        <f t="shared" si="1"/>
        <v>0</v>
      </c>
      <c r="H30" s="42" t="e">
        <f>IF(H31,IF(H31=10,"yes","no"),"")</f>
        <v>#VALUE!</v>
      </c>
      <c r="I30" s="41"/>
      <c r="J30" s="41"/>
      <c r="K30" s="42" t="e">
        <f>IF(K31,IF(K31=25,"yes","no"),"")</f>
        <v>#VALUE!</v>
      </c>
      <c r="L30" s="41"/>
      <c r="M30" s="42" t="e">
        <f>IF(M31,IF(M31=35,"yes","no"),"")</f>
        <v>#VALUE!</v>
      </c>
      <c r="N30" s="41"/>
      <c r="O30" s="41"/>
      <c r="P30" s="42" t="e">
        <f>IF(P31,IF(P31=50,"yes","no"),"")</f>
        <v>#VALUE!</v>
      </c>
    </row>
    <row r="31" spans="1:16" ht="30" x14ac:dyDescent="0.7">
      <c r="A31" s="18">
        <v>40</v>
      </c>
      <c r="B31" s="40" t="s">
        <v>28</v>
      </c>
      <c r="C31" s="31" t="str">
        <f>[1]!wwsInput()</f>
        <v/>
      </c>
      <c r="D31" s="2" t="str">
        <f t="shared" si="5"/>
        <v xml:space="preserve"> </v>
      </c>
      <c r="E31" s="32">
        <f t="shared" si="1"/>
        <v>0</v>
      </c>
      <c r="F31" s="44">
        <v>10</v>
      </c>
      <c r="G31" s="45">
        <v>5</v>
      </c>
      <c r="H31" s="10" t="str">
        <f>[1]!wwsInput()</f>
        <v/>
      </c>
      <c r="I31" s="43">
        <v>15</v>
      </c>
      <c r="J31" s="43">
        <v>20</v>
      </c>
      <c r="K31" s="10" t="str">
        <f>[1]!wwsInput()</f>
        <v/>
      </c>
      <c r="L31" s="43">
        <v>30</v>
      </c>
      <c r="M31" s="10" t="str">
        <f>[1]!wwsInput()</f>
        <v/>
      </c>
      <c r="N31" s="43">
        <v>40</v>
      </c>
      <c r="O31" s="43">
        <v>45</v>
      </c>
      <c r="P31" s="10" t="str">
        <f>[1]!wwsInput()</f>
        <v/>
      </c>
    </row>
    <row r="32" spans="1:16" ht="30" x14ac:dyDescent="0.7">
      <c r="A32" s="18">
        <v>54</v>
      </c>
      <c r="B32" s="40" t="s">
        <v>29</v>
      </c>
      <c r="C32" s="31" t="str">
        <f>[1]!wwsInput()</f>
        <v/>
      </c>
      <c r="D32" s="2" t="str">
        <f t="shared" si="5"/>
        <v xml:space="preserve"> </v>
      </c>
      <c r="E32" s="32">
        <f t="shared" si="1"/>
        <v>0</v>
      </c>
    </row>
    <row r="33" spans="1:17" ht="30" x14ac:dyDescent="0.7">
      <c r="A33" s="18">
        <v>71</v>
      </c>
      <c r="B33" s="40" t="s">
        <v>30</v>
      </c>
      <c r="C33" s="31" t="str">
        <f>[1]!wwsInput()</f>
        <v/>
      </c>
      <c r="D33" s="2" t="str">
        <f t="shared" si="5"/>
        <v xml:space="preserve"> </v>
      </c>
      <c r="E33" s="32">
        <f t="shared" si="1"/>
        <v>0</v>
      </c>
    </row>
    <row r="34" spans="1:17" ht="30" x14ac:dyDescent="0.7">
      <c r="A34" s="18">
        <v>93</v>
      </c>
      <c r="B34" s="40" t="s">
        <v>31</v>
      </c>
      <c r="C34" s="31" t="str">
        <f>[1]!wwsInput()</f>
        <v/>
      </c>
      <c r="D34" s="2" t="str">
        <f t="shared" si="5"/>
        <v xml:space="preserve"> </v>
      </c>
      <c r="E34" s="32">
        <f t="shared" si="1"/>
        <v>0</v>
      </c>
      <c r="H34" s="42" t="e">
        <f>IF(H35,IF(H35=4,"yes","no"),"")</f>
        <v>#VALUE!</v>
      </c>
      <c r="I34" s="41"/>
      <c r="J34" s="41"/>
      <c r="K34" s="42" t="e">
        <f>IF(K35,IF(K35=10,"yes","no"),"")</f>
        <v>#VALUE!</v>
      </c>
      <c r="L34" s="42" t="e">
        <f>IF(L35,IF(L35=12,"yes","no"),"")</f>
        <v>#VALUE!</v>
      </c>
      <c r="M34" s="42" t="e">
        <f>IF(M35,IF(M35=14,"yes","no"),"")</f>
        <v>#VALUE!</v>
      </c>
      <c r="N34" s="41"/>
      <c r="O34" s="41"/>
      <c r="P34" s="42" t="e">
        <f>IF(P35,IF(P35=20,"yes","no"),"")</f>
        <v>#VALUE!</v>
      </c>
    </row>
    <row r="35" spans="1:17" ht="30" x14ac:dyDescent="0.7">
      <c r="A35" s="18">
        <v>42</v>
      </c>
      <c r="B35" s="40" t="s">
        <v>32</v>
      </c>
      <c r="C35" s="31" t="str">
        <f>[1]!wwsInput()</f>
        <v/>
      </c>
      <c r="D35" s="2" t="str">
        <f t="shared" si="5"/>
        <v xml:space="preserve"> </v>
      </c>
      <c r="E35" s="32">
        <f t="shared" si="1"/>
        <v>0</v>
      </c>
      <c r="G35" s="43">
        <v>2</v>
      </c>
      <c r="H35" s="10" t="str">
        <f>[1]!wwsInput()</f>
        <v/>
      </c>
      <c r="I35" s="43">
        <v>6</v>
      </c>
      <c r="J35" s="43">
        <v>8</v>
      </c>
      <c r="K35" s="10" t="str">
        <f>[1]!wwsInput()</f>
        <v/>
      </c>
      <c r="L35" s="10" t="str">
        <f>[1]!wwsInput()</f>
        <v/>
      </c>
      <c r="M35" s="10" t="str">
        <f>[1]!wwsInput()</f>
        <v/>
      </c>
      <c r="N35" s="43">
        <v>16</v>
      </c>
      <c r="O35" s="43">
        <v>18</v>
      </c>
      <c r="P35" s="10" t="str">
        <f>[1]!wwsInput()</f>
        <v/>
      </c>
    </row>
    <row r="36" spans="1:17" ht="30" x14ac:dyDescent="0.7">
      <c r="A36" s="18">
        <v>38</v>
      </c>
      <c r="B36" s="40" t="s">
        <v>33</v>
      </c>
      <c r="C36" s="31" t="str">
        <f>[1]!wwsInput()</f>
        <v/>
      </c>
      <c r="D36" s="2" t="str">
        <f t="shared" si="5"/>
        <v xml:space="preserve"> </v>
      </c>
      <c r="E36" s="32">
        <f t="shared" si="1"/>
        <v>0</v>
      </c>
    </row>
    <row r="37" spans="1:17" ht="30" x14ac:dyDescent="0.7">
      <c r="A37" s="18">
        <v>83</v>
      </c>
      <c r="B37" s="40" t="s">
        <v>34</v>
      </c>
      <c r="C37" s="31" t="str">
        <f>[1]!wwsInput()</f>
        <v/>
      </c>
      <c r="D37" s="2" t="str">
        <f t="shared" si="5"/>
        <v xml:space="preserve"> </v>
      </c>
      <c r="E37" s="32">
        <f t="shared" si="1"/>
        <v>0</v>
      </c>
    </row>
    <row r="38" spans="1:17" ht="30" x14ac:dyDescent="0.7">
      <c r="A38" s="18">
        <v>76</v>
      </c>
      <c r="B38" s="40" t="s">
        <v>37</v>
      </c>
      <c r="C38" s="31" t="str">
        <f>[1]!wwsInput()</f>
        <v/>
      </c>
      <c r="D38" s="2" t="str">
        <f t="shared" si="5"/>
        <v xml:space="preserve"> </v>
      </c>
      <c r="E38" s="32">
        <f t="shared" si="1"/>
        <v>0</v>
      </c>
    </row>
    <row r="39" spans="1:17" ht="30" x14ac:dyDescent="0.7">
      <c r="A39" s="18">
        <v>100</v>
      </c>
      <c r="B39" s="40" t="s">
        <v>35</v>
      </c>
      <c r="C39" s="31" t="str">
        <f>[1]!wwsInput()</f>
        <v/>
      </c>
      <c r="D39" s="2" t="str">
        <f t="shared" si="5"/>
        <v xml:space="preserve"> </v>
      </c>
      <c r="E39" s="32">
        <f t="shared" si="1"/>
        <v>0</v>
      </c>
    </row>
    <row r="40" spans="1:17" ht="30" x14ac:dyDescent="0.7">
      <c r="A40" s="18">
        <v>106</v>
      </c>
      <c r="B40" s="40" t="s">
        <v>36</v>
      </c>
      <c r="C40" s="31" t="str">
        <f>[1]!wwsInput()</f>
        <v/>
      </c>
      <c r="D40" s="2" t="str">
        <f t="shared" si="5"/>
        <v xml:space="preserve"> </v>
      </c>
      <c r="E40" s="32">
        <f t="shared" si="1"/>
        <v>0</v>
      </c>
    </row>
    <row r="41" spans="1:17" ht="30" x14ac:dyDescent="0.7">
      <c r="A41" s="18">
        <v>212</v>
      </c>
      <c r="B41" s="40" t="s">
        <v>38</v>
      </c>
      <c r="C41" s="31" t="str">
        <f>[1]!wwsInput()</f>
        <v/>
      </c>
      <c r="D41" s="2" t="str">
        <f t="shared" ref="D41" si="6">IF(C41&lt;&gt;"",IF(C41=A41,"GOOD","  ?")," ")</f>
        <v xml:space="preserve"> </v>
      </c>
      <c r="E41" s="32">
        <f t="shared" si="1"/>
        <v>0</v>
      </c>
    </row>
    <row r="42" spans="1:17" x14ac:dyDescent="0.3">
      <c r="Q42" t="s">
        <v>21</v>
      </c>
    </row>
  </sheetData>
  <sheetProtection selectLockedCells="1"/>
  <mergeCells count="3">
    <mergeCell ref="H1:I1"/>
    <mergeCell ref="C3:F3"/>
    <mergeCell ref="K3:L3"/>
  </mergeCells>
  <conditionalFormatting sqref="H18">
    <cfRule type="expression" dxfId="22" priority="23">
      <formula>"if(c2=""yes"")"</formula>
    </cfRule>
  </conditionalFormatting>
  <conditionalFormatting sqref="H30">
    <cfRule type="expression" dxfId="21" priority="19">
      <formula>"if(c2=""yes"")"</formula>
    </cfRule>
  </conditionalFormatting>
  <conditionalFormatting sqref="G22">
    <cfRule type="expression" dxfId="20" priority="20">
      <formula>"if(c2=""yes"")"</formula>
    </cfRule>
  </conditionalFormatting>
  <conditionalFormatting sqref="H22">
    <cfRule type="expression" dxfId="19" priority="22">
      <formula>"if(c2=""yes"")"</formula>
    </cfRule>
  </conditionalFormatting>
  <conditionalFormatting sqref="H26">
    <cfRule type="expression" dxfId="18" priority="21">
      <formula>"if(c2=""yes"")"</formula>
    </cfRule>
  </conditionalFormatting>
  <conditionalFormatting sqref="H34">
    <cfRule type="expression" dxfId="17" priority="18">
      <formula>"if(c2=""yes"")"</formula>
    </cfRule>
  </conditionalFormatting>
  <conditionalFormatting sqref="K18">
    <cfRule type="expression" dxfId="16" priority="17">
      <formula>"if(c2=""yes"")"</formula>
    </cfRule>
  </conditionalFormatting>
  <conditionalFormatting sqref="M18">
    <cfRule type="expression" dxfId="15" priority="16">
      <formula>"if(c2=""yes"")"</formula>
    </cfRule>
  </conditionalFormatting>
  <conditionalFormatting sqref="P18">
    <cfRule type="expression" dxfId="14" priority="15">
      <formula>"if(c2=""yes"")"</formula>
    </cfRule>
  </conditionalFormatting>
  <conditionalFormatting sqref="K22">
    <cfRule type="expression" dxfId="13" priority="14">
      <formula>"if(c2=""yes"")"</formula>
    </cfRule>
  </conditionalFormatting>
  <conditionalFormatting sqref="L22">
    <cfRule type="expression" dxfId="12" priority="13">
      <formula>"if(c2=""yes"")"</formula>
    </cfRule>
  </conditionalFormatting>
  <conditionalFormatting sqref="M22">
    <cfRule type="expression" dxfId="11" priority="12">
      <formula>"if(c2=""yes"")"</formula>
    </cfRule>
  </conditionalFormatting>
  <conditionalFormatting sqref="P22">
    <cfRule type="expression" dxfId="10" priority="11">
      <formula>"if(c2=""yes"")"</formula>
    </cfRule>
  </conditionalFormatting>
  <conditionalFormatting sqref="K26">
    <cfRule type="expression" dxfId="9" priority="10">
      <formula>"if(c2=""yes"")"</formula>
    </cfRule>
  </conditionalFormatting>
  <conditionalFormatting sqref="M26">
    <cfRule type="expression" dxfId="8" priority="9">
      <formula>"if(c2=""yes"")"</formula>
    </cfRule>
  </conditionalFormatting>
  <conditionalFormatting sqref="P26">
    <cfRule type="expression" dxfId="7" priority="8">
      <formula>"if(c2=""yes"")"</formula>
    </cfRule>
  </conditionalFormatting>
  <conditionalFormatting sqref="K30">
    <cfRule type="expression" dxfId="6" priority="7">
      <formula>"if(c2=""yes"")"</formula>
    </cfRule>
  </conditionalFormatting>
  <conditionalFormatting sqref="M30">
    <cfRule type="expression" dxfId="5" priority="6">
      <formula>"if(c2=""yes"")"</formula>
    </cfRule>
  </conditionalFormatting>
  <conditionalFormatting sqref="P30">
    <cfRule type="expression" dxfId="4" priority="5">
      <formula>"if(c2=""yes"")"</formula>
    </cfRule>
  </conditionalFormatting>
  <conditionalFormatting sqref="K34">
    <cfRule type="expression" dxfId="3" priority="4">
      <formula>"if(c2=""yes"")"</formula>
    </cfRule>
  </conditionalFormatting>
  <conditionalFormatting sqref="L34">
    <cfRule type="expression" dxfId="2" priority="3">
      <formula>"if(c2=""yes"")"</formula>
    </cfRule>
  </conditionalFormatting>
  <conditionalFormatting sqref="M34">
    <cfRule type="expression" dxfId="1" priority="2">
      <formula>"if(c2=""yes"")"</formula>
    </cfRule>
  </conditionalFormatting>
  <conditionalFormatting sqref="P34">
    <cfRule type="expression" dxfId="0" priority="1">
      <formula>"if(c2=""yes"")"</formula>
    </cfRule>
  </conditionalFormatting>
  <hyperlinks>
    <hyperlink ref="H1:I1" r:id="rId1" display="Fill in 1 to one" xr:uid="{07A6283B-0C24-4C8F-A40B-4E9AAA81002B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one to __</vt:lpstr>
      <vt:lpstr>Sheet1</vt:lpstr>
      <vt:lpstr>1 to __</vt:lpstr>
      <vt:lpstr>fill_in_one_to_1</vt:lpstr>
      <vt:lpstr>'1 to __'!Print_Area</vt:lpstr>
      <vt:lpstr>'one to __'!Print_Area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2019-08-10T17:14:47Z</dcterms:modified>
  <cp:category/>
  <cp:contentStatus/>
</cp:coreProperties>
</file>