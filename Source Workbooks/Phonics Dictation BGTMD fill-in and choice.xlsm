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DCCCCAEA-BAC7-4AD4-8DB6-CDD22C433885}" xr6:coauthVersionLast="43" xr6:coauthVersionMax="43" xr10:uidLastSave="{00000000-0000-0000-0000-000000000000}"/>
  <bookViews>
    <workbookView xWindow="-108" yWindow="-108" windowWidth="23256" windowHeight="12576" tabRatio="359" activeTab="2" xr2:uid="{00000000-000D-0000-FFFF-FFFF00000000}"/>
  </bookViews>
  <sheets>
    <sheet name="BGMD fillin" sheetId="7" r:id="rId1"/>
    <sheet name="BGMD 3-choice" sheetId="9" r:id="rId2"/>
    <sheet name="BGMDmaster" sheetId="10" r:id="rId3"/>
  </sheets>
  <externalReferences>
    <externalReference r:id="rId4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7" l="1"/>
  <c r="H7" i="7" s="1"/>
  <c r="E7" i="9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A3" i="9"/>
  <c r="N22" i="9"/>
  <c r="J41" i="7"/>
  <c r="E36" i="7"/>
  <c r="E30" i="7"/>
  <c r="E24" i="7"/>
  <c r="E18" i="7"/>
  <c r="E12" i="7"/>
  <c r="C39" i="7"/>
  <c r="C33" i="7"/>
  <c r="C27" i="7"/>
  <c r="C21" i="7"/>
  <c r="C15" i="7"/>
  <c r="C9" i="7"/>
  <c r="M18" i="9"/>
  <c r="M12" i="9"/>
  <c r="J21" i="9"/>
  <c r="J15" i="9"/>
  <c r="J9" i="9"/>
  <c r="G18" i="9"/>
  <c r="G12" i="9"/>
  <c r="E10" i="7"/>
  <c r="C19" i="7"/>
  <c r="M10" i="9"/>
  <c r="J13" i="9"/>
  <c r="G16" i="9"/>
  <c r="G10" i="9"/>
  <c r="J11" i="9"/>
  <c r="E37" i="7"/>
  <c r="E19" i="7"/>
  <c r="C34" i="7"/>
  <c r="C16" i="7"/>
  <c r="M13" i="9"/>
  <c r="J10" i="9"/>
  <c r="E35" i="7"/>
  <c r="E29" i="7"/>
  <c r="E23" i="7"/>
  <c r="E17" i="7"/>
  <c r="E11" i="7"/>
  <c r="C38" i="7"/>
  <c r="C32" i="7"/>
  <c r="C26" i="7"/>
  <c r="C20" i="7"/>
  <c r="C14" i="7"/>
  <c r="C8" i="7"/>
  <c r="M17" i="9"/>
  <c r="M11" i="9"/>
  <c r="J20" i="9"/>
  <c r="J14" i="9"/>
  <c r="J8" i="9"/>
  <c r="G17" i="9"/>
  <c r="G11" i="9"/>
  <c r="E40" i="7"/>
  <c r="E34" i="7"/>
  <c r="E28" i="7"/>
  <c r="E22" i="7"/>
  <c r="E16" i="7"/>
  <c r="C37" i="7"/>
  <c r="C31" i="7"/>
  <c r="C25" i="7"/>
  <c r="C13" i="7"/>
  <c r="M16" i="9"/>
  <c r="J19" i="9"/>
  <c r="G20" i="9"/>
  <c r="G8" i="9"/>
  <c r="E31" i="7"/>
  <c r="E13" i="7"/>
  <c r="C28" i="7"/>
  <c r="C10" i="7"/>
  <c r="G19" i="9"/>
  <c r="E39" i="7"/>
  <c r="E33" i="7"/>
  <c r="E27" i="7"/>
  <c r="E21" i="7"/>
  <c r="E15" i="7"/>
  <c r="E9" i="7"/>
  <c r="C36" i="7"/>
  <c r="C30" i="7"/>
  <c r="C24" i="7"/>
  <c r="C18" i="7"/>
  <c r="C12" i="7"/>
  <c r="M21" i="9"/>
  <c r="M15" i="9"/>
  <c r="M9" i="9"/>
  <c r="J18" i="9"/>
  <c r="J12" i="9"/>
  <c r="G21" i="9"/>
  <c r="G15" i="9"/>
  <c r="G9" i="9"/>
  <c r="E38" i="7"/>
  <c r="E32" i="7"/>
  <c r="E26" i="7"/>
  <c r="E20" i="7"/>
  <c r="E14" i="7"/>
  <c r="E8" i="7"/>
  <c r="C35" i="7"/>
  <c r="C29" i="7"/>
  <c r="C23" i="7"/>
  <c r="C17" i="7"/>
  <c r="C11" i="7"/>
  <c r="M20" i="9"/>
  <c r="M14" i="9"/>
  <c r="M8" i="9"/>
  <c r="J17" i="9"/>
  <c r="G14" i="9"/>
  <c r="E25" i="7"/>
  <c r="C40" i="7"/>
  <c r="C22" i="7"/>
  <c r="M19" i="9"/>
  <c r="J16" i="9"/>
  <c r="G13" i="9"/>
  <c r="F40" i="7" l="1"/>
  <c r="H40" i="7" s="1"/>
  <c r="F39" i="7"/>
  <c r="H39" i="7" s="1"/>
  <c r="F38" i="7"/>
  <c r="H38" i="7" s="1"/>
  <c r="F37" i="7"/>
  <c r="H37" i="7" s="1"/>
  <c r="F36" i="7"/>
  <c r="H36" i="7" s="1"/>
  <c r="F35" i="7"/>
  <c r="H35" i="7" s="1"/>
  <c r="F34" i="7"/>
  <c r="H34" i="7" s="1"/>
  <c r="F33" i="7"/>
  <c r="H33" i="7" s="1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F9" i="7"/>
  <c r="H9" i="7" s="1"/>
  <c r="F8" i="7"/>
  <c r="H8" i="7" s="1"/>
  <c r="C7" i="9"/>
  <c r="C9" i="9"/>
  <c r="C11" i="9"/>
  <c r="C12" i="9"/>
  <c r="C13" i="9"/>
  <c r="C14" i="9"/>
  <c r="C15" i="9"/>
  <c r="C16" i="9"/>
  <c r="C17" i="9"/>
  <c r="C18" i="9"/>
  <c r="C19" i="9"/>
  <c r="C20" i="9"/>
  <c r="C21" i="9"/>
  <c r="C8" i="9"/>
  <c r="C10" i="9"/>
  <c r="B21" i="9" l="1"/>
  <c r="G41" i="7"/>
</calcChain>
</file>

<file path=xl/sharedStrings.xml><?xml version="1.0" encoding="utf-8"?>
<sst xmlns="http://schemas.openxmlformats.org/spreadsheetml/2006/main" count="223" uniqueCount="81">
  <si>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</si>
  <si>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</si>
  <si>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</si>
  <si>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</si>
  <si>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</si>
  <si>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</si>
  <si>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</si>
  <si>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</si>
  <si>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</si>
  <si>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</si>
  <si>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</si>
  <si>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</si>
  <si>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</si>
  <si>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</si>
  <si>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</si>
  <si>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</si>
  <si>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</si>
  <si>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</si>
  <si>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</si>
  <si>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</si>
  <si>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</si>
  <si>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</si>
  <si>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</si>
  <si>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</si>
  <si>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</si>
  <si>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</si>
  <si>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</si>
  <si>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</si>
  <si>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</si>
  <si>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</si>
  <si>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</si>
  <si>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</si>
  <si>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</si>
  <si>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</si>
  <si>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</si>
  <si>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</si>
  <si>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</si>
  <si>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</si>
  <si>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</si>
  <si>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</si>
  <si>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</si>
  <si>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</si>
  <si>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</si>
  <si>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</si>
  <si>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</si>
  <si>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</si>
  <si>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Teacher initials: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</si>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</sst>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8"/>
      <color theme="0"/>
      <name val="Calibri"/>
      <family val="2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20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0" fontId="0" fillId="0" borderId="0" xfId="0" applyFont="1"/>
    <xf numFmtId="1" fontId="2" fillId="2" borderId="0" xfId="0" applyNumberFormat="1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1" fillId="2" borderId="0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left"/>
    </xf>
    <xf numFmtId="0" fontId="22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20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1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4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0" fontId="0" fillId="2" borderId="0" xfId="0" applyFont="1" applyFill="1" applyBorder="1"/>
    <xf numFmtId="0" fontId="0" fillId="2" borderId="0" xfId="0" applyFont="1" applyFill="1" applyBorder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0" fillId="0" borderId="0" xfId="0" applyFont="1" applyBorder="1" applyAlignment="1" applyProtection="1">
      <alignment horizontal="left"/>
    </xf>
    <xf numFmtId="0" fontId="21" fillId="0" borderId="0" xfId="0" applyFont="1" applyProtection="1"/>
    <xf numFmtId="0" fontId="28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left"/>
    </xf>
    <xf numFmtId="0" fontId="30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6" fillId="0" borderId="0" xfId="0" applyFont="1" applyProtection="1"/>
    <xf numFmtId="0" fontId="10" fillId="0" borderId="0" xfId="0" applyFont="1" applyAlignment="1" applyProtection="1">
      <alignment horizontal="right"/>
    </xf>
    <xf numFmtId="0" fontId="27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9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0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0" borderId="0" xfId="0" applyFont="1" applyAlignment="1" applyProtection="1">
      <alignment horizontal="right"/>
    </xf>
    <xf numFmtId="0" fontId="3" fillId="0" borderId="0" xfId="0" applyFont="1" applyAlignment="1" applyProtection="1">
      <alignment horizontal="center"/>
    </xf>
    <xf numFmtId="0" fontId="15" fillId="2" borderId="0" xfId="0" applyFont="1" applyFill="1" applyBorder="1" applyProtection="1"/>
    <xf numFmtId="0" fontId="0" fillId="0" borderId="0" xfId="0" applyFont="1" applyProtection="1"/>
    <xf numFmtId="9" fontId="8" fillId="0" borderId="0" xfId="2" applyFont="1" applyAlignment="1" applyProtection="1">
      <alignment horizontal="center"/>
    </xf>
    <xf numFmtId="0" fontId="11" fillId="0" borderId="0" xfId="0" applyFont="1" applyProtection="1"/>
    <xf numFmtId="0" fontId="13" fillId="0" borderId="0" xfId="0" applyFont="1" applyAlignment="1" applyProtection="1"/>
    <xf numFmtId="0" fontId="3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center"/>
    </xf>
    <xf numFmtId="1" fontId="24" fillId="2" borderId="0" xfId="0" applyNumberFormat="1" applyFont="1" applyFill="1" applyBorder="1" applyAlignment="1" applyProtection="1">
      <alignment horizontal="center"/>
    </xf>
    <xf numFmtId="0" fontId="31" fillId="0" borderId="0" xfId="0" applyFont="1" applyAlignment="1" applyProtection="1">
      <alignment horizontal="center"/>
    </xf>
    <xf numFmtId="0" fontId="27" fillId="0" borderId="3" xfId="1" applyFont="1" applyBorder="1" applyAlignment="1" applyProtection="1">
      <alignment horizontal="left"/>
      <protection locked="0"/>
    </xf>
    <xf numFmtId="0" fontId="9" fillId="0" borderId="2" xfId="1" applyBorder="1" applyProtection="1">
      <protection locked="0"/>
    </xf>
    <xf numFmtId="1" fontId="10" fillId="0" borderId="0" xfId="0" applyNumberFormat="1" applyFont="1" applyAlignment="1" applyProtection="1">
      <alignment horizontal="center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19" fillId="0" borderId="0" xfId="0" applyFont="1" applyProtection="1"/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0" fillId="2" borderId="0" xfId="0" applyFont="1" applyFill="1" applyBorder="1" applyProtection="1"/>
    <xf numFmtId="0" fontId="25" fillId="0" borderId="1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569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EAEAEA"/>
      <color rgb="FFC0C0C0"/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49"/>
  <sheetViews>
    <sheetView showGridLines="0" workbookViewId="0">
      <selection activeCell="C14" sqref="C14"/>
    </sheetView>
  </sheetViews>
  <sheetFormatPr defaultRowHeight="21" x14ac:dyDescent="0.4"/>
  <cols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63" customWidth="1"/>
    <col min="7" max="7" width="9.77734375" style="45" customWidth="1"/>
    <col min="8" max="8" width="5.77734375" style="41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10.21875" style="10" customWidth="1"/>
    <col min="16" max="16" width="8.88671875" style="13"/>
  </cols>
  <sheetData>
    <row r="1" spans="1:21" s="21" customFormat="1" ht="21" customHeight="1" x14ac:dyDescent="0.4">
      <c r="A1" s="65" t="s">
        <v>46</v>
      </c>
      <c r="B1" s="66"/>
      <c r="D1" s="67"/>
      <c r="E1" s="68" t="s">
        <v>1</v>
      </c>
      <c r="F1" s="69"/>
      <c r="G1" s="45"/>
      <c r="H1" s="87"/>
      <c r="I1" s="72"/>
      <c r="J1" s="73"/>
      <c r="K1" s="71"/>
      <c r="L1" s="72"/>
      <c r="M1" s="74"/>
      <c r="N1" s="70"/>
      <c r="O1" s="70"/>
      <c r="P1" s="70"/>
      <c r="Q1" s="30" t="s">
        <v>47</v>
      </c>
      <c r="R1" s="70"/>
      <c r="S1" s="70"/>
    </row>
    <row r="2" spans="1:21" s="23" customFormat="1" ht="21" customHeight="1" x14ac:dyDescent="0.45">
      <c r="A2" s="93"/>
      <c r="B2" s="88" t="s">
        <v>44</v>
      </c>
      <c r="C2" s="88"/>
      <c r="D2" s="88"/>
      <c r="E2" s="88"/>
      <c r="F2" s="88"/>
      <c r="G2" s="88"/>
      <c r="H2" s="88"/>
      <c r="I2" s="88"/>
      <c r="J2" s="88"/>
      <c r="K2" s="75"/>
      <c r="L2" s="76"/>
      <c r="M2" s="75"/>
      <c r="N2" s="75"/>
      <c r="O2" s="75"/>
      <c r="P2" s="77"/>
      <c r="Q2" s="78"/>
      <c r="R2" s="78"/>
      <c r="S2" s="78"/>
    </row>
    <row r="3" spans="1:21" s="24" customFormat="1" ht="21" customHeight="1" x14ac:dyDescent="0.35">
      <c r="A3" s="79"/>
      <c r="B3" s="80"/>
      <c r="C3" s="89" t="s">
        <v>79</v>
      </c>
      <c r="D3" s="89"/>
      <c r="E3" s="89"/>
      <c r="F3" s="89"/>
      <c r="G3" s="89"/>
      <c r="H3" s="89"/>
      <c r="I3" s="89"/>
      <c r="J3" s="89"/>
      <c r="K3" s="89"/>
      <c r="L3" s="82"/>
      <c r="M3" s="83"/>
      <c r="N3" s="79"/>
      <c r="O3" s="6"/>
      <c r="P3" s="84"/>
      <c r="Q3" s="79"/>
      <c r="R3" s="79"/>
      <c r="S3" s="79"/>
    </row>
    <row r="4" spans="1:21" x14ac:dyDescent="0.4">
      <c r="A4" s="1"/>
      <c r="B4" s="15"/>
      <c r="C4" s="3"/>
      <c r="D4" s="3"/>
      <c r="E4" s="3"/>
      <c r="F4" s="62"/>
      <c r="H4" s="4"/>
      <c r="I4" s="17"/>
      <c r="J4" s="39"/>
      <c r="K4" s="5"/>
      <c r="L4" s="17"/>
      <c r="M4" s="38"/>
      <c r="N4" s="7"/>
      <c r="O4" s="5"/>
      <c r="P4" s="11"/>
      <c r="Q4" s="2"/>
      <c r="R4" s="2"/>
      <c r="S4" s="2"/>
    </row>
    <row r="5" spans="1:21" x14ac:dyDescent="0.4">
      <c r="A5" s="90" t="s">
        <v>0</v>
      </c>
      <c r="B5" s="90"/>
      <c r="C5" s="90"/>
      <c r="D5" s="90"/>
      <c r="E5" s="90"/>
      <c r="F5" s="62"/>
      <c r="G5" s="65"/>
      <c r="H5" s="4"/>
      <c r="I5" s="17"/>
      <c r="J5" s="39"/>
      <c r="K5" s="5"/>
      <c r="L5" s="17"/>
      <c r="M5" s="1"/>
      <c r="N5" s="2"/>
      <c r="O5" s="5"/>
      <c r="P5" s="11"/>
      <c r="Q5" s="2"/>
      <c r="R5" s="2"/>
      <c r="S5" s="2"/>
    </row>
    <row r="6" spans="1:21" x14ac:dyDescent="0.4">
      <c r="A6" s="85"/>
      <c r="B6" s="55"/>
      <c r="C6" s="85"/>
      <c r="D6" s="85"/>
      <c r="E6" s="85"/>
      <c r="F6" s="62"/>
      <c r="H6" s="4"/>
      <c r="I6" s="17"/>
      <c r="J6" s="39"/>
      <c r="K6" s="5"/>
      <c r="L6" s="17"/>
      <c r="M6" s="1"/>
      <c r="N6" s="2"/>
      <c r="O6" s="5"/>
      <c r="P6" s="11"/>
      <c r="Q6" s="2"/>
      <c r="R6" s="2"/>
      <c r="S6" s="2"/>
    </row>
    <row r="7" spans="1:21" x14ac:dyDescent="0.4">
      <c r="A7" s="52"/>
      <c r="B7" s="55" t="str">
        <f>CONCATENATE(B6+1,".")</f>
        <v>1.</v>
      </c>
      <c r="C7" s="61" t="s">
        <v>4</v>
      </c>
      <c r="D7" s="28" t="s">
        <v>3</v>
      </c>
      <c r="E7" s="61" t="s">
        <v>2</v>
      </c>
      <c r="F7" s="60" t="str">
        <f>IF(CONCATENATE(C7,D7,E7)=G7,$E$1,"")</f>
        <v>√</v>
      </c>
      <c r="G7" s="34" t="s">
        <v>50</v>
      </c>
      <c r="H7" s="33">
        <f>IF(F7=$E$1,1,0)</f>
        <v>1</v>
      </c>
      <c r="I7" s="36"/>
      <c r="J7" s="34"/>
      <c r="K7" s="45"/>
      <c r="L7" s="36"/>
      <c r="M7" s="34"/>
      <c r="N7" s="45"/>
      <c r="O7" s="9"/>
      <c r="P7" s="29"/>
      <c r="Q7" s="2"/>
      <c r="R7" s="18" t="s">
        <v>5</v>
      </c>
      <c r="S7" s="18" t="s">
        <v>6</v>
      </c>
      <c r="T7" s="18" t="s">
        <v>5</v>
      </c>
      <c r="U7" s="12" t="s">
        <v>33</v>
      </c>
    </row>
    <row r="8" spans="1:21" x14ac:dyDescent="0.4">
      <c r="A8" s="52"/>
      <c r="B8" s="55" t="str">
        <f t="shared" ref="B8:B40" si="0">CONCATENATE(B7+1,".")</f>
        <v>2.</v>
      </c>
      <c r="C8" s="64" t="str">
        <f>[1]!wwsInput()</f>
        <v/>
      </c>
      <c r="D8" s="28" t="s">
        <v>3</v>
      </c>
      <c r="E8" s="64" t="str">
        <f>[1]!wwsInput()</f>
        <v/>
      </c>
      <c r="F8" s="60" t="str">
        <f t="shared" ref="F8:F40" si="1">IF(CONCATENATE(C8,D8,E8)=G8,$E$1,"")</f>
        <v/>
      </c>
      <c r="G8" s="34" t="s">
        <v>30</v>
      </c>
      <c r="H8" s="33">
        <f t="shared" ref="H8:H40" si="2">IF(F8=$E$1,1,0)</f>
        <v>0</v>
      </c>
      <c r="I8" s="36"/>
      <c r="J8" s="34"/>
      <c r="K8" s="45"/>
      <c r="L8" s="36"/>
      <c r="M8" s="34"/>
      <c r="N8" s="45"/>
      <c r="O8" s="9"/>
      <c r="P8" s="29"/>
      <c r="Q8" s="2"/>
      <c r="R8" s="18" t="s">
        <v>7</v>
      </c>
      <c r="S8" s="18" t="s">
        <v>8</v>
      </c>
      <c r="T8" s="18" t="s">
        <v>9</v>
      </c>
      <c r="U8" s="12" t="s">
        <v>25</v>
      </c>
    </row>
    <row r="9" spans="1:21" x14ac:dyDescent="0.4">
      <c r="A9" s="52"/>
      <c r="B9" s="55" t="str">
        <f t="shared" si="0"/>
        <v>3.</v>
      </c>
      <c r="C9" s="64" t="str">
        <f>[1]!wwsInput()</f>
        <v/>
      </c>
      <c r="D9" s="28" t="s">
        <v>3</v>
      </c>
      <c r="E9" s="64" t="str">
        <f>[1]!wwsInput()</f>
        <v/>
      </c>
      <c r="F9" s="60" t="str">
        <f t="shared" si="1"/>
        <v/>
      </c>
      <c r="G9" s="34" t="s">
        <v>51</v>
      </c>
      <c r="H9" s="33">
        <f t="shared" si="2"/>
        <v>0</v>
      </c>
      <c r="I9" s="36"/>
      <c r="J9" s="34"/>
      <c r="K9" s="45"/>
      <c r="L9" s="36"/>
      <c r="M9" s="34"/>
      <c r="N9" s="45"/>
      <c r="O9" s="9"/>
      <c r="P9" s="29"/>
      <c r="Q9" s="2"/>
      <c r="R9" s="18" t="s">
        <v>9</v>
      </c>
      <c r="S9" s="18" t="s">
        <v>10</v>
      </c>
      <c r="T9" s="18" t="s">
        <v>7</v>
      </c>
      <c r="U9" s="12" t="s">
        <v>13</v>
      </c>
    </row>
    <row r="10" spans="1:21" x14ac:dyDescent="0.4">
      <c r="A10" s="52"/>
      <c r="B10" s="55" t="str">
        <f t="shared" si="0"/>
        <v>4.</v>
      </c>
      <c r="C10" s="64" t="str">
        <f>[1]!wwsInput()</f>
        <v/>
      </c>
      <c r="D10" s="28" t="s">
        <v>3</v>
      </c>
      <c r="E10" s="64" t="str">
        <f>[1]!wwsInput()</f>
        <v/>
      </c>
      <c r="F10" s="60" t="str">
        <f t="shared" si="1"/>
        <v/>
      </c>
      <c r="G10" s="34" t="s">
        <v>5</v>
      </c>
      <c r="H10" s="33">
        <f t="shared" si="2"/>
        <v>0</v>
      </c>
      <c r="I10" s="36"/>
      <c r="J10" s="34"/>
      <c r="K10" s="45"/>
      <c r="L10" s="36"/>
      <c r="M10" s="34"/>
      <c r="N10" s="45"/>
      <c r="O10" s="9"/>
      <c r="P10" s="29"/>
      <c r="Q10" s="2"/>
      <c r="R10" s="18" t="s">
        <v>11</v>
      </c>
      <c r="S10" s="18" t="s">
        <v>12</v>
      </c>
      <c r="T10" s="18" t="s">
        <v>11</v>
      </c>
      <c r="U10" s="12" t="s">
        <v>8</v>
      </c>
    </row>
    <row r="11" spans="1:21" x14ac:dyDescent="0.4">
      <c r="A11" s="52"/>
      <c r="B11" s="55" t="str">
        <f t="shared" si="0"/>
        <v>5.</v>
      </c>
      <c r="C11" s="64" t="str">
        <f>[1]!wwsInput()</f>
        <v/>
      </c>
      <c r="D11" s="28" t="s">
        <v>3</v>
      </c>
      <c r="E11" s="64" t="str">
        <f>[1]!wwsInput()</f>
        <v/>
      </c>
      <c r="F11" s="60" t="str">
        <f t="shared" si="1"/>
        <v/>
      </c>
      <c r="G11" s="34" t="s">
        <v>52</v>
      </c>
      <c r="H11" s="33">
        <f t="shared" si="2"/>
        <v>0</v>
      </c>
      <c r="I11" s="36"/>
      <c r="J11" s="34"/>
      <c r="K11" s="45"/>
      <c r="L11" s="36"/>
      <c r="M11" s="34"/>
      <c r="N11" s="45"/>
      <c r="O11" s="9"/>
      <c r="P11" s="29"/>
      <c r="Q11" s="2"/>
      <c r="R11" s="18" t="s">
        <v>13</v>
      </c>
      <c r="S11" s="18" t="s">
        <v>14</v>
      </c>
      <c r="T11" s="18" t="s">
        <v>26</v>
      </c>
      <c r="U11" s="12" t="s">
        <v>18</v>
      </c>
    </row>
    <row r="12" spans="1:21" x14ac:dyDescent="0.4">
      <c r="A12" s="1"/>
      <c r="B12" s="15" t="str">
        <f t="shared" si="0"/>
        <v>6.</v>
      </c>
      <c r="C12" s="64" t="str">
        <f>[1]!wwsInput()</f>
        <v/>
      </c>
      <c r="D12" s="28" t="s">
        <v>3</v>
      </c>
      <c r="E12" s="64" t="str">
        <f>[1]!wwsInput()</f>
        <v/>
      </c>
      <c r="F12" s="60" t="str">
        <f t="shared" si="1"/>
        <v/>
      </c>
      <c r="G12" s="34" t="s">
        <v>53</v>
      </c>
      <c r="H12" s="33">
        <f t="shared" si="2"/>
        <v>0</v>
      </c>
      <c r="I12" s="36"/>
      <c r="J12" s="34"/>
      <c r="K12" s="45"/>
      <c r="L12" s="36"/>
      <c r="M12" s="34"/>
      <c r="N12" s="45"/>
      <c r="O12" s="9"/>
      <c r="P12" s="29"/>
      <c r="Q12" s="2"/>
      <c r="R12" s="18" t="s">
        <v>15</v>
      </c>
      <c r="S12" s="18" t="s">
        <v>16</v>
      </c>
      <c r="T12" s="18" t="s">
        <v>22</v>
      </c>
      <c r="U12" s="12" t="s">
        <v>31</v>
      </c>
    </row>
    <row r="13" spans="1:21" x14ac:dyDescent="0.4">
      <c r="A13" s="1"/>
      <c r="B13" s="15" t="str">
        <f t="shared" si="0"/>
        <v>7.</v>
      </c>
      <c r="C13" s="64" t="str">
        <f>[1]!wwsInput()</f>
        <v/>
      </c>
      <c r="D13" s="28" t="s">
        <v>3</v>
      </c>
      <c r="E13" s="64" t="str">
        <f>[1]!wwsInput()</f>
        <v/>
      </c>
      <c r="F13" s="60" t="str">
        <f t="shared" si="1"/>
        <v/>
      </c>
      <c r="G13" s="34" t="s">
        <v>54</v>
      </c>
      <c r="H13" s="33">
        <f t="shared" si="2"/>
        <v>0</v>
      </c>
      <c r="I13" s="36"/>
      <c r="J13" s="34"/>
      <c r="K13" s="45"/>
      <c r="L13" s="36"/>
      <c r="M13" s="34"/>
      <c r="N13" s="45"/>
      <c r="O13" s="9"/>
      <c r="P13" s="29"/>
      <c r="Q13" s="2"/>
      <c r="R13" s="18" t="s">
        <v>17</v>
      </c>
      <c r="S13" s="18" t="s">
        <v>18</v>
      </c>
      <c r="T13" s="18" t="s">
        <v>20</v>
      </c>
      <c r="U13" s="12" t="s">
        <v>10</v>
      </c>
    </row>
    <row r="14" spans="1:21" x14ac:dyDescent="0.4">
      <c r="A14" s="1"/>
      <c r="B14" s="15" t="str">
        <f t="shared" si="0"/>
        <v>8.</v>
      </c>
      <c r="C14" s="64" t="str">
        <f>[1]!wwsInput()</f>
        <v/>
      </c>
      <c r="D14" s="28" t="s">
        <v>3</v>
      </c>
      <c r="E14" s="64" t="str">
        <f>[1]!wwsInput()</f>
        <v/>
      </c>
      <c r="F14" s="60" t="str">
        <f t="shared" si="1"/>
        <v/>
      </c>
      <c r="G14" s="34" t="s">
        <v>55</v>
      </c>
      <c r="H14" s="33">
        <f t="shared" si="2"/>
        <v>0</v>
      </c>
      <c r="I14" s="36"/>
      <c r="J14" s="34"/>
      <c r="K14" s="45"/>
      <c r="L14" s="36"/>
      <c r="M14" s="34"/>
      <c r="N14" s="45"/>
      <c r="O14" s="9"/>
      <c r="P14" s="29"/>
      <c r="Q14" s="2"/>
      <c r="R14" s="18" t="s">
        <v>19</v>
      </c>
      <c r="S14" s="18" t="s">
        <v>20</v>
      </c>
      <c r="T14" s="18" t="s">
        <v>24</v>
      </c>
      <c r="U14" s="12" t="s">
        <v>21</v>
      </c>
    </row>
    <row r="15" spans="1:21" x14ac:dyDescent="0.4">
      <c r="A15" s="1"/>
      <c r="B15" s="15" t="str">
        <f t="shared" si="0"/>
        <v>9.</v>
      </c>
      <c r="C15" s="64" t="str">
        <f>[1]!wwsInput()</f>
        <v/>
      </c>
      <c r="D15" s="28" t="s">
        <v>3</v>
      </c>
      <c r="E15" s="64" t="str">
        <f>[1]!wwsInput()</f>
        <v/>
      </c>
      <c r="F15" s="60" t="str">
        <f t="shared" si="1"/>
        <v/>
      </c>
      <c r="G15" s="34" t="s">
        <v>56</v>
      </c>
      <c r="H15" s="33">
        <f t="shared" si="2"/>
        <v>0</v>
      </c>
      <c r="I15" s="36"/>
      <c r="J15" s="34"/>
      <c r="K15" s="45"/>
      <c r="L15" s="36"/>
      <c r="M15" s="34"/>
      <c r="N15" s="45"/>
      <c r="O15" s="9"/>
      <c r="P15" s="29"/>
      <c r="Q15" s="2"/>
      <c r="R15" s="18" t="s">
        <v>20</v>
      </c>
      <c r="S15" s="18" t="s">
        <v>21</v>
      </c>
      <c r="T15" s="18" t="s">
        <v>17</v>
      </c>
      <c r="U15" s="12" t="s">
        <v>35</v>
      </c>
    </row>
    <row r="16" spans="1:21" x14ac:dyDescent="0.4">
      <c r="A16" s="1"/>
      <c r="B16" s="15" t="str">
        <f t="shared" si="0"/>
        <v>10.</v>
      </c>
      <c r="C16" s="64" t="str">
        <f>[1]!wwsInput()</f>
        <v/>
      </c>
      <c r="D16" s="28" t="s">
        <v>77</v>
      </c>
      <c r="E16" s="64" t="str">
        <f>[1]!wwsInput()</f>
        <v/>
      </c>
      <c r="F16" s="60" t="str">
        <f t="shared" si="1"/>
        <v/>
      </c>
      <c r="G16" s="34" t="s">
        <v>57</v>
      </c>
      <c r="H16" s="33">
        <f t="shared" si="2"/>
        <v>0</v>
      </c>
      <c r="I16" s="36"/>
      <c r="J16" s="34"/>
      <c r="K16" s="45"/>
      <c r="L16" s="36"/>
      <c r="M16" s="34"/>
      <c r="N16" s="45"/>
      <c r="O16" s="9"/>
      <c r="P16" s="29"/>
      <c r="Q16" s="2"/>
      <c r="R16" s="18" t="s">
        <v>22</v>
      </c>
      <c r="S16" s="18" t="s">
        <v>23</v>
      </c>
      <c r="T16" s="18" t="s">
        <v>15</v>
      </c>
      <c r="U16" s="12" t="s">
        <v>40</v>
      </c>
    </row>
    <row r="17" spans="1:21" x14ac:dyDescent="0.4">
      <c r="A17" s="1"/>
      <c r="B17" s="15" t="str">
        <f t="shared" si="0"/>
        <v>11.</v>
      </c>
      <c r="C17" s="64" t="str">
        <f>[1]!wwsInput()</f>
        <v/>
      </c>
      <c r="D17" s="28" t="s">
        <v>77</v>
      </c>
      <c r="E17" s="64" t="str">
        <f>[1]!wwsInput()</f>
        <v/>
      </c>
      <c r="F17" s="60" t="str">
        <f t="shared" si="1"/>
        <v/>
      </c>
      <c r="G17" s="34" t="s">
        <v>58</v>
      </c>
      <c r="H17" s="33">
        <f t="shared" si="2"/>
        <v>0</v>
      </c>
      <c r="I17" s="36"/>
      <c r="J17" s="34"/>
      <c r="K17" s="45"/>
      <c r="L17" s="36"/>
      <c r="M17" s="34"/>
      <c r="N17" s="45"/>
      <c r="O17" s="9"/>
      <c r="P17" s="29"/>
      <c r="Q17" s="2"/>
      <c r="R17" s="18" t="s">
        <v>24</v>
      </c>
      <c r="S17" s="18" t="s">
        <v>25</v>
      </c>
      <c r="T17" s="18" t="s">
        <v>19</v>
      </c>
      <c r="U17" s="12" t="s">
        <v>8</v>
      </c>
    </row>
    <row r="18" spans="1:21" x14ac:dyDescent="0.4">
      <c r="A18" s="1"/>
      <c r="B18" s="15" t="str">
        <f t="shared" si="0"/>
        <v>12.</v>
      </c>
      <c r="C18" s="64" t="str">
        <f>[1]!wwsInput()</f>
        <v/>
      </c>
      <c r="D18" s="28" t="s">
        <v>77</v>
      </c>
      <c r="E18" s="64" t="str">
        <f>[1]!wwsInput()</f>
        <v/>
      </c>
      <c r="F18" s="60" t="str">
        <f t="shared" si="1"/>
        <v/>
      </c>
      <c r="G18" s="34" t="s">
        <v>59</v>
      </c>
      <c r="H18" s="33">
        <f t="shared" si="2"/>
        <v>0</v>
      </c>
      <c r="I18" s="36"/>
      <c r="J18" s="34"/>
      <c r="K18" s="45"/>
      <c r="L18" s="36"/>
      <c r="M18" s="34"/>
      <c r="N18" s="45"/>
      <c r="O18" s="9"/>
      <c r="P18" s="29"/>
      <c r="Q18" s="2"/>
      <c r="R18" s="18" t="s">
        <v>26</v>
      </c>
      <c r="S18" s="18" t="s">
        <v>27</v>
      </c>
      <c r="T18" s="18" t="s">
        <v>13</v>
      </c>
      <c r="U18" s="12" t="s">
        <v>26</v>
      </c>
    </row>
    <row r="19" spans="1:21" x14ac:dyDescent="0.4">
      <c r="A19" s="1"/>
      <c r="B19" s="15" t="str">
        <f t="shared" si="0"/>
        <v>13.</v>
      </c>
      <c r="C19" s="64" t="str">
        <f>[1]!wwsInput()</f>
        <v/>
      </c>
      <c r="D19" s="28" t="s">
        <v>41</v>
      </c>
      <c r="E19" s="64" t="str">
        <f>[1]!wwsInput()</f>
        <v/>
      </c>
      <c r="F19" s="60" t="str">
        <f t="shared" si="1"/>
        <v/>
      </c>
      <c r="G19" s="34" t="s">
        <v>60</v>
      </c>
      <c r="H19" s="33">
        <f t="shared" si="2"/>
        <v>0</v>
      </c>
      <c r="I19" s="36"/>
      <c r="J19" s="34"/>
      <c r="K19" s="45"/>
      <c r="L19" s="36"/>
      <c r="M19" s="34"/>
      <c r="N19" s="45"/>
      <c r="O19" s="9"/>
      <c r="P19" s="29"/>
      <c r="Q19" s="2"/>
      <c r="R19" s="18" t="s">
        <v>28</v>
      </c>
      <c r="S19" s="18" t="s">
        <v>29</v>
      </c>
      <c r="T19" s="18" t="s">
        <v>36</v>
      </c>
      <c r="U19" s="12" t="s">
        <v>12</v>
      </c>
    </row>
    <row r="20" spans="1:21" x14ac:dyDescent="0.4">
      <c r="A20" s="1"/>
      <c r="B20" s="15" t="str">
        <f t="shared" si="0"/>
        <v>14.</v>
      </c>
      <c r="C20" s="64" t="str">
        <f>[1]!wwsInput()</f>
        <v/>
      </c>
      <c r="D20" s="28" t="s">
        <v>42</v>
      </c>
      <c r="E20" s="64" t="str">
        <f>[1]!wwsInput()</f>
        <v/>
      </c>
      <c r="F20" s="60" t="str">
        <f t="shared" si="1"/>
        <v/>
      </c>
      <c r="G20" s="34" t="s">
        <v>61</v>
      </c>
      <c r="H20" s="33">
        <f t="shared" si="2"/>
        <v>0</v>
      </c>
      <c r="I20" s="36"/>
      <c r="J20" s="34"/>
      <c r="K20" s="45"/>
      <c r="L20" s="36"/>
      <c r="M20" s="34"/>
      <c r="N20" s="45"/>
      <c r="O20" s="9"/>
      <c r="P20" s="29"/>
      <c r="Q20" s="2"/>
      <c r="R20" s="18" t="s">
        <v>30</v>
      </c>
      <c r="S20" s="18" t="s">
        <v>31</v>
      </c>
      <c r="T20" s="18" t="s">
        <v>37</v>
      </c>
      <c r="U20" s="12" t="s">
        <v>16</v>
      </c>
    </row>
    <row r="21" spans="1:21" x14ac:dyDescent="0.4">
      <c r="A21" s="1"/>
      <c r="B21" s="15" t="str">
        <f t="shared" si="0"/>
        <v>15.</v>
      </c>
      <c r="C21" s="64" t="str">
        <f>[1]!wwsInput()</f>
        <v/>
      </c>
      <c r="D21" s="28" t="s">
        <v>41</v>
      </c>
      <c r="E21" s="64" t="str">
        <f>[1]!wwsInput()</f>
        <v/>
      </c>
      <c r="F21" s="60" t="str">
        <f t="shared" si="1"/>
        <v/>
      </c>
      <c r="G21" s="34" t="s">
        <v>62</v>
      </c>
      <c r="H21" s="33">
        <f t="shared" si="2"/>
        <v>0</v>
      </c>
      <c r="I21" s="36"/>
      <c r="J21" s="34"/>
      <c r="K21" s="45"/>
      <c r="L21" s="36"/>
      <c r="M21" s="34"/>
      <c r="N21" s="45"/>
      <c r="O21" s="9"/>
      <c r="P21" s="29"/>
      <c r="Q21" s="2"/>
      <c r="R21" s="18" t="s">
        <v>32</v>
      </c>
      <c r="S21" s="18" t="s">
        <v>33</v>
      </c>
      <c r="T21" s="18" t="s">
        <v>30</v>
      </c>
      <c r="U21" s="12" t="s">
        <v>23</v>
      </c>
    </row>
    <row r="22" spans="1:21" x14ac:dyDescent="0.4">
      <c r="A22" s="1"/>
      <c r="B22" s="15" t="str">
        <f t="shared" si="0"/>
        <v>16.</v>
      </c>
      <c r="C22" s="64" t="str">
        <f>[1]!wwsInput()</f>
        <v/>
      </c>
      <c r="D22" s="28" t="s">
        <v>41</v>
      </c>
      <c r="E22" s="64" t="str">
        <f>[1]!wwsInput()</f>
        <v/>
      </c>
      <c r="F22" s="60" t="str">
        <f t="shared" si="1"/>
        <v/>
      </c>
      <c r="G22" s="34" t="s">
        <v>63</v>
      </c>
      <c r="H22" s="33">
        <f t="shared" si="2"/>
        <v>0</v>
      </c>
      <c r="I22" s="36"/>
      <c r="J22" s="34"/>
      <c r="K22" s="45"/>
      <c r="L22" s="36"/>
      <c r="M22" s="34"/>
      <c r="N22" s="45"/>
      <c r="O22" s="9"/>
      <c r="P22" s="29"/>
      <c r="Q22" s="2"/>
      <c r="R22" s="18" t="s">
        <v>34</v>
      </c>
      <c r="S22" s="18" t="s">
        <v>35</v>
      </c>
      <c r="T22" s="18" t="s">
        <v>28</v>
      </c>
      <c r="U22" s="12" t="s">
        <v>21</v>
      </c>
    </row>
    <row r="23" spans="1:21" x14ac:dyDescent="0.4">
      <c r="A23" s="1"/>
      <c r="B23" s="15" t="str">
        <f t="shared" si="0"/>
        <v>17.</v>
      </c>
      <c r="C23" s="64" t="str">
        <f>[1]!wwsInput()</f>
        <v/>
      </c>
      <c r="D23" s="28" t="s">
        <v>41</v>
      </c>
      <c r="E23" s="64" t="str">
        <f>[1]!wwsInput()</f>
        <v/>
      </c>
      <c r="F23" s="60" t="str">
        <f t="shared" si="1"/>
        <v/>
      </c>
      <c r="G23" s="34" t="s">
        <v>31</v>
      </c>
      <c r="H23" s="33">
        <f t="shared" si="2"/>
        <v>0</v>
      </c>
      <c r="I23" s="36"/>
      <c r="J23" s="34"/>
      <c r="K23" s="45"/>
      <c r="L23" s="36"/>
      <c r="M23" s="34"/>
      <c r="N23" s="45"/>
      <c r="O23" s="9"/>
      <c r="P23" s="29"/>
      <c r="Q23" s="2"/>
      <c r="R23" s="18" t="s">
        <v>36</v>
      </c>
      <c r="S23" s="18" t="s">
        <v>13</v>
      </c>
      <c r="T23" s="18" t="s">
        <v>39</v>
      </c>
      <c r="U23" s="12" t="s">
        <v>27</v>
      </c>
    </row>
    <row r="24" spans="1:21" x14ac:dyDescent="0.4">
      <c r="A24" s="1"/>
      <c r="B24" s="15" t="str">
        <f t="shared" si="0"/>
        <v>18.</v>
      </c>
      <c r="C24" s="64" t="str">
        <f>[1]!wwsInput()</f>
        <v/>
      </c>
      <c r="D24" s="28" t="s">
        <v>41</v>
      </c>
      <c r="E24" s="64" t="str">
        <f>[1]!wwsInput()</f>
        <v/>
      </c>
      <c r="F24" s="60" t="str">
        <f t="shared" si="1"/>
        <v/>
      </c>
      <c r="G24" s="34" t="s">
        <v>64</v>
      </c>
      <c r="H24" s="33">
        <f t="shared" si="2"/>
        <v>0</v>
      </c>
      <c r="I24" s="36"/>
      <c r="J24" s="34"/>
      <c r="K24" s="45"/>
      <c r="L24" s="36"/>
      <c r="M24" s="34"/>
      <c r="N24" s="45"/>
      <c r="O24" s="9"/>
      <c r="P24" s="29"/>
      <c r="Q24" s="2"/>
      <c r="R24" s="18" t="s">
        <v>37</v>
      </c>
      <c r="S24" s="18" t="s">
        <v>26</v>
      </c>
      <c r="T24" s="18" t="s">
        <v>38</v>
      </c>
      <c r="U24" s="12" t="s">
        <v>13</v>
      </c>
    </row>
    <row r="25" spans="1:21" x14ac:dyDescent="0.4">
      <c r="A25" s="1"/>
      <c r="B25" s="15" t="str">
        <f t="shared" si="0"/>
        <v>19.</v>
      </c>
      <c r="C25" s="64" t="str">
        <f>[1]!wwsInput()</f>
        <v/>
      </c>
      <c r="D25" s="28" t="s">
        <v>41</v>
      </c>
      <c r="E25" s="64" t="str">
        <f>[1]!wwsInput()</f>
        <v/>
      </c>
      <c r="F25" s="60" t="str">
        <f t="shared" si="1"/>
        <v/>
      </c>
      <c r="G25" s="34" t="s">
        <v>65</v>
      </c>
      <c r="H25" s="33">
        <f t="shared" si="2"/>
        <v>0</v>
      </c>
      <c r="I25" s="36"/>
      <c r="J25" s="34"/>
      <c r="K25" s="45"/>
      <c r="L25" s="36"/>
      <c r="M25" s="34"/>
      <c r="N25" s="45"/>
      <c r="O25" s="9"/>
      <c r="P25" s="29"/>
      <c r="Q25" s="2"/>
      <c r="R25" s="18" t="s">
        <v>38</v>
      </c>
      <c r="S25" s="18" t="s">
        <v>8</v>
      </c>
      <c r="T25" s="18" t="s">
        <v>34</v>
      </c>
      <c r="U25" s="12" t="s">
        <v>20</v>
      </c>
    </row>
    <row r="26" spans="1:21" x14ac:dyDescent="0.4">
      <c r="A26" s="1"/>
      <c r="B26" s="15" t="str">
        <f t="shared" si="0"/>
        <v>20.</v>
      </c>
      <c r="C26" s="64" t="str">
        <f>[1]!wwsInput()</f>
        <v/>
      </c>
      <c r="D26" s="28" t="s">
        <v>41</v>
      </c>
      <c r="E26" s="64" t="str">
        <f>[1]!wwsInput()</f>
        <v/>
      </c>
      <c r="F26" s="60" t="str">
        <f t="shared" si="1"/>
        <v/>
      </c>
      <c r="G26" s="34" t="s">
        <v>49</v>
      </c>
      <c r="H26" s="33">
        <f t="shared" si="2"/>
        <v>0</v>
      </c>
      <c r="I26" s="36"/>
      <c r="J26" s="34"/>
      <c r="K26" s="45"/>
      <c r="L26" s="36"/>
      <c r="M26" s="34"/>
      <c r="N26" s="45"/>
      <c r="O26" s="9"/>
      <c r="P26" s="29"/>
      <c r="Q26" s="2"/>
      <c r="R26" s="18" t="s">
        <v>39</v>
      </c>
      <c r="S26" s="18"/>
      <c r="T26" s="18" t="s">
        <v>32</v>
      </c>
      <c r="U26" s="12" t="s">
        <v>29</v>
      </c>
    </row>
    <row r="27" spans="1:21" x14ac:dyDescent="0.4">
      <c r="A27" s="2"/>
      <c r="B27" s="15" t="str">
        <f t="shared" si="0"/>
        <v>21.</v>
      </c>
      <c r="C27" s="64" t="str">
        <f>[1]!wwsInput()</f>
        <v/>
      </c>
      <c r="D27" s="28" t="s">
        <v>78</v>
      </c>
      <c r="E27" s="64" t="str">
        <f>[1]!wwsInput()</f>
        <v/>
      </c>
      <c r="F27" s="60" t="str">
        <f t="shared" si="1"/>
        <v/>
      </c>
      <c r="G27" s="34" t="s">
        <v>66</v>
      </c>
      <c r="H27" s="33">
        <f t="shared" si="2"/>
        <v>0</v>
      </c>
      <c r="I27" s="17"/>
      <c r="J27" s="39"/>
      <c r="K27" s="5"/>
      <c r="L27" s="17"/>
      <c r="M27" s="1"/>
      <c r="N27" s="2"/>
      <c r="O27" s="5"/>
      <c r="P27" s="11"/>
      <c r="Q27" s="2"/>
      <c r="R27" s="2"/>
      <c r="S27" s="2"/>
    </row>
    <row r="28" spans="1:21" x14ac:dyDescent="0.4">
      <c r="A28" s="2"/>
      <c r="B28" s="15" t="str">
        <f t="shared" si="0"/>
        <v>22.</v>
      </c>
      <c r="C28" s="64" t="str">
        <f>[1]!wwsInput()</f>
        <v/>
      </c>
      <c r="D28" s="28" t="s">
        <v>78</v>
      </c>
      <c r="E28" s="64" t="str">
        <f>[1]!wwsInput()</f>
        <v/>
      </c>
      <c r="F28" s="60" t="str">
        <f t="shared" si="1"/>
        <v/>
      </c>
      <c r="G28" s="34" t="s">
        <v>67</v>
      </c>
      <c r="H28" s="33">
        <f t="shared" si="2"/>
        <v>0</v>
      </c>
      <c r="I28" s="17"/>
      <c r="J28" s="39"/>
      <c r="K28" s="5"/>
      <c r="L28" s="17"/>
      <c r="M28" s="1"/>
      <c r="N28" s="2"/>
      <c r="O28" s="5"/>
      <c r="P28" s="11"/>
      <c r="Q28" s="2"/>
      <c r="R28" s="2"/>
      <c r="S28" s="2"/>
    </row>
    <row r="29" spans="1:21" x14ac:dyDescent="0.4">
      <c r="A29" s="2"/>
      <c r="B29" s="15" t="str">
        <f t="shared" si="0"/>
        <v>23.</v>
      </c>
      <c r="C29" s="64" t="str">
        <f>[1]!wwsInput()</f>
        <v/>
      </c>
      <c r="D29" s="28" t="s">
        <v>78</v>
      </c>
      <c r="E29" s="64" t="str">
        <f>[1]!wwsInput()</f>
        <v/>
      </c>
      <c r="F29" s="60" t="str">
        <f t="shared" si="1"/>
        <v/>
      </c>
      <c r="G29" s="34" t="s">
        <v>68</v>
      </c>
      <c r="H29" s="33">
        <f t="shared" si="2"/>
        <v>0</v>
      </c>
      <c r="I29" s="17"/>
      <c r="J29" s="39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24.</v>
      </c>
      <c r="C30" s="64" t="str">
        <f>[1]!wwsInput()</f>
        <v/>
      </c>
      <c r="D30" s="28" t="s">
        <v>78</v>
      </c>
      <c r="E30" s="64" t="str">
        <f>[1]!wwsInput()</f>
        <v/>
      </c>
      <c r="F30" s="60" t="str">
        <f t="shared" si="1"/>
        <v/>
      </c>
      <c r="G30" s="34" t="s">
        <v>69</v>
      </c>
      <c r="H30" s="33">
        <f t="shared" si="2"/>
        <v>0</v>
      </c>
      <c r="I30" s="17"/>
      <c r="J30" s="39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25.</v>
      </c>
      <c r="C31" s="64" t="str">
        <f>[1]!wwsInput()</f>
        <v/>
      </c>
      <c r="D31" s="28" t="s">
        <v>42</v>
      </c>
      <c r="E31" s="64" t="str">
        <f>[1]!wwsInput()</f>
        <v/>
      </c>
      <c r="F31" s="60" t="str">
        <f t="shared" si="1"/>
        <v/>
      </c>
      <c r="G31" s="34" t="s">
        <v>70</v>
      </c>
      <c r="H31" s="33">
        <f t="shared" si="2"/>
        <v>0</v>
      </c>
      <c r="I31" s="17"/>
      <c r="J31" s="39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26.</v>
      </c>
      <c r="C32" s="64" t="str">
        <f>[1]!wwsInput()</f>
        <v/>
      </c>
      <c r="D32" s="28" t="s">
        <v>42</v>
      </c>
      <c r="E32" s="64" t="str">
        <f>[1]!wwsInput()</f>
        <v/>
      </c>
      <c r="F32" s="60" t="str">
        <f t="shared" si="1"/>
        <v/>
      </c>
      <c r="G32" s="34" t="s">
        <v>71</v>
      </c>
      <c r="H32" s="33">
        <f t="shared" si="2"/>
        <v>0</v>
      </c>
      <c r="I32" s="17"/>
      <c r="J32" s="39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27.</v>
      </c>
      <c r="C33" s="64" t="str">
        <f>[1]!wwsInput()</f>
        <v/>
      </c>
      <c r="D33" s="28" t="s">
        <v>42</v>
      </c>
      <c r="E33" s="64" t="str">
        <f>[1]!wwsInput()</f>
        <v/>
      </c>
      <c r="F33" s="60" t="str">
        <f t="shared" si="1"/>
        <v/>
      </c>
      <c r="G33" s="34" t="s">
        <v>72</v>
      </c>
      <c r="H33" s="33">
        <f t="shared" si="2"/>
        <v>0</v>
      </c>
      <c r="I33" s="17"/>
      <c r="J33" s="39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28.</v>
      </c>
      <c r="C34" s="64" t="str">
        <f>[1]!wwsInput()</f>
        <v/>
      </c>
      <c r="D34" s="28" t="s">
        <v>42</v>
      </c>
      <c r="E34" s="64" t="str">
        <f>[1]!wwsInput()</f>
        <v/>
      </c>
      <c r="F34" s="60" t="str">
        <f t="shared" si="1"/>
        <v/>
      </c>
      <c r="G34" s="34" t="s">
        <v>73</v>
      </c>
      <c r="H34" s="33">
        <f t="shared" si="2"/>
        <v>0</v>
      </c>
      <c r="I34" s="17"/>
      <c r="J34" s="39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29.</v>
      </c>
      <c r="C35" s="64" t="str">
        <f>[1]!wwsInput()</f>
        <v/>
      </c>
      <c r="D35" s="28" t="s">
        <v>42</v>
      </c>
      <c r="E35" s="64" t="str">
        <f>[1]!wwsInput()</f>
        <v/>
      </c>
      <c r="F35" s="60" t="str">
        <f t="shared" si="1"/>
        <v/>
      </c>
      <c r="G35" s="34" t="s">
        <v>28</v>
      </c>
      <c r="H35" s="33">
        <f t="shared" si="2"/>
        <v>0</v>
      </c>
      <c r="I35" s="17"/>
      <c r="J35" s="39"/>
      <c r="K35" s="5"/>
      <c r="L35" s="17"/>
      <c r="M35" s="1"/>
      <c r="N35" s="2"/>
      <c r="O35" s="5"/>
      <c r="P35" s="11"/>
      <c r="Q35" s="2"/>
      <c r="R35" s="2"/>
      <c r="S35" s="2"/>
    </row>
    <row r="36" spans="1:19" x14ac:dyDescent="0.4">
      <c r="A36" s="2"/>
      <c r="B36" s="15" t="str">
        <f t="shared" si="0"/>
        <v>30.</v>
      </c>
      <c r="C36" s="64" t="str">
        <f>[1]!wwsInput()</f>
        <v/>
      </c>
      <c r="D36" s="28" t="s">
        <v>42</v>
      </c>
      <c r="E36" s="64" t="str">
        <f>[1]!wwsInput()</f>
        <v/>
      </c>
      <c r="F36" s="60" t="str">
        <f t="shared" si="1"/>
        <v/>
      </c>
      <c r="G36" s="34" t="s">
        <v>29</v>
      </c>
      <c r="H36" s="33">
        <f t="shared" si="2"/>
        <v>0</v>
      </c>
      <c r="I36" s="17"/>
      <c r="J36" s="39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31.</v>
      </c>
      <c r="C37" s="64" t="str">
        <f>[1]!wwsInput()</f>
        <v/>
      </c>
      <c r="D37" s="28" t="s">
        <v>42</v>
      </c>
      <c r="E37" s="64" t="str">
        <f>[1]!wwsInput()</f>
        <v/>
      </c>
      <c r="F37" s="60" t="str">
        <f t="shared" si="1"/>
        <v/>
      </c>
      <c r="G37" s="34" t="s">
        <v>74</v>
      </c>
      <c r="H37" s="33">
        <f t="shared" si="2"/>
        <v>0</v>
      </c>
      <c r="I37" s="17"/>
      <c r="J37" s="39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32.</v>
      </c>
      <c r="C38" s="64" t="str">
        <f>[1]!wwsInput()</f>
        <v/>
      </c>
      <c r="D38" s="28" t="s">
        <v>42</v>
      </c>
      <c r="E38" s="64" t="str">
        <f>[1]!wwsInput()</f>
        <v/>
      </c>
      <c r="F38" s="60" t="str">
        <f t="shared" si="1"/>
        <v/>
      </c>
      <c r="G38" s="34" t="s">
        <v>75</v>
      </c>
      <c r="H38" s="33">
        <f t="shared" si="2"/>
        <v>0</v>
      </c>
      <c r="I38" s="17"/>
      <c r="J38" s="39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33.</v>
      </c>
      <c r="C39" s="64" t="str">
        <f>[1]!wwsInput()</f>
        <v/>
      </c>
      <c r="D39" s="28" t="s">
        <v>42</v>
      </c>
      <c r="E39" s="64" t="str">
        <f>[1]!wwsInput()</f>
        <v/>
      </c>
      <c r="F39" s="60" t="str">
        <f t="shared" si="1"/>
        <v/>
      </c>
      <c r="G39" s="34" t="s">
        <v>7</v>
      </c>
      <c r="H39" s="33">
        <f t="shared" si="2"/>
        <v>0</v>
      </c>
      <c r="I39" s="17"/>
      <c r="J39" s="39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 t="str">
        <f t="shared" si="0"/>
        <v>34.</v>
      </c>
      <c r="C40" s="64" t="str">
        <f>[1]!wwsInput()</f>
        <v/>
      </c>
      <c r="D40" s="28" t="s">
        <v>42</v>
      </c>
      <c r="E40" s="64" t="str">
        <f>[1]!wwsInput()</f>
        <v/>
      </c>
      <c r="F40" s="60" t="str">
        <f t="shared" si="1"/>
        <v/>
      </c>
      <c r="G40" s="34" t="s">
        <v>76</v>
      </c>
      <c r="H40" s="33">
        <f t="shared" si="2"/>
        <v>0</v>
      </c>
      <c r="I40" s="17"/>
      <c r="J40" s="39"/>
      <c r="K40" s="5"/>
      <c r="L40" s="17"/>
      <c r="M40" s="1"/>
      <c r="N40" s="2"/>
      <c r="O40" s="5"/>
      <c r="P40" s="11"/>
      <c r="Q40" s="2"/>
      <c r="R40" s="2"/>
      <c r="S40" s="2"/>
    </row>
    <row r="41" spans="1:19" x14ac:dyDescent="0.4">
      <c r="A41" s="2"/>
      <c r="B41" s="15"/>
      <c r="C41" s="2"/>
      <c r="D41" s="2"/>
      <c r="E41" s="2"/>
      <c r="F41" s="62"/>
      <c r="G41" s="86">
        <f>SUM(H7:H40)/34</f>
        <v>2.9411764705882353E-2</v>
      </c>
      <c r="H41" s="4"/>
      <c r="I41" s="17"/>
      <c r="J41" s="92" t="str">
        <f>[1]!wwsTabOrder("Right")</f>
        <v>TabOrder</v>
      </c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/>
      <c r="C42" s="2"/>
      <c r="D42" s="2"/>
      <c r="E42" s="2"/>
      <c r="F42" s="62"/>
      <c r="H42" s="4"/>
      <c r="I42" s="17"/>
      <c r="J42" s="39"/>
      <c r="K42" s="5"/>
      <c r="L42" s="2" t="s">
        <v>43</v>
      </c>
      <c r="M42" s="1"/>
      <c r="N42" s="2"/>
      <c r="O42" s="5"/>
      <c r="P42" s="11"/>
      <c r="R42" s="2"/>
      <c r="S42" s="2"/>
    </row>
    <row r="43" spans="1:19" x14ac:dyDescent="0.4">
      <c r="A43" s="2"/>
      <c r="B43" s="15"/>
      <c r="C43" s="2"/>
      <c r="D43" s="2"/>
      <c r="E43" s="2"/>
      <c r="F43" s="62"/>
      <c r="H43" s="4"/>
      <c r="I43" s="17"/>
      <c r="J43" s="39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2"/>
      <c r="B44" s="15"/>
      <c r="C44" s="2"/>
      <c r="D44" s="2"/>
      <c r="E44" s="2"/>
      <c r="F44" s="62"/>
      <c r="H44" s="4"/>
      <c r="I44" s="17"/>
      <c r="J44" s="39"/>
      <c r="K44" s="5"/>
      <c r="L44" s="17"/>
      <c r="M44" s="1"/>
      <c r="N44" s="2"/>
      <c r="O44" s="5"/>
      <c r="P44" s="11"/>
      <c r="Q44" s="2"/>
      <c r="R44" s="2"/>
      <c r="S44" s="2"/>
    </row>
    <row r="45" spans="1:19" x14ac:dyDescent="0.4">
      <c r="A45" s="2"/>
      <c r="B45" s="15"/>
      <c r="C45" s="2"/>
      <c r="D45" s="2"/>
      <c r="E45" s="2"/>
      <c r="F45" s="62"/>
      <c r="H45" s="4"/>
      <c r="I45" s="17"/>
      <c r="J45" s="39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2"/>
      <c r="B46" s="15"/>
      <c r="C46" s="2"/>
      <c r="D46" s="2"/>
      <c r="E46" s="2"/>
      <c r="F46" s="62"/>
      <c r="H46" s="4"/>
      <c r="I46" s="17"/>
      <c r="J46" s="39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2"/>
      <c r="B47" s="15"/>
      <c r="C47" s="2"/>
      <c r="D47" s="2"/>
      <c r="E47" s="2"/>
      <c r="F47" s="62"/>
      <c r="H47" s="4"/>
      <c r="I47" s="17"/>
      <c r="J47" s="39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2"/>
      <c r="B48" s="15"/>
      <c r="C48" s="2"/>
      <c r="D48" s="2"/>
      <c r="E48" s="2"/>
      <c r="F48" s="62"/>
      <c r="H48" s="4"/>
      <c r="I48" s="17"/>
      <c r="J48" s="39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2"/>
      <c r="B49" s="15"/>
      <c r="C49" s="2"/>
      <c r="D49" s="2"/>
      <c r="E49" s="2"/>
      <c r="F49" s="62"/>
      <c r="H49" s="4"/>
      <c r="I49" s="17"/>
      <c r="J49" s="39"/>
      <c r="K49" s="5"/>
      <c r="L49" s="17"/>
      <c r="M49" s="1"/>
      <c r="N49" s="2"/>
      <c r="O49" s="5"/>
      <c r="P49" s="11"/>
      <c r="Q49" s="2"/>
      <c r="R49" s="2"/>
      <c r="S49" s="2"/>
    </row>
  </sheetData>
  <sheetProtection selectLockedCells="1"/>
  <mergeCells count="3">
    <mergeCell ref="B2:J2"/>
    <mergeCell ref="C3:K3"/>
    <mergeCell ref="A5:E5"/>
  </mergeCells>
  <conditionalFormatting sqref="O21">
    <cfRule type="cellIs" dxfId="568" priority="489" operator="equal">
      <formula>"CORRECT !"</formula>
    </cfRule>
  </conditionalFormatting>
  <conditionalFormatting sqref="O20">
    <cfRule type="cellIs" dxfId="567" priority="490" operator="equal">
      <formula>"CORRECT !"</formula>
    </cfRule>
  </conditionalFormatting>
  <conditionalFormatting sqref="O22">
    <cfRule type="cellIs" dxfId="566" priority="488" operator="equal">
      <formula>"CORRECT !"</formula>
    </cfRule>
  </conditionalFormatting>
  <conditionalFormatting sqref="O24">
    <cfRule type="cellIs" dxfId="565" priority="486" operator="equal">
      <formula>"CORRECT !"</formula>
    </cfRule>
  </conditionalFormatting>
  <conditionalFormatting sqref="O10">
    <cfRule type="cellIs" dxfId="564" priority="500" operator="equal">
      <formula>"CORRECT !"</formula>
    </cfRule>
  </conditionalFormatting>
  <conditionalFormatting sqref="O12">
    <cfRule type="cellIs" dxfId="563" priority="498" operator="equal">
      <formula>"CORRECT !"</formula>
    </cfRule>
  </conditionalFormatting>
  <conditionalFormatting sqref="O14">
    <cfRule type="cellIs" dxfId="562" priority="496" operator="equal">
      <formula>"CORRECT !"</formula>
    </cfRule>
  </conditionalFormatting>
  <conditionalFormatting sqref="O16">
    <cfRule type="cellIs" dxfId="561" priority="494" operator="equal">
      <formula>"CORRECT !"</formula>
    </cfRule>
  </conditionalFormatting>
  <conditionalFormatting sqref="O18">
    <cfRule type="cellIs" dxfId="560" priority="492" operator="equal">
      <formula>"CORRECT !"</formula>
    </cfRule>
  </conditionalFormatting>
  <conditionalFormatting sqref="O23">
    <cfRule type="cellIs" dxfId="559" priority="487" operator="equal">
      <formula>"CORRECT !"</formula>
    </cfRule>
  </conditionalFormatting>
  <conditionalFormatting sqref="O9">
    <cfRule type="cellIs" dxfId="558" priority="501" operator="equal">
      <formula>"CORRECT !"</formula>
    </cfRule>
  </conditionalFormatting>
  <conditionalFormatting sqref="O11">
    <cfRule type="cellIs" dxfId="557" priority="499" operator="equal">
      <formula>"CORRECT !"</formula>
    </cfRule>
  </conditionalFormatting>
  <conditionalFormatting sqref="O13">
    <cfRule type="cellIs" dxfId="556" priority="497" operator="equal">
      <formula>"CORRECT !"</formula>
    </cfRule>
  </conditionalFormatting>
  <conditionalFormatting sqref="O15">
    <cfRule type="cellIs" dxfId="555" priority="495" operator="equal">
      <formula>"CORRECT !"</formula>
    </cfRule>
  </conditionalFormatting>
  <conditionalFormatting sqref="O17">
    <cfRule type="cellIs" dxfId="554" priority="493" operator="equal">
      <formula>"CORRECT !"</formula>
    </cfRule>
  </conditionalFormatting>
  <conditionalFormatting sqref="O19">
    <cfRule type="cellIs" dxfId="553" priority="491" operator="equal">
      <formula>"CORRECT !"</formula>
    </cfRule>
  </conditionalFormatting>
  <conditionalFormatting sqref="I20">
    <cfRule type="cellIs" dxfId="552" priority="470" operator="equal">
      <formula>"CORRECT !"</formula>
    </cfRule>
  </conditionalFormatting>
  <conditionalFormatting sqref="I21">
    <cfRule type="cellIs" dxfId="551" priority="469" operator="equal">
      <formula>"CORRECT !"</formula>
    </cfRule>
  </conditionalFormatting>
  <conditionalFormatting sqref="I22">
    <cfRule type="cellIs" dxfId="550" priority="468" operator="equal">
      <formula>"CORRECT !"</formula>
    </cfRule>
  </conditionalFormatting>
  <conditionalFormatting sqref="I23">
    <cfRule type="cellIs" dxfId="549" priority="467" operator="equal">
      <formula>"CORRECT !"</formula>
    </cfRule>
  </conditionalFormatting>
  <conditionalFormatting sqref="I24">
    <cfRule type="cellIs" dxfId="548" priority="466" operator="equal">
      <formula>"CORRECT !"</formula>
    </cfRule>
  </conditionalFormatting>
  <conditionalFormatting sqref="I9">
    <cfRule type="cellIs" dxfId="547" priority="481" operator="equal">
      <formula>"CORRECT !"</formula>
    </cfRule>
  </conditionalFormatting>
  <conditionalFormatting sqref="I10">
    <cfRule type="cellIs" dxfId="546" priority="480" operator="equal">
      <formula>"CORRECT !"</formula>
    </cfRule>
  </conditionalFormatting>
  <conditionalFormatting sqref="I11">
    <cfRule type="cellIs" dxfId="545" priority="479" operator="equal">
      <formula>"CORRECT !"</formula>
    </cfRule>
  </conditionalFormatting>
  <conditionalFormatting sqref="I12">
    <cfRule type="cellIs" dxfId="544" priority="478" operator="equal">
      <formula>"CORRECT !"</formula>
    </cfRule>
  </conditionalFormatting>
  <conditionalFormatting sqref="I13">
    <cfRule type="cellIs" dxfId="543" priority="477" operator="equal">
      <formula>"CORRECT !"</formula>
    </cfRule>
  </conditionalFormatting>
  <conditionalFormatting sqref="I14">
    <cfRule type="cellIs" dxfId="542" priority="476" operator="equal">
      <formula>"CORRECT !"</formula>
    </cfRule>
  </conditionalFormatting>
  <conditionalFormatting sqref="I15">
    <cfRule type="cellIs" dxfId="541" priority="475" operator="equal">
      <formula>"CORRECT !"</formula>
    </cfRule>
  </conditionalFormatting>
  <conditionalFormatting sqref="I16">
    <cfRule type="cellIs" dxfId="540" priority="474" operator="equal">
      <formula>"CORRECT !"</formula>
    </cfRule>
  </conditionalFormatting>
  <conditionalFormatting sqref="I17">
    <cfRule type="cellIs" dxfId="539" priority="473" operator="equal">
      <formula>"CORRECT !"</formula>
    </cfRule>
  </conditionalFormatting>
  <conditionalFormatting sqref="I18">
    <cfRule type="cellIs" dxfId="538" priority="472" operator="equal">
      <formula>"CORRECT !"</formula>
    </cfRule>
  </conditionalFormatting>
  <conditionalFormatting sqref="I19">
    <cfRule type="cellIs" dxfId="537" priority="471" operator="equal">
      <formula>"CORRECT !"</formula>
    </cfRule>
  </conditionalFormatting>
  <conditionalFormatting sqref="Q1">
    <cfRule type="expression" dxfId="536" priority="544">
      <formula>"$R$1&lt;&gt;''"</formula>
    </cfRule>
  </conditionalFormatting>
  <conditionalFormatting sqref="P16">
    <cfRule type="cellIs" dxfId="535" priority="434" operator="equal">
      <formula>"CORRECT !"</formula>
    </cfRule>
  </conditionalFormatting>
  <conditionalFormatting sqref="P17">
    <cfRule type="cellIs" dxfId="534" priority="433" operator="equal">
      <formula>"CORRECT !"</formula>
    </cfRule>
  </conditionalFormatting>
  <conditionalFormatting sqref="T8:T26">
    <cfRule type="cellIs" dxfId="533" priority="504" operator="equal">
      <formula>"CORRECT !"</formula>
    </cfRule>
  </conditionalFormatting>
  <conditionalFormatting sqref="T7">
    <cfRule type="cellIs" dxfId="532" priority="503" operator="equal">
      <formula>"CORRECT !"</formula>
    </cfRule>
  </conditionalFormatting>
  <conditionalFormatting sqref="O7">
    <cfRule type="cellIs" dxfId="531" priority="510" operator="equal">
      <formula>"CORRECT !"</formula>
    </cfRule>
  </conditionalFormatting>
  <conditionalFormatting sqref="F7">
    <cfRule type="cellIs" dxfId="530" priority="509" operator="equal">
      <formula>"CORRECT !"</formula>
    </cfRule>
  </conditionalFormatting>
  <conditionalFormatting sqref="R8:R26">
    <cfRule type="cellIs" dxfId="529" priority="508" operator="equal">
      <formula>"CORRECT !"</formula>
    </cfRule>
  </conditionalFormatting>
  <conditionalFormatting sqref="R7">
    <cfRule type="cellIs" dxfId="528" priority="507" operator="equal">
      <formula>"CORRECT !"</formula>
    </cfRule>
  </conditionalFormatting>
  <conditionalFormatting sqref="S8:S26">
    <cfRule type="cellIs" dxfId="527" priority="506" operator="equal">
      <formula>"CORRECT !"</formula>
    </cfRule>
  </conditionalFormatting>
  <conditionalFormatting sqref="S7">
    <cfRule type="cellIs" dxfId="526" priority="505" operator="equal">
      <formula>"CORRECT !"</formula>
    </cfRule>
  </conditionalFormatting>
  <conditionalFormatting sqref="O8">
    <cfRule type="cellIs" dxfId="525" priority="502" operator="equal">
      <formula>"CORRECT !"</formula>
    </cfRule>
  </conditionalFormatting>
  <conditionalFormatting sqref="O25">
    <cfRule type="cellIs" dxfId="524" priority="485" operator="equal">
      <formula>"CORRECT !"</formula>
    </cfRule>
  </conditionalFormatting>
  <conditionalFormatting sqref="O26">
    <cfRule type="cellIs" dxfId="523" priority="484" operator="equal">
      <formula>"CORRECT !"</formula>
    </cfRule>
  </conditionalFormatting>
  <conditionalFormatting sqref="I7">
    <cfRule type="cellIs" dxfId="522" priority="483" operator="equal">
      <formula>"CORRECT !"</formula>
    </cfRule>
  </conditionalFormatting>
  <conditionalFormatting sqref="I8">
    <cfRule type="cellIs" dxfId="521" priority="482" operator="equal">
      <formula>"CORRECT !"</formula>
    </cfRule>
  </conditionalFormatting>
  <conditionalFormatting sqref="I26">
    <cfRule type="cellIs" dxfId="520" priority="464" operator="equal">
      <formula>"CORRECT !"</formula>
    </cfRule>
  </conditionalFormatting>
  <conditionalFormatting sqref="I25">
    <cfRule type="cellIs" dxfId="519" priority="465" operator="equal">
      <formula>"CORRECT !"</formula>
    </cfRule>
  </conditionalFormatting>
  <conditionalFormatting sqref="L7">
    <cfRule type="cellIs" dxfId="518" priority="463" operator="equal">
      <formula>"CORRECT !"</formula>
    </cfRule>
  </conditionalFormatting>
  <conditionalFormatting sqref="L8">
    <cfRule type="cellIs" dxfId="517" priority="462" operator="equal">
      <formula>"CORRECT !"</formula>
    </cfRule>
  </conditionalFormatting>
  <conditionalFormatting sqref="L9">
    <cfRule type="cellIs" dxfId="516" priority="461" operator="equal">
      <formula>"CORRECT !"</formula>
    </cfRule>
  </conditionalFormatting>
  <conditionalFormatting sqref="L10">
    <cfRule type="cellIs" dxfId="515" priority="460" operator="equal">
      <formula>"CORRECT !"</formula>
    </cfRule>
  </conditionalFormatting>
  <conditionalFormatting sqref="L11">
    <cfRule type="cellIs" dxfId="514" priority="459" operator="equal">
      <formula>"CORRECT !"</formula>
    </cfRule>
  </conditionalFormatting>
  <conditionalFormatting sqref="L12">
    <cfRule type="cellIs" dxfId="513" priority="458" operator="equal">
      <formula>"CORRECT !"</formula>
    </cfRule>
  </conditionalFormatting>
  <conditionalFormatting sqref="L13">
    <cfRule type="cellIs" dxfId="512" priority="457" operator="equal">
      <formula>"CORRECT !"</formula>
    </cfRule>
  </conditionalFormatting>
  <conditionalFormatting sqref="L14">
    <cfRule type="cellIs" dxfId="511" priority="456" operator="equal">
      <formula>"CORRECT !"</formula>
    </cfRule>
  </conditionalFormatting>
  <conditionalFormatting sqref="L15">
    <cfRule type="cellIs" dxfId="510" priority="455" operator="equal">
      <formula>"CORRECT !"</formula>
    </cfRule>
  </conditionalFormatting>
  <conditionalFormatting sqref="L16">
    <cfRule type="cellIs" dxfId="509" priority="454" operator="equal">
      <formula>"CORRECT !"</formula>
    </cfRule>
  </conditionalFormatting>
  <conditionalFormatting sqref="L17">
    <cfRule type="cellIs" dxfId="508" priority="453" operator="equal">
      <formula>"CORRECT !"</formula>
    </cfRule>
  </conditionalFormatting>
  <conditionalFormatting sqref="L18">
    <cfRule type="cellIs" dxfId="507" priority="452" operator="equal">
      <formula>"CORRECT !"</formula>
    </cfRule>
  </conditionalFormatting>
  <conditionalFormatting sqref="L19">
    <cfRule type="cellIs" dxfId="506" priority="451" operator="equal">
      <formula>"CORRECT !"</formula>
    </cfRule>
  </conditionalFormatting>
  <conditionalFormatting sqref="L20">
    <cfRule type="cellIs" dxfId="505" priority="450" operator="equal">
      <formula>"CORRECT !"</formula>
    </cfRule>
  </conditionalFormatting>
  <conditionalFormatting sqref="L21">
    <cfRule type="cellIs" dxfId="504" priority="449" operator="equal">
      <formula>"CORRECT !"</formula>
    </cfRule>
  </conditionalFormatting>
  <conditionalFormatting sqref="L22">
    <cfRule type="cellIs" dxfId="503" priority="448" operator="equal">
      <formula>"CORRECT !"</formula>
    </cfRule>
  </conditionalFormatting>
  <conditionalFormatting sqref="L23">
    <cfRule type="cellIs" dxfId="502" priority="447" operator="equal">
      <formula>"CORRECT !"</formula>
    </cfRule>
  </conditionalFormatting>
  <conditionalFormatting sqref="L24">
    <cfRule type="cellIs" dxfId="501" priority="446" operator="equal">
      <formula>"CORRECT !"</formula>
    </cfRule>
  </conditionalFormatting>
  <conditionalFormatting sqref="L25">
    <cfRule type="cellIs" dxfId="500" priority="445" operator="equal">
      <formula>"CORRECT !"</formula>
    </cfRule>
  </conditionalFormatting>
  <conditionalFormatting sqref="L26">
    <cfRule type="cellIs" dxfId="499" priority="444" operator="equal">
      <formula>"CORRECT !"</formula>
    </cfRule>
  </conditionalFormatting>
  <conditionalFormatting sqref="P7">
    <cfRule type="cellIs" dxfId="498" priority="443" operator="equal">
      <formula>"CORRECT !"</formula>
    </cfRule>
  </conditionalFormatting>
  <conditionalFormatting sqref="P8">
    <cfRule type="cellIs" dxfId="497" priority="442" operator="equal">
      <formula>"CORRECT !"</formula>
    </cfRule>
  </conditionalFormatting>
  <conditionalFormatting sqref="P9">
    <cfRule type="cellIs" dxfId="496" priority="441" operator="equal">
      <formula>"CORRECT !"</formula>
    </cfRule>
  </conditionalFormatting>
  <conditionalFormatting sqref="P10">
    <cfRule type="cellIs" dxfId="495" priority="440" operator="equal">
      <formula>"CORRECT !"</formula>
    </cfRule>
  </conditionalFormatting>
  <conditionalFormatting sqref="P11">
    <cfRule type="cellIs" dxfId="494" priority="439" operator="equal">
      <formula>"CORRECT !"</formula>
    </cfRule>
  </conditionalFormatting>
  <conditionalFormatting sqref="P12">
    <cfRule type="cellIs" dxfId="493" priority="438" operator="equal">
      <formula>"CORRECT !"</formula>
    </cfRule>
  </conditionalFormatting>
  <conditionalFormatting sqref="P13">
    <cfRule type="cellIs" dxfId="492" priority="437" operator="equal">
      <formula>"CORRECT !"</formula>
    </cfRule>
  </conditionalFormatting>
  <conditionalFormatting sqref="P14">
    <cfRule type="cellIs" dxfId="491" priority="436" operator="equal">
      <formula>"CORRECT !"</formula>
    </cfRule>
  </conditionalFormatting>
  <conditionalFormatting sqref="P15">
    <cfRule type="cellIs" dxfId="490" priority="435" operator="equal">
      <formula>"CORRECT !"</formula>
    </cfRule>
  </conditionalFormatting>
  <conditionalFormatting sqref="P18">
    <cfRule type="cellIs" dxfId="489" priority="432" operator="equal">
      <formula>"CORRECT !"</formula>
    </cfRule>
  </conditionalFormatting>
  <conditionalFormatting sqref="P19">
    <cfRule type="cellIs" dxfId="488" priority="431" operator="equal">
      <formula>"CORRECT !"</formula>
    </cfRule>
  </conditionalFormatting>
  <conditionalFormatting sqref="P20">
    <cfRule type="cellIs" dxfId="487" priority="430" operator="equal">
      <formula>"CORRECT !"</formula>
    </cfRule>
  </conditionalFormatting>
  <conditionalFormatting sqref="P21">
    <cfRule type="cellIs" dxfId="486" priority="429" operator="equal">
      <formula>"CORRECT !"</formula>
    </cfRule>
  </conditionalFormatting>
  <conditionalFormatting sqref="P22">
    <cfRule type="cellIs" dxfId="485" priority="428" operator="equal">
      <formula>"CORRECT !"</formula>
    </cfRule>
  </conditionalFormatting>
  <conditionalFormatting sqref="P23">
    <cfRule type="cellIs" dxfId="484" priority="427" operator="equal">
      <formula>"CORRECT !"</formula>
    </cfRule>
  </conditionalFormatting>
  <conditionalFormatting sqref="P24">
    <cfRule type="cellIs" dxfId="483" priority="426" operator="equal">
      <formula>"CORRECT !"</formula>
    </cfRule>
  </conditionalFormatting>
  <conditionalFormatting sqref="P25">
    <cfRule type="cellIs" dxfId="482" priority="425" operator="equal">
      <formula>"CORRECT !"</formula>
    </cfRule>
  </conditionalFormatting>
  <conditionalFormatting sqref="P26">
    <cfRule type="cellIs" dxfId="481" priority="424" operator="equal">
      <formula>"CORRECT !"</formula>
    </cfRule>
  </conditionalFormatting>
  <conditionalFormatting sqref="F8">
    <cfRule type="cellIs" dxfId="480" priority="102" operator="equal">
      <formula>"CORRECT !"</formula>
    </cfRule>
  </conditionalFormatting>
  <conditionalFormatting sqref="F9">
    <cfRule type="cellIs" dxfId="479" priority="101" operator="equal">
      <formula>"CORRECT !"</formula>
    </cfRule>
  </conditionalFormatting>
  <conditionalFormatting sqref="F10">
    <cfRule type="cellIs" dxfId="478" priority="100" operator="equal">
      <formula>"CORRECT !"</formula>
    </cfRule>
  </conditionalFormatting>
  <conditionalFormatting sqref="F11">
    <cfRule type="cellIs" dxfId="477" priority="99" operator="equal">
      <formula>"CORRECT !"</formula>
    </cfRule>
  </conditionalFormatting>
  <conditionalFormatting sqref="F12">
    <cfRule type="cellIs" dxfId="476" priority="98" operator="equal">
      <formula>"CORRECT !"</formula>
    </cfRule>
  </conditionalFormatting>
  <conditionalFormatting sqref="F13">
    <cfRule type="cellIs" dxfId="475" priority="97" operator="equal">
      <formula>"CORRECT !"</formula>
    </cfRule>
  </conditionalFormatting>
  <conditionalFormatting sqref="F14">
    <cfRule type="cellIs" dxfId="474" priority="96" operator="equal">
      <formula>"CORRECT !"</formula>
    </cfRule>
  </conditionalFormatting>
  <conditionalFormatting sqref="F15">
    <cfRule type="cellIs" dxfId="473" priority="95" operator="equal">
      <formula>"CORRECT !"</formula>
    </cfRule>
  </conditionalFormatting>
  <conditionalFormatting sqref="F16">
    <cfRule type="cellIs" dxfId="472" priority="94" operator="equal">
      <formula>"CORRECT !"</formula>
    </cfRule>
  </conditionalFormatting>
  <conditionalFormatting sqref="F17">
    <cfRule type="cellIs" dxfId="471" priority="93" operator="equal">
      <formula>"CORRECT !"</formula>
    </cfRule>
  </conditionalFormatting>
  <conditionalFormatting sqref="F18">
    <cfRule type="cellIs" dxfId="470" priority="92" operator="equal">
      <formula>"CORRECT !"</formula>
    </cfRule>
  </conditionalFormatting>
  <conditionalFormatting sqref="F19">
    <cfRule type="cellIs" dxfId="469" priority="91" operator="equal">
      <formula>"CORRECT !"</formula>
    </cfRule>
  </conditionalFormatting>
  <conditionalFormatting sqref="F20">
    <cfRule type="cellIs" dxfId="468" priority="90" operator="equal">
      <formula>"CORRECT !"</formula>
    </cfRule>
  </conditionalFormatting>
  <conditionalFormatting sqref="F21">
    <cfRule type="cellIs" dxfId="467" priority="89" operator="equal">
      <formula>"CORRECT !"</formula>
    </cfRule>
  </conditionalFormatting>
  <conditionalFormatting sqref="F22">
    <cfRule type="cellIs" dxfId="466" priority="88" operator="equal">
      <formula>"CORRECT !"</formula>
    </cfRule>
  </conditionalFormatting>
  <conditionalFormatting sqref="F23">
    <cfRule type="cellIs" dxfId="465" priority="87" operator="equal">
      <formula>"CORRECT !"</formula>
    </cfRule>
  </conditionalFormatting>
  <conditionalFormatting sqref="F24">
    <cfRule type="cellIs" dxfId="464" priority="86" operator="equal">
      <formula>"CORRECT !"</formula>
    </cfRule>
  </conditionalFormatting>
  <conditionalFormatting sqref="F25">
    <cfRule type="cellIs" dxfId="463" priority="85" operator="equal">
      <formula>"CORRECT !"</formula>
    </cfRule>
  </conditionalFormatting>
  <conditionalFormatting sqref="F26">
    <cfRule type="cellIs" dxfId="462" priority="84" operator="equal">
      <formula>"CORRECT !"</formula>
    </cfRule>
  </conditionalFormatting>
  <conditionalFormatting sqref="F27">
    <cfRule type="cellIs" dxfId="461" priority="83" operator="equal">
      <formula>"CORRECT !"</formula>
    </cfRule>
  </conditionalFormatting>
  <conditionalFormatting sqref="F28">
    <cfRule type="cellIs" dxfId="460" priority="82" operator="equal">
      <formula>"CORRECT !"</formula>
    </cfRule>
  </conditionalFormatting>
  <conditionalFormatting sqref="F29">
    <cfRule type="cellIs" dxfId="459" priority="81" operator="equal">
      <formula>"CORRECT !"</formula>
    </cfRule>
  </conditionalFormatting>
  <conditionalFormatting sqref="F30">
    <cfRule type="cellIs" dxfId="458" priority="80" operator="equal">
      <formula>"CORRECT !"</formula>
    </cfRule>
  </conditionalFormatting>
  <conditionalFormatting sqref="F31">
    <cfRule type="cellIs" dxfId="457" priority="79" operator="equal">
      <formula>"CORRECT !"</formula>
    </cfRule>
  </conditionalFormatting>
  <conditionalFormatting sqref="F32">
    <cfRule type="cellIs" dxfId="456" priority="78" operator="equal">
      <formula>"CORRECT !"</formula>
    </cfRule>
  </conditionalFormatting>
  <conditionalFormatting sqref="F33">
    <cfRule type="cellIs" dxfId="455" priority="77" operator="equal">
      <formula>"CORRECT !"</formula>
    </cfRule>
  </conditionalFormatting>
  <conditionalFormatting sqref="F34">
    <cfRule type="cellIs" dxfId="454" priority="76" operator="equal">
      <formula>"CORRECT !"</formula>
    </cfRule>
  </conditionalFormatting>
  <conditionalFormatting sqref="F35">
    <cfRule type="cellIs" dxfId="453" priority="75" operator="equal">
      <formula>"CORRECT !"</formula>
    </cfRule>
  </conditionalFormatting>
  <conditionalFormatting sqref="F36">
    <cfRule type="cellIs" dxfId="452" priority="74" operator="equal">
      <formula>"CORRECT !"</formula>
    </cfRule>
  </conditionalFormatting>
  <conditionalFormatting sqref="F37">
    <cfRule type="cellIs" dxfId="451" priority="73" operator="equal">
      <formula>"CORRECT !"</formula>
    </cfRule>
  </conditionalFormatting>
  <conditionalFormatting sqref="F38">
    <cfRule type="cellIs" dxfId="450" priority="72" operator="equal">
      <formula>"CORRECT !"</formula>
    </cfRule>
  </conditionalFormatting>
  <conditionalFormatting sqref="F39">
    <cfRule type="cellIs" dxfId="449" priority="71" operator="equal">
      <formula>"CORRECT !"</formula>
    </cfRule>
  </conditionalFormatting>
  <conditionalFormatting sqref="F40">
    <cfRule type="cellIs" dxfId="448" priority="70" operator="equal">
      <formula>"CORRECT !"</formula>
    </cfRule>
  </conditionalFormatting>
  <conditionalFormatting sqref="G7">
    <cfRule type="expression" dxfId="447" priority="686">
      <formula>$A$2&lt;&gt;""</formula>
    </cfRule>
  </conditionalFormatting>
  <conditionalFormatting sqref="G8">
    <cfRule type="expression" dxfId="446" priority="33">
      <formula>$A$2&lt;&gt;""</formula>
    </cfRule>
  </conditionalFormatting>
  <conditionalFormatting sqref="G9">
    <cfRule type="expression" dxfId="445" priority="32">
      <formula>$A$2&lt;&gt;""</formula>
    </cfRule>
  </conditionalFormatting>
  <conditionalFormatting sqref="G10">
    <cfRule type="expression" dxfId="444" priority="31">
      <formula>$A$2&lt;&gt;""</formula>
    </cfRule>
  </conditionalFormatting>
  <conditionalFormatting sqref="G11">
    <cfRule type="expression" dxfId="443" priority="30">
      <formula>$A$2&lt;&gt;""</formula>
    </cfRule>
  </conditionalFormatting>
  <conditionalFormatting sqref="G12">
    <cfRule type="expression" dxfId="442" priority="29">
      <formula>$A$2&lt;&gt;""</formula>
    </cfRule>
  </conditionalFormatting>
  <conditionalFormatting sqref="G13">
    <cfRule type="expression" dxfId="441" priority="28">
      <formula>$A$2&lt;&gt;""</formula>
    </cfRule>
  </conditionalFormatting>
  <conditionalFormatting sqref="G14">
    <cfRule type="expression" dxfId="440" priority="27">
      <formula>$A$2&lt;&gt;""</formula>
    </cfRule>
  </conditionalFormatting>
  <conditionalFormatting sqref="G15">
    <cfRule type="expression" dxfId="439" priority="26">
      <formula>$A$2&lt;&gt;""</formula>
    </cfRule>
  </conditionalFormatting>
  <conditionalFormatting sqref="G16">
    <cfRule type="expression" dxfId="438" priority="25">
      <formula>$A$2&lt;&gt;""</formula>
    </cfRule>
  </conditionalFormatting>
  <conditionalFormatting sqref="G17">
    <cfRule type="expression" dxfId="437" priority="24">
      <formula>$A$2&lt;&gt;""</formula>
    </cfRule>
  </conditionalFormatting>
  <conditionalFormatting sqref="G18">
    <cfRule type="expression" dxfId="436" priority="23">
      <formula>$A$2&lt;&gt;""</formula>
    </cfRule>
  </conditionalFormatting>
  <conditionalFormatting sqref="G19">
    <cfRule type="expression" dxfId="435" priority="22">
      <formula>$A$2&lt;&gt;""</formula>
    </cfRule>
  </conditionalFormatting>
  <conditionalFormatting sqref="G20">
    <cfRule type="expression" dxfId="434" priority="21">
      <formula>$A$2&lt;&gt;""</formula>
    </cfRule>
  </conditionalFormatting>
  <conditionalFormatting sqref="G21">
    <cfRule type="expression" dxfId="433" priority="20">
      <formula>$A$2&lt;&gt;""</formula>
    </cfRule>
  </conditionalFormatting>
  <conditionalFormatting sqref="G22">
    <cfRule type="expression" dxfId="432" priority="19">
      <formula>$A$2&lt;&gt;""</formula>
    </cfRule>
  </conditionalFormatting>
  <conditionalFormatting sqref="G23">
    <cfRule type="expression" dxfId="431" priority="18">
      <formula>$A$2&lt;&gt;""</formula>
    </cfRule>
  </conditionalFormatting>
  <conditionalFormatting sqref="G24">
    <cfRule type="expression" dxfId="430" priority="17">
      <formula>$A$2&lt;&gt;""</formula>
    </cfRule>
  </conditionalFormatting>
  <conditionalFormatting sqref="G25">
    <cfRule type="expression" dxfId="429" priority="16">
      <formula>$A$2&lt;&gt;""</formula>
    </cfRule>
  </conditionalFormatting>
  <conditionalFormatting sqref="G26">
    <cfRule type="expression" dxfId="428" priority="15">
      <formula>$A$2&lt;&gt;""</formula>
    </cfRule>
  </conditionalFormatting>
  <conditionalFormatting sqref="G27">
    <cfRule type="expression" dxfId="427" priority="14">
      <formula>$A$2&lt;&gt;""</formula>
    </cfRule>
  </conditionalFormatting>
  <conditionalFormatting sqref="G28">
    <cfRule type="expression" dxfId="426" priority="13">
      <formula>$A$2&lt;&gt;""</formula>
    </cfRule>
  </conditionalFormatting>
  <conditionalFormatting sqref="G29">
    <cfRule type="expression" dxfId="425" priority="12">
      <formula>$A$2&lt;&gt;""</formula>
    </cfRule>
  </conditionalFormatting>
  <conditionalFormatting sqref="G30">
    <cfRule type="expression" dxfId="424" priority="11">
      <formula>$A$2&lt;&gt;""</formula>
    </cfRule>
  </conditionalFormatting>
  <conditionalFormatting sqref="G31">
    <cfRule type="expression" dxfId="423" priority="10">
      <formula>$A$2&lt;&gt;""</formula>
    </cfRule>
  </conditionalFormatting>
  <conditionalFormatting sqref="G32">
    <cfRule type="expression" dxfId="422" priority="9">
      <formula>$A$2&lt;&gt;""</formula>
    </cfRule>
  </conditionalFormatting>
  <conditionalFormatting sqref="G33">
    <cfRule type="expression" dxfId="421" priority="8">
      <formula>$A$2&lt;&gt;""</formula>
    </cfRule>
  </conditionalFormatting>
  <conditionalFormatting sqref="G34">
    <cfRule type="expression" dxfId="420" priority="7">
      <formula>$A$2&lt;&gt;""</formula>
    </cfRule>
  </conditionalFormatting>
  <conditionalFormatting sqref="G35">
    <cfRule type="expression" dxfId="419" priority="6">
      <formula>$A$2&lt;&gt;""</formula>
    </cfRule>
  </conditionalFormatting>
  <conditionalFormatting sqref="G36">
    <cfRule type="expression" dxfId="418" priority="5">
      <formula>$A$2&lt;&gt;""</formula>
    </cfRule>
  </conditionalFormatting>
  <conditionalFormatting sqref="G37">
    <cfRule type="expression" dxfId="417" priority="4">
      <formula>$A$2&lt;&gt;""</formula>
    </cfRule>
  </conditionalFormatting>
  <conditionalFormatting sqref="G38">
    <cfRule type="expression" dxfId="416" priority="3">
      <formula>$A$2&lt;&gt;""</formula>
    </cfRule>
  </conditionalFormatting>
  <conditionalFormatting sqref="G39">
    <cfRule type="expression" dxfId="415" priority="2">
      <formula>$A$2&lt;&gt;""</formula>
    </cfRule>
  </conditionalFormatting>
  <conditionalFormatting sqref="G40">
    <cfRule type="expression" dxfId="414" priority="1">
      <formula>$A$2&lt;&gt;""</formula>
    </cfRule>
  </conditionalFormatting>
  <pageMargins left="0.7" right="0.7" top="0.75" bottom="0.75" header="0.3" footer="0.3"/>
  <pageSetup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T171"/>
  <sheetViews>
    <sheetView showGridLines="0" workbookViewId="0">
      <selection activeCell="A3" sqref="A3"/>
    </sheetView>
  </sheetViews>
  <sheetFormatPr defaultRowHeight="21" x14ac:dyDescent="0.4"/>
  <cols>
    <col min="1" max="1" width="8.88671875" style="32"/>
    <col min="2" max="2" width="5.77734375" style="16" customWidth="1"/>
    <col min="3" max="3" width="3.33203125" style="41" customWidth="1"/>
    <col min="4" max="4" width="7.5546875" customWidth="1"/>
    <col min="5" max="5" width="3.44140625" style="10" customWidth="1"/>
    <col min="6" max="6" width="7.77734375" style="19" customWidth="1"/>
    <col min="7" max="7" width="3.77734375" customWidth="1"/>
    <col min="8" max="8" width="4.5546875" style="14" customWidth="1"/>
    <col min="9" max="9" width="8.33203125" style="10" customWidth="1"/>
    <col min="10" max="10" width="3.44140625" style="19" customWidth="1"/>
    <col min="11" max="11" width="5" style="20" customWidth="1"/>
    <col min="12" max="12" width="7.44140625" style="10" customWidth="1"/>
    <col min="13" max="13" width="3.44140625" style="19" customWidth="1"/>
    <col min="14" max="14" width="9.109375" style="14" customWidth="1"/>
    <col min="15" max="15" width="3.6640625" customWidth="1"/>
    <col min="16" max="16" width="10.21875" style="10" customWidth="1"/>
    <col min="17" max="17" width="8.88671875" style="13"/>
  </cols>
  <sheetData>
    <row r="1" spans="1:17" x14ac:dyDescent="0.4">
      <c r="B1" s="95"/>
      <c r="C1" s="87"/>
      <c r="D1" s="70"/>
      <c r="E1" s="71"/>
      <c r="F1" s="70"/>
      <c r="G1" s="70"/>
      <c r="H1" s="1"/>
      <c r="I1" s="71"/>
      <c r="J1" s="72"/>
      <c r="K1" s="73"/>
      <c r="L1" s="71"/>
      <c r="M1" s="72"/>
      <c r="N1" s="74"/>
      <c r="O1" s="2"/>
      <c r="P1" s="65"/>
      <c r="Q1" s="96"/>
    </row>
    <row r="2" spans="1:17" ht="23.4" x14ac:dyDescent="0.45">
      <c r="A2" s="65" t="s">
        <v>46</v>
      </c>
      <c r="B2" s="97"/>
      <c r="C2" s="98"/>
      <c r="D2" s="99" t="s">
        <v>44</v>
      </c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5"/>
      <c r="Q2" s="77"/>
    </row>
    <row r="3" spans="1:17" ht="21" customHeight="1" x14ac:dyDescent="0.35">
      <c r="A3" s="94" t="str">
        <f>[1]!wwsInput()</f>
        <v/>
      </c>
      <c r="B3" s="80"/>
      <c r="C3" s="100" t="s">
        <v>80</v>
      </c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81"/>
      <c r="Q3" s="84"/>
    </row>
    <row r="4" spans="1:17" x14ac:dyDescent="0.4">
      <c r="A4" s="52"/>
      <c r="B4" s="55"/>
      <c r="C4" s="59"/>
      <c r="D4" s="3"/>
      <c r="E4" s="5"/>
      <c r="F4" s="17"/>
      <c r="G4" s="2"/>
      <c r="H4" s="38"/>
      <c r="I4" s="5"/>
      <c r="J4" s="17"/>
      <c r="K4" s="39"/>
      <c r="L4" s="5"/>
      <c r="M4" s="17"/>
      <c r="N4" s="38"/>
      <c r="O4" s="7"/>
      <c r="P4" s="5"/>
      <c r="Q4" s="11"/>
    </row>
    <row r="5" spans="1:17" ht="21" customHeight="1" x14ac:dyDescent="0.35">
      <c r="B5" s="55"/>
      <c r="C5" s="4"/>
      <c r="D5" s="90" t="s">
        <v>45</v>
      </c>
      <c r="E5" s="90"/>
      <c r="F5" s="90"/>
      <c r="G5" s="90"/>
      <c r="H5" s="90"/>
      <c r="I5" s="90"/>
      <c r="J5" s="90"/>
      <c r="K5" s="90"/>
      <c r="L5" s="90"/>
      <c r="M5" s="90"/>
      <c r="N5" s="22"/>
      <c r="O5" s="27"/>
      <c r="P5" s="31"/>
      <c r="Q5" s="11"/>
    </row>
    <row r="6" spans="1:17" x14ac:dyDescent="0.4">
      <c r="B6" s="55"/>
      <c r="C6" s="4"/>
      <c r="D6" s="2"/>
      <c r="E6" s="5"/>
      <c r="F6" s="30"/>
      <c r="G6" s="2"/>
      <c r="H6" s="38"/>
      <c r="I6" s="5"/>
      <c r="J6" s="17"/>
      <c r="K6" s="39"/>
      <c r="L6" s="5"/>
      <c r="M6" s="17"/>
      <c r="N6" s="38"/>
      <c r="O6" s="7"/>
      <c r="P6" s="5"/>
      <c r="Q6" s="11"/>
    </row>
    <row r="7" spans="1:17" x14ac:dyDescent="0.4">
      <c r="B7" s="56"/>
      <c r="C7" s="41">
        <f>IF(OR(AND($G7="y",$D7=F7,$J7="",$M7=""),AND($G7="",$D7=I7,$J7="y",$M7=""),AND($G7="",$D7=$L7,$J7="",$M7="y")),1,0)</f>
        <v>1</v>
      </c>
      <c r="D7" s="58" t="s">
        <v>67</v>
      </c>
      <c r="E7" s="15" t="str">
        <f>CONCATENATE(G6+1,".")</f>
        <v>1.</v>
      </c>
      <c r="F7" s="109" t="s">
        <v>67</v>
      </c>
      <c r="G7" s="110" t="s">
        <v>48</v>
      </c>
      <c r="H7" s="26"/>
      <c r="I7" s="109" t="s">
        <v>69</v>
      </c>
      <c r="J7" s="110"/>
      <c r="K7" s="26"/>
      <c r="L7" s="109" t="s">
        <v>66</v>
      </c>
      <c r="M7" s="110"/>
      <c r="N7" s="9"/>
      <c r="O7" s="37"/>
      <c r="P7"/>
      <c r="Q7"/>
    </row>
    <row r="8" spans="1:17" x14ac:dyDescent="0.4">
      <c r="B8" s="56"/>
      <c r="C8" s="41">
        <f t="shared" ref="C8:C21" si="0">IF(OR(AND($G8="y",$D8=F8,$J8&lt;&gt;"y",$M8&lt;&gt;"y"),AND($G8&lt;&gt;"y",$D8=I8,$J8="y",$M8&lt;&gt;"y"),AND($G8&lt;&gt;"y",$D8=$L8,$J8&lt;&gt;"y",$M8="y")),1,0)</f>
        <v>0</v>
      </c>
      <c r="D8" s="58" t="s">
        <v>50</v>
      </c>
      <c r="E8" s="15" t="str">
        <f t="shared" ref="E8:E21" si="1">CONCATENATE(E7+1,".")</f>
        <v>2.</v>
      </c>
      <c r="F8" s="57" t="s">
        <v>54</v>
      </c>
      <c r="G8" s="8" t="str">
        <f>[1]!wwsInput()</f>
        <v/>
      </c>
      <c r="H8" s="26"/>
      <c r="I8" s="57" t="s">
        <v>50</v>
      </c>
      <c r="J8" s="8" t="str">
        <f>[1]!wwsInput()</f>
        <v/>
      </c>
      <c r="K8" s="26"/>
      <c r="L8" s="57" t="s">
        <v>5</v>
      </c>
      <c r="M8" s="8" t="str">
        <f>[1]!wwsInput()</f>
        <v/>
      </c>
      <c r="N8" s="9"/>
      <c r="O8" s="37"/>
      <c r="P8"/>
      <c r="Q8"/>
    </row>
    <row r="9" spans="1:17" x14ac:dyDescent="0.4">
      <c r="B9" s="56"/>
      <c r="C9" s="41">
        <f t="shared" si="0"/>
        <v>0</v>
      </c>
      <c r="D9" s="58" t="s">
        <v>49</v>
      </c>
      <c r="E9" s="15" t="str">
        <f t="shared" si="1"/>
        <v>3.</v>
      </c>
      <c r="F9" s="57" t="s">
        <v>62</v>
      </c>
      <c r="G9" s="8" t="str">
        <f>[1]!wwsInput()</f>
        <v/>
      </c>
      <c r="H9" s="26"/>
      <c r="I9" s="57" t="s">
        <v>49</v>
      </c>
      <c r="J9" s="8" t="str">
        <f>[1]!wwsInput()</f>
        <v/>
      </c>
      <c r="K9" s="26" t="s">
        <v>48</v>
      </c>
      <c r="L9" s="57" t="s">
        <v>64</v>
      </c>
      <c r="M9" s="8" t="str">
        <f>[1]!wwsInput()</f>
        <v/>
      </c>
      <c r="N9" s="9"/>
      <c r="O9" s="37"/>
      <c r="P9"/>
      <c r="Q9"/>
    </row>
    <row r="10" spans="1:17" x14ac:dyDescent="0.4">
      <c r="B10" s="56"/>
      <c r="C10" s="41">
        <f t="shared" si="0"/>
        <v>0</v>
      </c>
      <c r="D10" s="58" t="s">
        <v>59</v>
      </c>
      <c r="E10" s="15" t="str">
        <f t="shared" si="1"/>
        <v>4.</v>
      </c>
      <c r="F10" s="57" t="s">
        <v>59</v>
      </c>
      <c r="G10" s="8" t="str">
        <f>[1]!wwsInput()</f>
        <v/>
      </c>
      <c r="H10" s="26"/>
      <c r="I10" s="57" t="s">
        <v>58</v>
      </c>
      <c r="J10" s="8" t="str">
        <f>[1]!wwsInput()</f>
        <v/>
      </c>
      <c r="K10" s="26"/>
      <c r="L10" s="57" t="s">
        <v>57</v>
      </c>
      <c r="M10" s="8" t="str">
        <f>[1]!wwsInput()</f>
        <v/>
      </c>
      <c r="N10" s="9"/>
      <c r="O10" s="37"/>
      <c r="P10"/>
      <c r="Q10"/>
    </row>
    <row r="11" spans="1:17" x14ac:dyDescent="0.4">
      <c r="B11" s="56"/>
      <c r="C11" s="41">
        <f t="shared" si="0"/>
        <v>0</v>
      </c>
      <c r="D11" s="58" t="s">
        <v>76</v>
      </c>
      <c r="E11" s="15" t="str">
        <f t="shared" si="1"/>
        <v>5.</v>
      </c>
      <c r="F11" s="57" t="s">
        <v>74</v>
      </c>
      <c r="G11" s="8" t="str">
        <f>[1]!wwsInput()</f>
        <v/>
      </c>
      <c r="H11" s="26"/>
      <c r="I11" s="57" t="s">
        <v>76</v>
      </c>
      <c r="J11" s="8" t="str">
        <f>[1]!wwsInput()</f>
        <v/>
      </c>
      <c r="K11" s="26"/>
      <c r="L11" s="57" t="s">
        <v>75</v>
      </c>
      <c r="M11" s="8" t="str">
        <f>[1]!wwsInput()</f>
        <v/>
      </c>
      <c r="N11" s="9"/>
      <c r="O11" s="37"/>
      <c r="P11"/>
      <c r="Q11"/>
    </row>
    <row r="12" spans="1:17" x14ac:dyDescent="0.4">
      <c r="B12" s="56"/>
      <c r="C12" s="41">
        <f t="shared" si="0"/>
        <v>0</v>
      </c>
      <c r="D12" s="58" t="s">
        <v>53</v>
      </c>
      <c r="E12" s="15" t="str">
        <f t="shared" si="1"/>
        <v>6.</v>
      </c>
      <c r="F12" s="57" t="s">
        <v>55</v>
      </c>
      <c r="G12" s="8" t="str">
        <f>[1]!wwsInput()</f>
        <v/>
      </c>
      <c r="H12" s="26"/>
      <c r="I12" s="57" t="s">
        <v>52</v>
      </c>
      <c r="J12" s="8" t="str">
        <f>[1]!wwsInput()</f>
        <v/>
      </c>
      <c r="K12" s="26"/>
      <c r="L12" s="57" t="s">
        <v>53</v>
      </c>
      <c r="M12" s="8" t="str">
        <f>[1]!wwsInput()</f>
        <v/>
      </c>
      <c r="N12" s="9"/>
      <c r="O12" s="37"/>
      <c r="P12"/>
      <c r="Q12"/>
    </row>
    <row r="13" spans="1:17" x14ac:dyDescent="0.4">
      <c r="B13" s="56"/>
      <c r="C13" s="41">
        <f t="shared" si="0"/>
        <v>0</v>
      </c>
      <c r="D13" s="58" t="s">
        <v>73</v>
      </c>
      <c r="E13" s="15" t="str">
        <f t="shared" si="1"/>
        <v>7.</v>
      </c>
      <c r="F13" s="57" t="s">
        <v>75</v>
      </c>
      <c r="G13" s="8" t="str">
        <f>[1]!wwsInput()</f>
        <v/>
      </c>
      <c r="H13" s="26"/>
      <c r="I13" s="57" t="s">
        <v>7</v>
      </c>
      <c r="J13" s="8" t="str">
        <f>[1]!wwsInput()</f>
        <v/>
      </c>
      <c r="K13" s="26"/>
      <c r="L13" s="57" t="s">
        <v>73</v>
      </c>
      <c r="M13" s="8" t="str">
        <f>[1]!wwsInput()</f>
        <v/>
      </c>
      <c r="N13" s="9"/>
      <c r="O13" s="37"/>
      <c r="P13"/>
      <c r="Q13"/>
    </row>
    <row r="14" spans="1:17" x14ac:dyDescent="0.4">
      <c r="B14" s="56"/>
      <c r="C14" s="41">
        <f t="shared" si="0"/>
        <v>0</v>
      </c>
      <c r="D14" s="58" t="s">
        <v>56</v>
      </c>
      <c r="E14" s="15" t="str">
        <f t="shared" si="1"/>
        <v>8.</v>
      </c>
      <c r="F14" s="57" t="s">
        <v>56</v>
      </c>
      <c r="G14" s="8" t="str">
        <f>[1]!wwsInput()</f>
        <v/>
      </c>
      <c r="H14" s="26"/>
      <c r="I14" s="57" t="s">
        <v>51</v>
      </c>
      <c r="J14" s="8" t="str">
        <f>[1]!wwsInput()</f>
        <v/>
      </c>
      <c r="K14" s="26"/>
      <c r="L14" s="57" t="s">
        <v>30</v>
      </c>
      <c r="M14" s="8" t="str">
        <f>[1]!wwsInput()</f>
        <v/>
      </c>
      <c r="N14" s="9"/>
      <c r="O14" s="37"/>
      <c r="P14"/>
      <c r="Q14"/>
    </row>
    <row r="15" spans="1:17" x14ac:dyDescent="0.4">
      <c r="B15" s="56"/>
      <c r="C15" s="41">
        <f t="shared" si="0"/>
        <v>0</v>
      </c>
      <c r="D15" s="58" t="s">
        <v>76</v>
      </c>
      <c r="E15" s="15" t="str">
        <f t="shared" si="1"/>
        <v>9.</v>
      </c>
      <c r="F15" s="57" t="s">
        <v>76</v>
      </c>
      <c r="G15" s="8" t="str">
        <f>[1]!wwsInput()</f>
        <v/>
      </c>
      <c r="H15" s="26"/>
      <c r="I15" s="57" t="s">
        <v>29</v>
      </c>
      <c r="J15" s="8" t="str">
        <f>[1]!wwsInput()</f>
        <v/>
      </c>
      <c r="K15" s="26"/>
      <c r="L15" s="57" t="s">
        <v>72</v>
      </c>
      <c r="M15" s="8" t="str">
        <f>[1]!wwsInput()</f>
        <v/>
      </c>
      <c r="N15" s="9"/>
      <c r="O15" s="37"/>
      <c r="P15"/>
      <c r="Q15"/>
    </row>
    <row r="16" spans="1:17" x14ac:dyDescent="0.4">
      <c r="B16" s="56"/>
      <c r="C16" s="41">
        <f t="shared" si="0"/>
        <v>0</v>
      </c>
      <c r="D16" s="58" t="s">
        <v>69</v>
      </c>
      <c r="E16" s="15" t="str">
        <f t="shared" si="1"/>
        <v>10.</v>
      </c>
      <c r="F16" s="57" t="s">
        <v>66</v>
      </c>
      <c r="G16" s="8" t="str">
        <f>[1]!wwsInput()</f>
        <v/>
      </c>
      <c r="H16" s="26"/>
      <c r="I16" s="57" t="s">
        <v>68</v>
      </c>
      <c r="J16" s="8" t="str">
        <f>[1]!wwsInput()</f>
        <v/>
      </c>
      <c r="K16" s="26"/>
      <c r="L16" s="57" t="s">
        <v>69</v>
      </c>
      <c r="M16" s="8" t="str">
        <f>[1]!wwsInput()</f>
        <v/>
      </c>
      <c r="N16" s="9"/>
      <c r="O16" s="37"/>
      <c r="P16"/>
      <c r="Q16"/>
    </row>
    <row r="17" spans="1:20" x14ac:dyDescent="0.4">
      <c r="B17" s="56"/>
      <c r="C17" s="41">
        <f t="shared" si="0"/>
        <v>0</v>
      </c>
      <c r="D17" s="58" t="s">
        <v>65</v>
      </c>
      <c r="E17" s="15" t="str">
        <f t="shared" si="1"/>
        <v>11.</v>
      </c>
      <c r="F17" s="57" t="s">
        <v>65</v>
      </c>
      <c r="G17" s="8" t="str">
        <f>[1]!wwsInput()</f>
        <v/>
      </c>
      <c r="H17" s="26"/>
      <c r="I17" s="57" t="s">
        <v>60</v>
      </c>
      <c r="J17" s="8" t="str">
        <f>[1]!wwsInput()</f>
        <v/>
      </c>
      <c r="K17" s="26"/>
      <c r="L17" s="57" t="s">
        <v>31</v>
      </c>
      <c r="M17" s="8" t="str">
        <f>[1]!wwsInput()</f>
        <v/>
      </c>
      <c r="N17" s="9"/>
      <c r="O17" s="37"/>
      <c r="P17"/>
      <c r="Q17"/>
    </row>
    <row r="18" spans="1:20" x14ac:dyDescent="0.4">
      <c r="B18" s="56"/>
      <c r="C18" s="41">
        <f t="shared" si="0"/>
        <v>0</v>
      </c>
      <c r="D18" s="58" t="s">
        <v>49</v>
      </c>
      <c r="E18" s="15" t="str">
        <f t="shared" si="1"/>
        <v>12.</v>
      </c>
      <c r="F18" s="57" t="s">
        <v>63</v>
      </c>
      <c r="G18" s="8" t="str">
        <f>[1]!wwsInput()</f>
        <v/>
      </c>
      <c r="H18" s="26"/>
      <c r="I18" s="57" t="s">
        <v>31</v>
      </c>
      <c r="J18" s="8" t="str">
        <f>[1]!wwsInput()</f>
        <v/>
      </c>
      <c r="K18" s="26"/>
      <c r="L18" s="57" t="s">
        <v>49</v>
      </c>
      <c r="M18" s="8" t="str">
        <f>[1]!wwsInput()</f>
        <v/>
      </c>
      <c r="N18" s="9"/>
      <c r="O18" s="37"/>
      <c r="P18"/>
      <c r="Q18"/>
    </row>
    <row r="19" spans="1:20" x14ac:dyDescent="0.4">
      <c r="B19" s="56"/>
      <c r="C19" s="41">
        <f t="shared" si="0"/>
        <v>0</v>
      </c>
      <c r="D19" s="58" t="s">
        <v>7</v>
      </c>
      <c r="E19" s="15" t="str">
        <f t="shared" si="1"/>
        <v>13.</v>
      </c>
      <c r="F19" s="57" t="s">
        <v>71</v>
      </c>
      <c r="G19" s="8" t="str">
        <f>[1]!wwsInput()</f>
        <v/>
      </c>
      <c r="H19" s="26"/>
      <c r="I19" s="57" t="s">
        <v>29</v>
      </c>
      <c r="J19" s="8" t="str">
        <f>[1]!wwsInput()</f>
        <v/>
      </c>
      <c r="K19" s="26"/>
      <c r="L19" s="57" t="s">
        <v>7</v>
      </c>
      <c r="M19" s="8" t="str">
        <f>[1]!wwsInput()</f>
        <v/>
      </c>
      <c r="N19" s="9"/>
      <c r="O19" s="37"/>
      <c r="P19"/>
      <c r="Q19"/>
    </row>
    <row r="20" spans="1:20" x14ac:dyDescent="0.4">
      <c r="B20" s="56"/>
      <c r="C20" s="41">
        <f t="shared" si="0"/>
        <v>0</v>
      </c>
      <c r="D20" s="58" t="s">
        <v>61</v>
      </c>
      <c r="E20" s="15" t="str">
        <f t="shared" si="1"/>
        <v>14.</v>
      </c>
      <c r="F20" s="57" t="s">
        <v>70</v>
      </c>
      <c r="G20" s="8" t="str">
        <f>[1]!wwsInput()</f>
        <v/>
      </c>
      <c r="H20" s="26"/>
      <c r="I20" s="57" t="s">
        <v>61</v>
      </c>
      <c r="J20" s="8" t="str">
        <f>[1]!wwsInput()</f>
        <v/>
      </c>
      <c r="K20" s="26"/>
      <c r="L20" s="57" t="s">
        <v>73</v>
      </c>
      <c r="M20" s="8" t="str">
        <f>[1]!wwsInput()</f>
        <v/>
      </c>
      <c r="N20" s="9"/>
      <c r="O20" s="37"/>
      <c r="P20"/>
      <c r="Q20"/>
    </row>
    <row r="21" spans="1:20" x14ac:dyDescent="0.4">
      <c r="B21" s="40">
        <f>SUM(C7:C21)/15</f>
        <v>6.6666666666666666E-2</v>
      </c>
      <c r="C21" s="41">
        <f t="shared" si="0"/>
        <v>0</v>
      </c>
      <c r="D21" s="58" t="s">
        <v>63</v>
      </c>
      <c r="E21" s="15" t="str">
        <f t="shared" si="1"/>
        <v>15.</v>
      </c>
      <c r="F21" s="57" t="s">
        <v>60</v>
      </c>
      <c r="G21" s="8" t="str">
        <f>[1]!wwsInput()</f>
        <v/>
      </c>
      <c r="H21" s="26"/>
      <c r="I21" s="57" t="s">
        <v>63</v>
      </c>
      <c r="J21" s="8" t="str">
        <f>[1]!wwsInput()</f>
        <v/>
      </c>
      <c r="K21" s="26"/>
      <c r="L21" s="57" t="s">
        <v>64</v>
      </c>
      <c r="M21" s="8" t="str">
        <f>[1]!wwsInput()</f>
        <v/>
      </c>
      <c r="N21" s="9"/>
      <c r="O21" s="37"/>
      <c r="P21"/>
      <c r="Q21"/>
    </row>
    <row r="22" spans="1:20" x14ac:dyDescent="0.4">
      <c r="A22" s="85"/>
      <c r="B22" s="101"/>
      <c r="C22" s="4"/>
      <c r="D22" s="29"/>
      <c r="E22" s="102"/>
      <c r="F22" s="103"/>
      <c r="G22" s="104"/>
      <c r="H22" s="104"/>
      <c r="I22" s="105"/>
      <c r="J22" s="104"/>
      <c r="K22" s="104"/>
      <c r="L22" s="103"/>
      <c r="M22" s="102"/>
      <c r="N22" s="65" t="str">
        <f>[1]!wwsTabOrder("Right")</f>
        <v>TabOrder</v>
      </c>
      <c r="O22" s="11"/>
      <c r="P22" s="2"/>
      <c r="Q22" s="2"/>
      <c r="R22" s="2"/>
      <c r="S22" s="2"/>
      <c r="T22" s="2"/>
    </row>
    <row r="23" spans="1:20" x14ac:dyDescent="0.4">
      <c r="A23" s="91"/>
      <c r="B23" s="91"/>
      <c r="C23" s="91"/>
      <c r="D23" s="91"/>
      <c r="E23" s="106"/>
      <c r="F23" s="47"/>
      <c r="G23" s="102"/>
      <c r="H23" s="103"/>
      <c r="I23" s="104"/>
      <c r="J23" s="104"/>
      <c r="K23" s="105"/>
      <c r="L23" s="104"/>
      <c r="M23" s="104"/>
      <c r="N23" s="103"/>
      <c r="O23" s="102"/>
      <c r="P23" s="104"/>
      <c r="Q23" s="107" t="s">
        <v>43</v>
      </c>
      <c r="R23" s="2"/>
      <c r="S23" s="2"/>
      <c r="T23" s="2"/>
    </row>
    <row r="24" spans="1:20" x14ac:dyDescent="0.4">
      <c r="A24" s="108"/>
      <c r="B24" s="48"/>
      <c r="C24" s="11"/>
      <c r="D24" s="107"/>
      <c r="E24" s="106"/>
      <c r="F24" s="47"/>
      <c r="G24" s="102"/>
      <c r="H24" s="103"/>
      <c r="I24" s="104"/>
      <c r="J24" s="104"/>
      <c r="K24" s="105"/>
      <c r="L24" s="104"/>
      <c r="M24" s="104"/>
      <c r="N24" s="103"/>
      <c r="O24" s="102"/>
      <c r="P24" s="104"/>
      <c r="Q24" s="11"/>
      <c r="R24" s="2"/>
      <c r="S24" s="2"/>
      <c r="T24" s="2"/>
    </row>
    <row r="25" spans="1:20" x14ac:dyDescent="0.4">
      <c r="A25" s="54"/>
      <c r="B25" s="48"/>
      <c r="C25" s="45"/>
      <c r="D25" s="50"/>
      <c r="E25" s="51"/>
      <c r="F25" s="47"/>
      <c r="G25" s="48"/>
      <c r="H25" s="49"/>
      <c r="I25" s="50"/>
      <c r="J25" s="51"/>
      <c r="K25" s="49"/>
      <c r="L25" s="50"/>
      <c r="M25" s="51"/>
      <c r="N25" s="49"/>
      <c r="O25" s="50"/>
      <c r="P25" s="25"/>
      <c r="Q25" s="29"/>
      <c r="R25" s="2"/>
      <c r="S25" s="2"/>
      <c r="T25" s="2"/>
    </row>
    <row r="26" spans="1:20" x14ac:dyDescent="0.4">
      <c r="A26" s="54"/>
      <c r="B26" s="48"/>
      <c r="C26" s="45"/>
      <c r="D26" s="50"/>
      <c r="E26" s="51"/>
      <c r="F26" s="47"/>
      <c r="G26" s="48"/>
      <c r="H26" s="49"/>
      <c r="I26" s="50"/>
      <c r="J26" s="51"/>
      <c r="K26" s="49"/>
      <c r="L26" s="50"/>
      <c r="M26" s="51"/>
      <c r="N26" s="49"/>
      <c r="O26" s="50"/>
      <c r="P26" s="25"/>
      <c r="Q26" s="29"/>
      <c r="R26" s="2"/>
      <c r="S26" s="2"/>
      <c r="T26" s="2"/>
    </row>
    <row r="27" spans="1:20" x14ac:dyDescent="0.4">
      <c r="A27" s="54"/>
      <c r="B27" s="33"/>
      <c r="C27" s="45"/>
      <c r="D27" s="45"/>
      <c r="E27" s="36"/>
      <c r="F27" s="43"/>
      <c r="G27" s="33"/>
      <c r="H27" s="34"/>
      <c r="I27" s="45"/>
      <c r="J27" s="36"/>
      <c r="K27" s="34"/>
      <c r="L27" s="45"/>
      <c r="M27" s="36"/>
      <c r="N27" s="34"/>
      <c r="O27" s="45"/>
      <c r="P27" s="9"/>
      <c r="Q27" s="29"/>
      <c r="R27" s="2"/>
      <c r="S27" s="2"/>
      <c r="T27" s="2"/>
    </row>
    <row r="28" spans="1:20" x14ac:dyDescent="0.4">
      <c r="A28" s="54"/>
      <c r="B28" s="33"/>
      <c r="C28" s="45"/>
      <c r="D28" s="45"/>
      <c r="E28" s="36"/>
      <c r="F28" s="43"/>
      <c r="G28" s="33"/>
      <c r="H28" s="34"/>
      <c r="I28" s="45"/>
      <c r="J28" s="36"/>
      <c r="K28" s="34"/>
      <c r="L28" s="45"/>
      <c r="M28" s="36"/>
      <c r="N28" s="34"/>
      <c r="O28" s="45"/>
      <c r="P28" s="9"/>
      <c r="Q28" s="29"/>
      <c r="R28" s="2"/>
      <c r="S28" s="2"/>
      <c r="T28" s="2"/>
    </row>
    <row r="29" spans="1:20" x14ac:dyDescent="0.4">
      <c r="A29" s="54"/>
      <c r="B29" s="33"/>
      <c r="C29" s="45"/>
      <c r="D29" s="45"/>
      <c r="E29" s="36"/>
      <c r="F29" s="43"/>
      <c r="G29" s="33"/>
      <c r="H29" s="34"/>
      <c r="I29" s="45"/>
      <c r="J29" s="36"/>
      <c r="K29" s="34"/>
      <c r="L29" s="45"/>
      <c r="M29" s="36"/>
      <c r="N29" s="34"/>
      <c r="O29" s="45"/>
      <c r="P29" s="9"/>
      <c r="Q29" s="29"/>
      <c r="R29" s="2"/>
      <c r="S29" s="2"/>
      <c r="T29" s="2"/>
    </row>
    <row r="30" spans="1:20" x14ac:dyDescent="0.4">
      <c r="A30" s="54"/>
      <c r="B30" s="33"/>
      <c r="C30" s="45"/>
      <c r="D30" s="45"/>
      <c r="E30" s="36"/>
      <c r="F30" s="43"/>
      <c r="G30" s="33"/>
      <c r="H30" s="34"/>
      <c r="I30" s="45"/>
      <c r="J30" s="36"/>
      <c r="K30" s="34"/>
      <c r="L30" s="45"/>
      <c r="M30" s="36"/>
      <c r="N30" s="34"/>
      <c r="O30" s="45"/>
      <c r="P30" s="9"/>
      <c r="Q30" s="29"/>
      <c r="R30" s="2"/>
      <c r="S30" s="2"/>
      <c r="T30" s="2"/>
    </row>
    <row r="31" spans="1:20" x14ac:dyDescent="0.4">
      <c r="A31" s="54"/>
      <c r="B31" s="33"/>
      <c r="C31" s="45"/>
      <c r="D31" s="45"/>
      <c r="E31" s="36"/>
      <c r="F31" s="43"/>
      <c r="G31" s="33"/>
      <c r="H31" s="34"/>
      <c r="I31" s="45"/>
      <c r="J31" s="36"/>
      <c r="K31" s="34"/>
      <c r="L31" s="45"/>
      <c r="M31" s="36"/>
      <c r="N31" s="34"/>
      <c r="O31" s="45"/>
      <c r="P31" s="9"/>
      <c r="Q31" s="29"/>
      <c r="R31" s="2"/>
      <c r="S31" s="2"/>
      <c r="T31" s="2"/>
    </row>
    <row r="32" spans="1:20" x14ac:dyDescent="0.4">
      <c r="A32" s="54"/>
      <c r="B32" s="33"/>
      <c r="C32" s="45"/>
      <c r="D32" s="45"/>
      <c r="E32" s="36"/>
      <c r="F32" s="43"/>
      <c r="G32" s="33"/>
      <c r="H32" s="34"/>
      <c r="I32" s="45"/>
      <c r="J32" s="36"/>
      <c r="K32" s="34"/>
      <c r="L32" s="45"/>
      <c r="M32" s="36"/>
      <c r="N32" s="34"/>
      <c r="O32" s="45"/>
      <c r="P32" s="9"/>
      <c r="Q32" s="29"/>
      <c r="R32" s="2"/>
      <c r="S32" s="2"/>
      <c r="T32" s="2"/>
    </row>
    <row r="33" spans="1:20" x14ac:dyDescent="0.4">
      <c r="A33" s="54"/>
      <c r="B33" s="33"/>
      <c r="C33" s="45"/>
      <c r="D33" s="45"/>
      <c r="E33" s="36"/>
      <c r="F33" s="43"/>
      <c r="G33" s="33"/>
      <c r="H33" s="34"/>
      <c r="I33" s="45"/>
      <c r="J33" s="36"/>
      <c r="K33" s="34"/>
      <c r="L33" s="45"/>
      <c r="M33" s="36"/>
      <c r="N33" s="34"/>
      <c r="O33" s="45"/>
      <c r="P33" s="9"/>
      <c r="Q33" s="29"/>
      <c r="R33" s="2"/>
      <c r="S33" s="2"/>
      <c r="T33" s="2"/>
    </row>
    <row r="34" spans="1:20" x14ac:dyDescent="0.4">
      <c r="A34" s="54"/>
      <c r="B34" s="33"/>
      <c r="C34" s="45"/>
      <c r="D34" s="45"/>
      <c r="E34" s="36"/>
      <c r="F34" s="43"/>
      <c r="G34" s="33"/>
      <c r="H34" s="34"/>
      <c r="I34" s="45"/>
      <c r="J34" s="36"/>
      <c r="K34" s="34"/>
      <c r="L34" s="45"/>
      <c r="M34" s="36"/>
      <c r="N34" s="34"/>
      <c r="O34" s="45"/>
      <c r="P34" s="9"/>
      <c r="Q34" s="29"/>
      <c r="R34" s="2"/>
      <c r="S34" s="2"/>
      <c r="T34" s="2"/>
    </row>
    <row r="35" spans="1:20" x14ac:dyDescent="0.4">
      <c r="A35" s="54"/>
      <c r="B35" s="33"/>
      <c r="C35" s="45"/>
      <c r="D35" s="45"/>
      <c r="E35" s="36"/>
      <c r="F35" s="43"/>
      <c r="G35" s="33"/>
      <c r="H35" s="34"/>
      <c r="I35" s="45"/>
      <c r="J35" s="36"/>
      <c r="K35" s="34"/>
      <c r="L35" s="45"/>
      <c r="M35" s="36"/>
      <c r="N35" s="34"/>
      <c r="O35" s="45"/>
      <c r="P35" s="9"/>
      <c r="Q35" s="29"/>
      <c r="R35" s="2"/>
      <c r="S35" s="2"/>
      <c r="T35" s="2"/>
    </row>
    <row r="36" spans="1:20" x14ac:dyDescent="0.4">
      <c r="A36" s="54"/>
      <c r="B36" s="33"/>
      <c r="C36" s="45"/>
      <c r="D36" s="45"/>
      <c r="E36" s="36"/>
      <c r="F36" s="43"/>
      <c r="G36" s="33"/>
      <c r="H36" s="34"/>
      <c r="I36" s="45"/>
      <c r="J36" s="36"/>
      <c r="K36" s="34"/>
      <c r="L36" s="45"/>
      <c r="M36" s="36"/>
      <c r="N36" s="34"/>
      <c r="O36" s="45"/>
      <c r="P36" s="9"/>
      <c r="Q36" s="29"/>
      <c r="R36" s="2"/>
      <c r="S36" s="2"/>
      <c r="T36" s="2"/>
    </row>
    <row r="37" spans="1:20" x14ac:dyDescent="0.4">
      <c r="A37" s="54"/>
      <c r="B37" s="33"/>
      <c r="C37" s="45"/>
      <c r="D37" s="45"/>
      <c r="E37" s="36"/>
      <c r="F37" s="43"/>
      <c r="G37" s="33"/>
      <c r="H37" s="34"/>
      <c r="I37" s="45"/>
      <c r="J37" s="36"/>
      <c r="K37" s="34"/>
      <c r="L37" s="45"/>
      <c r="M37" s="36"/>
      <c r="N37" s="34"/>
      <c r="O37" s="45"/>
      <c r="P37" s="9"/>
      <c r="Q37" s="29"/>
      <c r="R37" s="2"/>
      <c r="S37" s="2"/>
      <c r="T37" s="2"/>
    </row>
    <row r="38" spans="1:20" x14ac:dyDescent="0.4">
      <c r="A38" s="54"/>
      <c r="B38" s="33"/>
      <c r="C38" s="45"/>
      <c r="D38" s="45"/>
      <c r="E38" s="36"/>
      <c r="F38" s="43"/>
      <c r="G38" s="33"/>
      <c r="H38" s="34"/>
      <c r="I38" s="45"/>
      <c r="J38" s="36"/>
      <c r="K38" s="34"/>
      <c r="L38" s="45"/>
      <c r="M38" s="36"/>
      <c r="N38" s="34"/>
      <c r="O38" s="45"/>
      <c r="P38" s="9"/>
      <c r="Q38" s="29"/>
      <c r="R38" s="2"/>
      <c r="S38" s="2"/>
      <c r="T38" s="2"/>
    </row>
    <row r="39" spans="1:20" x14ac:dyDescent="0.4">
      <c r="A39" s="54"/>
      <c r="B39" s="33"/>
      <c r="C39" s="45"/>
      <c r="D39" s="45"/>
      <c r="E39" s="36"/>
      <c r="F39" s="43"/>
      <c r="G39" s="33"/>
      <c r="H39" s="34"/>
      <c r="I39" s="45"/>
      <c r="J39" s="36"/>
      <c r="K39" s="34"/>
      <c r="L39" s="45"/>
      <c r="M39" s="36"/>
      <c r="N39" s="34"/>
      <c r="O39" s="45"/>
      <c r="P39" s="9"/>
      <c r="Q39" s="29"/>
      <c r="R39" s="2"/>
      <c r="S39" s="2"/>
      <c r="T39" s="2"/>
    </row>
    <row r="40" spans="1:20" x14ac:dyDescent="0.4">
      <c r="A40" s="54"/>
      <c r="B40" s="33"/>
      <c r="C40" s="45"/>
      <c r="D40" s="45"/>
      <c r="E40" s="36"/>
      <c r="F40" s="43"/>
      <c r="G40" s="33"/>
      <c r="H40" s="34"/>
      <c r="I40" s="45"/>
      <c r="J40" s="36"/>
      <c r="K40" s="34"/>
      <c r="L40" s="45"/>
      <c r="M40" s="36"/>
      <c r="N40" s="34"/>
      <c r="O40" s="45"/>
      <c r="P40" s="9"/>
      <c r="Q40" s="29"/>
      <c r="R40" s="2"/>
      <c r="S40" s="2"/>
      <c r="T40" s="2"/>
    </row>
    <row r="41" spans="1:20" x14ac:dyDescent="0.4">
      <c r="A41" s="54"/>
      <c r="B41" s="33"/>
      <c r="C41" s="45"/>
      <c r="D41" s="45"/>
      <c r="E41" s="36"/>
      <c r="F41" s="43"/>
      <c r="G41" s="33"/>
      <c r="H41" s="34"/>
      <c r="I41" s="45"/>
      <c r="J41" s="36"/>
      <c r="K41" s="34"/>
      <c r="L41" s="45"/>
      <c r="M41" s="36"/>
      <c r="N41" s="34"/>
      <c r="O41" s="45"/>
      <c r="P41" s="9"/>
      <c r="Q41" s="29"/>
      <c r="R41" s="2"/>
      <c r="S41" s="2"/>
      <c r="T41" s="2"/>
    </row>
    <row r="42" spans="1:20" x14ac:dyDescent="0.4">
      <c r="A42" s="54"/>
      <c r="B42" s="33"/>
      <c r="C42" s="45"/>
      <c r="D42" s="45"/>
      <c r="E42" s="36"/>
      <c r="F42" s="43"/>
      <c r="G42" s="33"/>
      <c r="H42" s="34"/>
      <c r="I42" s="45"/>
      <c r="J42" s="36"/>
      <c r="K42" s="34"/>
      <c r="L42" s="45"/>
      <c r="M42" s="36"/>
      <c r="N42" s="34"/>
      <c r="O42" s="45"/>
      <c r="P42" s="9"/>
      <c r="Q42" s="29"/>
      <c r="R42" s="2"/>
      <c r="S42" s="2"/>
      <c r="T42" s="2"/>
    </row>
    <row r="43" spans="1:20" x14ac:dyDescent="0.4">
      <c r="A43" s="54"/>
      <c r="B43" s="33"/>
      <c r="C43" s="45"/>
      <c r="D43" s="45"/>
      <c r="E43" s="36"/>
      <c r="F43" s="43"/>
      <c r="G43" s="33"/>
      <c r="H43" s="34"/>
      <c r="I43" s="45"/>
      <c r="J43" s="36"/>
      <c r="K43" s="34"/>
      <c r="L43" s="45"/>
      <c r="M43" s="36"/>
      <c r="N43" s="34"/>
      <c r="O43" s="45"/>
      <c r="P43" s="9"/>
      <c r="Q43" s="29"/>
      <c r="R43" s="2"/>
      <c r="S43" s="2"/>
      <c r="T43" s="2"/>
    </row>
    <row r="44" spans="1:20" x14ac:dyDescent="0.4">
      <c r="A44" s="54"/>
      <c r="B44" s="33"/>
      <c r="C44" s="45"/>
      <c r="D44" s="45"/>
      <c r="E44" s="36"/>
      <c r="F44" s="43"/>
      <c r="G44" s="33"/>
      <c r="H44" s="34"/>
      <c r="I44" s="45"/>
      <c r="J44" s="36"/>
      <c r="K44" s="34"/>
      <c r="L44" s="45"/>
      <c r="M44" s="36"/>
      <c r="N44" s="34"/>
      <c r="O44" s="45"/>
      <c r="P44" s="9"/>
      <c r="Q44" s="29"/>
      <c r="R44" s="2"/>
      <c r="S44" s="2"/>
      <c r="T44" s="2"/>
    </row>
    <row r="45" spans="1:20" x14ac:dyDescent="0.4">
      <c r="A45" s="108"/>
      <c r="B45" s="33"/>
      <c r="C45" s="45"/>
      <c r="D45" s="45"/>
      <c r="E45" s="36"/>
      <c r="F45" s="43"/>
      <c r="G45" s="33"/>
      <c r="H45" s="1"/>
      <c r="I45" s="5"/>
      <c r="J45" s="17"/>
      <c r="K45" s="39"/>
      <c r="L45" s="5"/>
      <c r="M45" s="17"/>
      <c r="N45" s="1"/>
      <c r="O45" s="2"/>
      <c r="P45" s="5"/>
      <c r="Q45" s="11"/>
      <c r="R45" s="2"/>
      <c r="S45" s="2"/>
      <c r="T45" s="2"/>
    </row>
    <row r="46" spans="1:20" x14ac:dyDescent="0.4">
      <c r="A46" s="108"/>
      <c r="B46" s="33"/>
      <c r="C46" s="45"/>
      <c r="D46" s="45"/>
      <c r="E46" s="36"/>
      <c r="F46" s="43"/>
      <c r="G46" s="33"/>
      <c r="H46" s="1"/>
      <c r="I46" s="5"/>
      <c r="J46" s="17"/>
      <c r="K46" s="39"/>
      <c r="L46" s="5"/>
      <c r="M46" s="17"/>
      <c r="N46" s="1"/>
      <c r="O46" s="2"/>
      <c r="P46" s="5"/>
      <c r="Q46" s="11"/>
      <c r="R46" s="2"/>
      <c r="S46" s="2"/>
      <c r="T46" s="2"/>
    </row>
    <row r="47" spans="1:20" x14ac:dyDescent="0.4">
      <c r="A47" s="108"/>
      <c r="B47" s="33"/>
      <c r="C47" s="45"/>
      <c r="D47" s="45"/>
      <c r="E47" s="36"/>
      <c r="F47" s="43"/>
      <c r="G47" s="33"/>
      <c r="H47" s="1"/>
      <c r="I47" s="5"/>
      <c r="J47" s="17"/>
      <c r="K47" s="39"/>
      <c r="L47" s="5"/>
      <c r="M47" s="17"/>
      <c r="N47" s="1"/>
      <c r="O47" s="2"/>
      <c r="P47" s="5"/>
      <c r="Q47" s="11"/>
      <c r="R47" s="2"/>
      <c r="S47" s="2"/>
      <c r="T47" s="2"/>
    </row>
    <row r="48" spans="1:20" x14ac:dyDescent="0.4">
      <c r="A48" s="108"/>
      <c r="B48" s="33"/>
      <c r="C48" s="45"/>
      <c r="D48" s="45"/>
      <c r="E48" s="36"/>
      <c r="F48" s="43"/>
      <c r="G48" s="33"/>
      <c r="H48" s="1"/>
      <c r="I48" s="5"/>
      <c r="J48" s="17"/>
      <c r="K48" s="39"/>
      <c r="L48" s="5"/>
      <c r="M48" s="17"/>
      <c r="N48" s="1"/>
      <c r="O48" s="2"/>
      <c r="P48" s="5"/>
      <c r="Q48" s="11"/>
      <c r="R48" s="2"/>
      <c r="S48" s="2"/>
      <c r="T48" s="2"/>
    </row>
    <row r="49" spans="1:20" x14ac:dyDescent="0.4">
      <c r="A49" s="108"/>
      <c r="B49" s="33"/>
      <c r="C49" s="45"/>
      <c r="D49" s="45"/>
      <c r="E49" s="36"/>
      <c r="F49" s="43"/>
      <c r="G49" s="33"/>
      <c r="H49" s="1"/>
      <c r="I49" s="5"/>
      <c r="J49" s="17"/>
      <c r="K49" s="39"/>
      <c r="L49" s="5"/>
      <c r="M49" s="17"/>
      <c r="N49" s="1"/>
      <c r="O49" s="2"/>
      <c r="P49" s="5"/>
      <c r="Q49" s="11"/>
      <c r="R49" s="2"/>
      <c r="S49" s="2"/>
      <c r="T49" s="2"/>
    </row>
    <row r="50" spans="1:20" x14ac:dyDescent="0.4">
      <c r="A50" s="108"/>
      <c r="B50" s="33"/>
      <c r="C50" s="45"/>
      <c r="D50" s="45"/>
      <c r="E50" s="36"/>
      <c r="F50" s="43"/>
      <c r="G50" s="33"/>
      <c r="H50" s="1"/>
      <c r="I50" s="5"/>
      <c r="J50" s="17"/>
      <c r="K50" s="39"/>
      <c r="L50" s="5"/>
      <c r="M50" s="17"/>
      <c r="N50" s="1"/>
      <c r="O50" s="2"/>
      <c r="P50" s="5"/>
      <c r="Q50" s="11"/>
      <c r="R50" s="2"/>
      <c r="S50" s="2"/>
      <c r="T50" s="2"/>
    </row>
    <row r="51" spans="1:20" x14ac:dyDescent="0.4">
      <c r="A51" s="108"/>
      <c r="B51" s="33"/>
      <c r="C51" s="45"/>
      <c r="D51" s="45"/>
      <c r="E51" s="36"/>
      <c r="F51" s="43"/>
      <c r="G51" s="33"/>
      <c r="H51" s="1"/>
      <c r="I51" s="5"/>
      <c r="J51" s="17"/>
      <c r="K51" s="39"/>
      <c r="L51" s="5"/>
      <c r="M51" s="17"/>
      <c r="N51" s="1"/>
      <c r="O51" s="2"/>
      <c r="P51" s="5"/>
      <c r="Q51" s="11"/>
      <c r="R51" s="2"/>
      <c r="S51" s="2"/>
      <c r="T51" s="2"/>
    </row>
    <row r="52" spans="1:20" x14ac:dyDescent="0.4">
      <c r="A52" s="108"/>
      <c r="B52" s="33"/>
      <c r="C52" s="45"/>
      <c r="D52" s="45"/>
      <c r="E52" s="36"/>
      <c r="F52" s="43"/>
      <c r="G52" s="33"/>
      <c r="H52" s="1"/>
      <c r="I52" s="5"/>
      <c r="J52" s="17"/>
      <c r="K52" s="39"/>
      <c r="L52" s="5"/>
      <c r="M52" s="17"/>
      <c r="N52" s="1"/>
      <c r="O52" s="2"/>
      <c r="P52" s="5"/>
      <c r="Q52" s="11"/>
      <c r="R52" s="2"/>
      <c r="S52" s="2"/>
      <c r="T52" s="2"/>
    </row>
    <row r="53" spans="1:20" x14ac:dyDescent="0.4">
      <c r="A53" s="108"/>
      <c r="B53" s="33"/>
      <c r="C53" s="45"/>
      <c r="D53" s="45"/>
      <c r="E53" s="36"/>
      <c r="F53" s="43"/>
      <c r="G53" s="33"/>
      <c r="H53" s="1"/>
      <c r="I53" s="5"/>
      <c r="J53" s="17"/>
      <c r="K53" s="39"/>
      <c r="L53" s="5"/>
      <c r="M53" s="17"/>
      <c r="N53" s="1"/>
      <c r="O53" s="2"/>
      <c r="P53" s="5"/>
      <c r="Q53" s="11"/>
      <c r="R53" s="2"/>
      <c r="S53" s="2"/>
      <c r="T53" s="2"/>
    </row>
    <row r="54" spans="1:20" x14ac:dyDescent="0.4">
      <c r="A54" s="108"/>
      <c r="B54" s="33"/>
      <c r="C54" s="45"/>
      <c r="D54" s="45"/>
      <c r="E54" s="36"/>
      <c r="F54" s="43"/>
      <c r="G54" s="33"/>
      <c r="H54" s="1"/>
      <c r="I54" s="5"/>
      <c r="J54" s="17"/>
      <c r="K54" s="39"/>
      <c r="L54" s="5"/>
      <c r="M54" s="17"/>
      <c r="N54" s="1"/>
      <c r="O54" s="2"/>
      <c r="P54" s="5"/>
      <c r="Q54" s="11"/>
      <c r="R54" s="2"/>
      <c r="S54" s="2"/>
      <c r="T54" s="2"/>
    </row>
    <row r="55" spans="1:20" x14ac:dyDescent="0.4">
      <c r="A55" s="108"/>
      <c r="B55" s="33"/>
      <c r="C55" s="45"/>
      <c r="D55" s="45"/>
      <c r="E55" s="36"/>
      <c r="F55" s="43"/>
      <c r="G55" s="33"/>
      <c r="H55" s="1"/>
      <c r="I55" s="5"/>
      <c r="J55" s="17"/>
      <c r="K55" s="39"/>
      <c r="L55" s="5"/>
      <c r="M55" s="17"/>
      <c r="N55" s="1"/>
      <c r="O55" s="2"/>
      <c r="P55" s="5"/>
      <c r="Q55" s="11"/>
      <c r="R55" s="2"/>
      <c r="S55" s="2"/>
      <c r="T55" s="2"/>
    </row>
    <row r="56" spans="1:20" x14ac:dyDescent="0.4">
      <c r="A56" s="108"/>
      <c r="B56" s="33"/>
      <c r="C56" s="45"/>
      <c r="D56" s="45"/>
      <c r="E56" s="36"/>
      <c r="F56" s="43"/>
      <c r="G56" s="33"/>
      <c r="H56" s="1"/>
      <c r="I56" s="5"/>
      <c r="J56" s="17"/>
      <c r="K56" s="39"/>
      <c r="L56" s="5"/>
      <c r="M56" s="17"/>
      <c r="N56" s="1"/>
      <c r="O56" s="2"/>
      <c r="P56" s="5"/>
      <c r="Q56" s="11"/>
      <c r="R56" s="2"/>
      <c r="S56" s="2"/>
      <c r="T56" s="2"/>
    </row>
    <row r="57" spans="1:20" x14ac:dyDescent="0.4">
      <c r="A57" s="53"/>
      <c r="B57" s="33"/>
      <c r="C57" s="35"/>
      <c r="D57" s="45"/>
      <c r="E57" s="36"/>
      <c r="F57" s="43"/>
      <c r="G57" s="33"/>
    </row>
    <row r="58" spans="1:20" x14ac:dyDescent="0.4">
      <c r="A58" s="53"/>
      <c r="B58" s="33"/>
      <c r="C58" s="35"/>
      <c r="D58" s="45"/>
      <c r="E58" s="36"/>
      <c r="F58" s="43"/>
      <c r="G58" s="33"/>
      <c r="H58" s="40"/>
    </row>
    <row r="59" spans="1:20" x14ac:dyDescent="0.4">
      <c r="A59" s="53"/>
      <c r="B59" s="44"/>
      <c r="C59" s="13"/>
      <c r="D59" s="13"/>
      <c r="E59" s="42"/>
      <c r="F59" s="46"/>
    </row>
    <row r="60" spans="1:20" x14ac:dyDescent="0.4">
      <c r="A60" s="53"/>
      <c r="B60" s="44"/>
      <c r="C60" s="13"/>
      <c r="D60" s="13"/>
      <c r="E60" s="42"/>
      <c r="F60" s="43"/>
    </row>
    <row r="61" spans="1:20" x14ac:dyDescent="0.4">
      <c r="A61" s="53"/>
      <c r="B61" s="44"/>
      <c r="C61" s="13"/>
      <c r="D61" s="13"/>
      <c r="E61" s="42"/>
      <c r="F61" s="43"/>
    </row>
    <row r="62" spans="1:20" x14ac:dyDescent="0.4">
      <c r="A62" s="53"/>
      <c r="B62" s="44"/>
      <c r="C62" s="13"/>
      <c r="D62" s="13"/>
      <c r="E62" s="42"/>
      <c r="F62" s="43"/>
    </row>
    <row r="63" spans="1:20" x14ac:dyDescent="0.4">
      <c r="A63" s="53"/>
      <c r="B63" s="44"/>
      <c r="C63" s="13"/>
      <c r="D63" s="13"/>
      <c r="E63" s="42"/>
      <c r="F63" s="43"/>
    </row>
    <row r="64" spans="1:20" x14ac:dyDescent="0.4">
      <c r="A64" s="53"/>
      <c r="B64" s="44"/>
      <c r="C64" s="13"/>
      <c r="D64" s="13"/>
      <c r="E64" s="42"/>
      <c r="F64" s="43"/>
    </row>
    <row r="65" spans="6:6" x14ac:dyDescent="0.4">
      <c r="F65" s="30"/>
    </row>
    <row r="66" spans="6:6" x14ac:dyDescent="0.4">
      <c r="F66" s="30"/>
    </row>
    <row r="67" spans="6:6" x14ac:dyDescent="0.4">
      <c r="F67" s="30"/>
    </row>
    <row r="68" spans="6:6" x14ac:dyDescent="0.4">
      <c r="F68" s="30"/>
    </row>
    <row r="69" spans="6:6" x14ac:dyDescent="0.4">
      <c r="F69" s="30"/>
    </row>
    <row r="70" spans="6:6" x14ac:dyDescent="0.4">
      <c r="F70" s="30"/>
    </row>
    <row r="71" spans="6:6" x14ac:dyDescent="0.4">
      <c r="F71" s="30"/>
    </row>
    <row r="72" spans="6:6" x14ac:dyDescent="0.4">
      <c r="F72" s="30"/>
    </row>
    <row r="73" spans="6:6" x14ac:dyDescent="0.4">
      <c r="F73" s="30"/>
    </row>
    <row r="74" spans="6:6" x14ac:dyDescent="0.4">
      <c r="F74" s="30"/>
    </row>
    <row r="75" spans="6:6" x14ac:dyDescent="0.4">
      <c r="F75" s="30"/>
    </row>
    <row r="76" spans="6:6" x14ac:dyDescent="0.4">
      <c r="F76" s="30"/>
    </row>
    <row r="77" spans="6:6" x14ac:dyDescent="0.4">
      <c r="F77" s="30"/>
    </row>
    <row r="78" spans="6:6" x14ac:dyDescent="0.4">
      <c r="F78" s="30"/>
    </row>
    <row r="79" spans="6:6" x14ac:dyDescent="0.4">
      <c r="F79" s="30"/>
    </row>
    <row r="80" spans="6:6" x14ac:dyDescent="0.4">
      <c r="F80" s="30"/>
    </row>
    <row r="81" spans="6:6" x14ac:dyDescent="0.4">
      <c r="F81" s="30"/>
    </row>
    <row r="82" spans="6:6" x14ac:dyDescent="0.4">
      <c r="F82" s="30"/>
    </row>
    <row r="83" spans="6:6" x14ac:dyDescent="0.4">
      <c r="F83" s="30"/>
    </row>
    <row r="84" spans="6:6" x14ac:dyDescent="0.4">
      <c r="F84" s="30"/>
    </row>
    <row r="85" spans="6:6" x14ac:dyDescent="0.4">
      <c r="F85" s="30"/>
    </row>
    <row r="86" spans="6:6" x14ac:dyDescent="0.4">
      <c r="F86" s="30"/>
    </row>
    <row r="87" spans="6:6" x14ac:dyDescent="0.4">
      <c r="F87" s="30"/>
    </row>
    <row r="88" spans="6:6" x14ac:dyDescent="0.4">
      <c r="F88" s="30"/>
    </row>
    <row r="89" spans="6:6" x14ac:dyDescent="0.4">
      <c r="F89" s="30"/>
    </row>
    <row r="90" spans="6:6" x14ac:dyDescent="0.4">
      <c r="F90" s="30"/>
    </row>
    <row r="91" spans="6:6" x14ac:dyDescent="0.4">
      <c r="F91" s="30"/>
    </row>
    <row r="92" spans="6:6" x14ac:dyDescent="0.4">
      <c r="F92" s="30"/>
    </row>
    <row r="93" spans="6:6" x14ac:dyDescent="0.4">
      <c r="F93" s="30"/>
    </row>
    <row r="94" spans="6:6" x14ac:dyDescent="0.4">
      <c r="F94" s="30"/>
    </row>
    <row r="95" spans="6:6" x14ac:dyDescent="0.4">
      <c r="F95" s="30"/>
    </row>
    <row r="96" spans="6:6" x14ac:dyDescent="0.4">
      <c r="F96" s="30"/>
    </row>
    <row r="97" spans="6:6" x14ac:dyDescent="0.4">
      <c r="F97" s="30"/>
    </row>
    <row r="98" spans="6:6" x14ac:dyDescent="0.4">
      <c r="F98" s="30"/>
    </row>
    <row r="99" spans="6:6" x14ac:dyDescent="0.4">
      <c r="F99" s="30"/>
    </row>
    <row r="100" spans="6:6" x14ac:dyDescent="0.4">
      <c r="F100" s="30"/>
    </row>
    <row r="101" spans="6:6" x14ac:dyDescent="0.4">
      <c r="F101" s="30"/>
    </row>
    <row r="102" spans="6:6" x14ac:dyDescent="0.4">
      <c r="F102" s="30"/>
    </row>
    <row r="103" spans="6:6" x14ac:dyDescent="0.4">
      <c r="F103" s="30"/>
    </row>
    <row r="104" spans="6:6" x14ac:dyDescent="0.4">
      <c r="F104" s="30"/>
    </row>
    <row r="105" spans="6:6" x14ac:dyDescent="0.4">
      <c r="F105" s="30"/>
    </row>
    <row r="106" spans="6:6" x14ac:dyDescent="0.4">
      <c r="F106" s="30"/>
    </row>
    <row r="107" spans="6:6" x14ac:dyDescent="0.4">
      <c r="F107" s="30"/>
    </row>
    <row r="108" spans="6:6" x14ac:dyDescent="0.4">
      <c r="F108" s="30"/>
    </row>
    <row r="109" spans="6:6" x14ac:dyDescent="0.4">
      <c r="F109" s="30"/>
    </row>
    <row r="110" spans="6:6" x14ac:dyDescent="0.4">
      <c r="F110" s="30"/>
    </row>
    <row r="111" spans="6:6" x14ac:dyDescent="0.4">
      <c r="F111" s="30"/>
    </row>
    <row r="112" spans="6:6" x14ac:dyDescent="0.4">
      <c r="F112" s="30"/>
    </row>
    <row r="113" spans="6:6" x14ac:dyDescent="0.4">
      <c r="F113" s="30"/>
    </row>
    <row r="114" spans="6:6" x14ac:dyDescent="0.4">
      <c r="F114" s="30"/>
    </row>
    <row r="115" spans="6:6" x14ac:dyDescent="0.4">
      <c r="F115" s="30"/>
    </row>
    <row r="116" spans="6:6" x14ac:dyDescent="0.4">
      <c r="F116" s="30"/>
    </row>
    <row r="117" spans="6:6" x14ac:dyDescent="0.4">
      <c r="F117" s="30"/>
    </row>
    <row r="118" spans="6:6" x14ac:dyDescent="0.4">
      <c r="F118" s="30"/>
    </row>
    <row r="119" spans="6:6" x14ac:dyDescent="0.4">
      <c r="F119" s="30"/>
    </row>
    <row r="120" spans="6:6" x14ac:dyDescent="0.4">
      <c r="F120" s="30"/>
    </row>
    <row r="121" spans="6:6" x14ac:dyDescent="0.4">
      <c r="F121" s="30"/>
    </row>
    <row r="122" spans="6:6" x14ac:dyDescent="0.4">
      <c r="F122" s="30"/>
    </row>
    <row r="123" spans="6:6" x14ac:dyDescent="0.4">
      <c r="F123" s="30"/>
    </row>
    <row r="124" spans="6:6" x14ac:dyDescent="0.4">
      <c r="F124" s="30"/>
    </row>
    <row r="125" spans="6:6" x14ac:dyDescent="0.4">
      <c r="F125" s="30"/>
    </row>
    <row r="126" spans="6:6" x14ac:dyDescent="0.4">
      <c r="F126" s="30"/>
    </row>
    <row r="127" spans="6:6" x14ac:dyDescent="0.4">
      <c r="F127" s="30"/>
    </row>
    <row r="128" spans="6:6" x14ac:dyDescent="0.4">
      <c r="F128" s="30"/>
    </row>
    <row r="129" spans="6:6" x14ac:dyDescent="0.4">
      <c r="F129" s="30"/>
    </row>
    <row r="130" spans="6:6" x14ac:dyDescent="0.4">
      <c r="F130" s="30"/>
    </row>
    <row r="131" spans="6:6" x14ac:dyDescent="0.4">
      <c r="F131" s="30"/>
    </row>
    <row r="132" spans="6:6" x14ac:dyDescent="0.4">
      <c r="F132" s="30"/>
    </row>
    <row r="133" spans="6:6" x14ac:dyDescent="0.4">
      <c r="F133" s="30"/>
    </row>
    <row r="134" spans="6:6" x14ac:dyDescent="0.4">
      <c r="F134" s="30"/>
    </row>
    <row r="135" spans="6:6" x14ac:dyDescent="0.4">
      <c r="F135" s="30"/>
    </row>
    <row r="136" spans="6:6" x14ac:dyDescent="0.4">
      <c r="F136" s="30"/>
    </row>
    <row r="137" spans="6:6" x14ac:dyDescent="0.4">
      <c r="F137" s="30"/>
    </row>
    <row r="138" spans="6:6" x14ac:dyDescent="0.4">
      <c r="F138" s="30"/>
    </row>
    <row r="139" spans="6:6" x14ac:dyDescent="0.4">
      <c r="F139" s="30"/>
    </row>
    <row r="140" spans="6:6" x14ac:dyDescent="0.4">
      <c r="F140" s="30"/>
    </row>
    <row r="141" spans="6:6" x14ac:dyDescent="0.4">
      <c r="F141" s="30"/>
    </row>
    <row r="142" spans="6:6" x14ac:dyDescent="0.4">
      <c r="F142" s="30"/>
    </row>
    <row r="143" spans="6:6" x14ac:dyDescent="0.4">
      <c r="F143" s="30"/>
    </row>
    <row r="144" spans="6:6" x14ac:dyDescent="0.4">
      <c r="F144" s="30"/>
    </row>
    <row r="145" spans="6:6" x14ac:dyDescent="0.4">
      <c r="F145" s="30"/>
    </row>
    <row r="146" spans="6:6" x14ac:dyDescent="0.4">
      <c r="F146" s="30"/>
    </row>
    <row r="147" spans="6:6" x14ac:dyDescent="0.4">
      <c r="F147" s="30"/>
    </row>
    <row r="148" spans="6:6" x14ac:dyDescent="0.4">
      <c r="F148" s="30"/>
    </row>
    <row r="149" spans="6:6" x14ac:dyDescent="0.4">
      <c r="F149" s="30"/>
    </row>
    <row r="150" spans="6:6" x14ac:dyDescent="0.4">
      <c r="F150" s="30"/>
    </row>
    <row r="151" spans="6:6" x14ac:dyDescent="0.4">
      <c r="F151" s="30"/>
    </row>
    <row r="152" spans="6:6" x14ac:dyDescent="0.4">
      <c r="F152" s="30"/>
    </row>
    <row r="153" spans="6:6" x14ac:dyDescent="0.4">
      <c r="F153" s="30"/>
    </row>
    <row r="154" spans="6:6" x14ac:dyDescent="0.4">
      <c r="F154" s="30"/>
    </row>
    <row r="155" spans="6:6" x14ac:dyDescent="0.4">
      <c r="F155" s="30"/>
    </row>
    <row r="156" spans="6:6" x14ac:dyDescent="0.4">
      <c r="F156" s="30"/>
    </row>
    <row r="157" spans="6:6" x14ac:dyDescent="0.4">
      <c r="F157" s="30"/>
    </row>
    <row r="158" spans="6:6" x14ac:dyDescent="0.4">
      <c r="F158" s="30"/>
    </row>
    <row r="159" spans="6:6" x14ac:dyDescent="0.4">
      <c r="F159" s="30"/>
    </row>
    <row r="160" spans="6:6" x14ac:dyDescent="0.4">
      <c r="F160" s="30"/>
    </row>
    <row r="161" spans="6:6" x14ac:dyDescent="0.4">
      <c r="F161" s="30"/>
    </row>
    <row r="162" spans="6:6" x14ac:dyDescent="0.4">
      <c r="F162" s="30"/>
    </row>
    <row r="163" spans="6:6" x14ac:dyDescent="0.4">
      <c r="F163" s="30"/>
    </row>
    <row r="164" spans="6:6" x14ac:dyDescent="0.4">
      <c r="F164" s="30"/>
    </row>
    <row r="165" spans="6:6" x14ac:dyDescent="0.4">
      <c r="F165" s="30"/>
    </row>
    <row r="166" spans="6:6" x14ac:dyDescent="0.4">
      <c r="F166" s="30"/>
    </row>
    <row r="167" spans="6:6" x14ac:dyDescent="0.4">
      <c r="F167" s="30"/>
    </row>
    <row r="168" spans="6:6" x14ac:dyDescent="0.4">
      <c r="F168" s="30"/>
    </row>
    <row r="169" spans="6:6" x14ac:dyDescent="0.4">
      <c r="F169" s="30"/>
    </row>
    <row r="170" spans="6:6" x14ac:dyDescent="0.4">
      <c r="F170" s="30"/>
    </row>
    <row r="171" spans="6:6" x14ac:dyDescent="0.4">
      <c r="F171" s="30"/>
    </row>
  </sheetData>
  <sheetProtection selectLockedCells="1"/>
  <mergeCells count="4">
    <mergeCell ref="A23:D23"/>
    <mergeCell ref="C3:O3"/>
    <mergeCell ref="D2:O2"/>
    <mergeCell ref="D5:M5"/>
  </mergeCells>
  <conditionalFormatting sqref="H9">
    <cfRule type="cellIs" dxfId="413" priority="391" operator="equal">
      <formula>"CORRECT !"</formula>
    </cfRule>
  </conditionalFormatting>
  <conditionalFormatting sqref="H10">
    <cfRule type="cellIs" dxfId="412" priority="390" operator="equal">
      <formula>"CORRECT !"</formula>
    </cfRule>
  </conditionalFormatting>
  <conditionalFormatting sqref="H11">
    <cfRule type="cellIs" dxfId="411" priority="389" operator="equal">
      <formula>"CORRECT !"</formula>
    </cfRule>
  </conditionalFormatting>
  <conditionalFormatting sqref="H21">
    <cfRule type="cellIs" dxfId="410" priority="325" operator="equal">
      <formula>"CORRECT !"</formula>
    </cfRule>
  </conditionalFormatting>
  <conditionalFormatting sqref="K13">
    <cfRule type="cellIs" dxfId="409" priority="324" operator="equal">
      <formula>"CORRECT !"</formula>
    </cfRule>
  </conditionalFormatting>
  <conditionalFormatting sqref="E42">
    <cfRule type="cellIs" dxfId="408" priority="268" operator="equal">
      <formula>"CORRECT !"</formula>
    </cfRule>
  </conditionalFormatting>
  <conditionalFormatting sqref="E43">
    <cfRule type="cellIs" dxfId="407" priority="267" operator="equal">
      <formula>"CORRECT !"</formula>
    </cfRule>
  </conditionalFormatting>
  <conditionalFormatting sqref="E44">
    <cfRule type="cellIs" dxfId="406" priority="266" operator="equal">
      <formula>"CORRECT !"</formula>
    </cfRule>
  </conditionalFormatting>
  <conditionalFormatting sqref="E45">
    <cfRule type="cellIs" dxfId="405" priority="265" operator="equal">
      <formula>"CORRECT !"</formula>
    </cfRule>
  </conditionalFormatting>
  <conditionalFormatting sqref="E46">
    <cfRule type="cellIs" dxfId="404" priority="264" operator="equal">
      <formula>"CORRECT !"</formula>
    </cfRule>
  </conditionalFormatting>
  <conditionalFormatting sqref="E47">
    <cfRule type="cellIs" dxfId="403" priority="263" operator="equal">
      <formula>"CORRECT !"</formula>
    </cfRule>
  </conditionalFormatting>
  <conditionalFormatting sqref="E48">
    <cfRule type="cellIs" dxfId="402" priority="262" operator="equal">
      <formula>"CORRECT !"</formula>
    </cfRule>
  </conditionalFormatting>
  <conditionalFormatting sqref="E49">
    <cfRule type="cellIs" dxfId="401" priority="261" operator="equal">
      <formula>"CORRECT !"</formula>
    </cfRule>
  </conditionalFormatting>
  <conditionalFormatting sqref="E50">
    <cfRule type="cellIs" dxfId="400" priority="260" operator="equal">
      <formula>"CORRECT !"</formula>
    </cfRule>
  </conditionalFormatting>
  <conditionalFormatting sqref="E51">
    <cfRule type="cellIs" dxfId="399" priority="259" operator="equal">
      <formula>"CORRECT !"</formula>
    </cfRule>
  </conditionalFormatting>
  <conditionalFormatting sqref="E52">
    <cfRule type="cellIs" dxfId="398" priority="258" operator="equal">
      <formula>"CORRECT !"</formula>
    </cfRule>
  </conditionalFormatting>
  <conditionalFormatting sqref="E53">
    <cfRule type="cellIs" dxfId="397" priority="257" operator="equal">
      <formula>"CORRECT !"</formula>
    </cfRule>
  </conditionalFormatting>
  <conditionalFormatting sqref="E54">
    <cfRule type="cellIs" dxfId="396" priority="256" operator="equal">
      <formula>"CORRECT !"</formula>
    </cfRule>
  </conditionalFormatting>
  <conditionalFormatting sqref="E55">
    <cfRule type="cellIs" dxfId="395" priority="255" operator="equal">
      <formula>"CORRECT !"</formula>
    </cfRule>
  </conditionalFormatting>
  <conditionalFormatting sqref="E56">
    <cfRule type="cellIs" dxfId="394" priority="254" operator="equal">
      <formula>"CORRECT !"</formula>
    </cfRule>
  </conditionalFormatting>
  <conditionalFormatting sqref="E57">
    <cfRule type="cellIs" dxfId="393" priority="253" operator="equal">
      <formula>"CORRECT !"</formula>
    </cfRule>
  </conditionalFormatting>
  <conditionalFormatting sqref="E58">
    <cfRule type="cellIs" dxfId="392" priority="252" operator="equal">
      <formula>"CORRECT !"</formula>
    </cfRule>
  </conditionalFormatting>
  <conditionalFormatting sqref="N7">
    <cfRule type="cellIs" dxfId="391" priority="666" operator="equal">
      <formula>"CORRECT !"</formula>
    </cfRule>
  </conditionalFormatting>
  <conditionalFormatting sqref="N8">
    <cfRule type="cellIs" dxfId="390" priority="665" operator="equal">
      <formula>"CORRECT !"</formula>
    </cfRule>
  </conditionalFormatting>
  <conditionalFormatting sqref="N9">
    <cfRule type="cellIs" dxfId="389" priority="664" operator="equal">
      <formula>"CORRECT !"</formula>
    </cfRule>
  </conditionalFormatting>
  <conditionalFormatting sqref="N10">
    <cfRule type="cellIs" dxfId="388" priority="663" operator="equal">
      <formula>"CORRECT !"</formula>
    </cfRule>
  </conditionalFormatting>
  <conditionalFormatting sqref="N11">
    <cfRule type="cellIs" dxfId="387" priority="662" operator="equal">
      <formula>"CORRECT !"</formula>
    </cfRule>
  </conditionalFormatting>
  <conditionalFormatting sqref="N12">
    <cfRule type="cellIs" dxfId="386" priority="661" operator="equal">
      <formula>"CORRECT !"</formula>
    </cfRule>
  </conditionalFormatting>
  <conditionalFormatting sqref="N13">
    <cfRule type="cellIs" dxfId="385" priority="660" operator="equal">
      <formula>"CORRECT !"</formula>
    </cfRule>
  </conditionalFormatting>
  <conditionalFormatting sqref="N14">
    <cfRule type="cellIs" dxfId="384" priority="659" operator="equal">
      <formula>"CORRECT !"</formula>
    </cfRule>
  </conditionalFormatting>
  <conditionalFormatting sqref="N15">
    <cfRule type="cellIs" dxfId="383" priority="658" operator="equal">
      <formula>"CORRECT !"</formula>
    </cfRule>
  </conditionalFormatting>
  <conditionalFormatting sqref="N16">
    <cfRule type="cellIs" dxfId="382" priority="657" operator="equal">
      <formula>"CORRECT !"</formula>
    </cfRule>
  </conditionalFormatting>
  <conditionalFormatting sqref="N17">
    <cfRule type="cellIs" dxfId="381" priority="656" operator="equal">
      <formula>"CORRECT !"</formula>
    </cfRule>
  </conditionalFormatting>
  <conditionalFormatting sqref="N18">
    <cfRule type="cellIs" dxfId="380" priority="655" operator="equal">
      <formula>"CORRECT !"</formula>
    </cfRule>
  </conditionalFormatting>
  <conditionalFormatting sqref="N19">
    <cfRule type="cellIs" dxfId="379" priority="654" operator="equal">
      <formula>"CORRECT !"</formula>
    </cfRule>
  </conditionalFormatting>
  <conditionalFormatting sqref="N21">
    <cfRule type="cellIs" dxfId="378" priority="652" operator="equal">
      <formula>"CORRECT !"</formula>
    </cfRule>
  </conditionalFormatting>
  <conditionalFormatting sqref="H7">
    <cfRule type="cellIs" dxfId="377" priority="651" operator="equal">
      <formula>"CORRECT !"</formula>
    </cfRule>
  </conditionalFormatting>
  <conditionalFormatting sqref="P39">
    <cfRule type="cellIs" dxfId="376" priority="629" operator="equal">
      <formula>"CORRECT !"</formula>
    </cfRule>
  </conditionalFormatting>
  <conditionalFormatting sqref="P38">
    <cfRule type="cellIs" dxfId="375" priority="630" operator="equal">
      <formula>"CORRECT !"</formula>
    </cfRule>
  </conditionalFormatting>
  <conditionalFormatting sqref="P40">
    <cfRule type="cellIs" dxfId="374" priority="628" operator="equal">
      <formula>"CORRECT !"</formula>
    </cfRule>
  </conditionalFormatting>
  <conditionalFormatting sqref="P42">
    <cfRule type="cellIs" dxfId="373" priority="626" operator="equal">
      <formula>"CORRECT !"</formula>
    </cfRule>
  </conditionalFormatting>
  <conditionalFormatting sqref="P28">
    <cfRule type="cellIs" dxfId="372" priority="640" operator="equal">
      <formula>"CORRECT !"</formula>
    </cfRule>
  </conditionalFormatting>
  <conditionalFormatting sqref="P30">
    <cfRule type="cellIs" dxfId="371" priority="638" operator="equal">
      <formula>"CORRECT !"</formula>
    </cfRule>
  </conditionalFormatting>
  <conditionalFormatting sqref="P32">
    <cfRule type="cellIs" dxfId="370" priority="636" operator="equal">
      <formula>"CORRECT !"</formula>
    </cfRule>
  </conditionalFormatting>
  <conditionalFormatting sqref="P34">
    <cfRule type="cellIs" dxfId="369" priority="634" operator="equal">
      <formula>"CORRECT !"</formula>
    </cfRule>
  </conditionalFormatting>
  <conditionalFormatting sqref="P36">
    <cfRule type="cellIs" dxfId="368" priority="632" operator="equal">
      <formula>"CORRECT !"</formula>
    </cfRule>
  </conditionalFormatting>
  <conditionalFormatting sqref="P41">
    <cfRule type="cellIs" dxfId="367" priority="627" operator="equal">
      <formula>"CORRECT !"</formula>
    </cfRule>
  </conditionalFormatting>
  <conditionalFormatting sqref="P27">
    <cfRule type="cellIs" dxfId="366" priority="641" operator="equal">
      <formula>"CORRECT !"</formula>
    </cfRule>
  </conditionalFormatting>
  <conditionalFormatting sqref="P29">
    <cfRule type="cellIs" dxfId="365" priority="639" operator="equal">
      <formula>"CORRECT !"</formula>
    </cfRule>
  </conditionalFormatting>
  <conditionalFormatting sqref="P31">
    <cfRule type="cellIs" dxfId="364" priority="637" operator="equal">
      <formula>"CORRECT !"</formula>
    </cfRule>
  </conditionalFormatting>
  <conditionalFormatting sqref="P33">
    <cfRule type="cellIs" dxfId="363" priority="635" operator="equal">
      <formula>"CORRECT !"</formula>
    </cfRule>
  </conditionalFormatting>
  <conditionalFormatting sqref="P35">
    <cfRule type="cellIs" dxfId="362" priority="633" operator="equal">
      <formula>"CORRECT !"</formula>
    </cfRule>
  </conditionalFormatting>
  <conditionalFormatting sqref="P37">
    <cfRule type="cellIs" dxfId="361" priority="631" operator="equal">
      <formula>"CORRECT !"</formula>
    </cfRule>
  </conditionalFormatting>
  <conditionalFormatting sqref="K7">
    <cfRule type="cellIs" dxfId="360" priority="650" operator="equal">
      <formula>"CORRECT !"</formula>
    </cfRule>
  </conditionalFormatting>
  <conditionalFormatting sqref="J38">
    <cfRule type="cellIs" dxfId="359" priority="610" operator="equal">
      <formula>"CORRECT !"</formula>
    </cfRule>
  </conditionalFormatting>
  <conditionalFormatting sqref="J39">
    <cfRule type="cellIs" dxfId="358" priority="609" operator="equal">
      <formula>"CORRECT !"</formula>
    </cfRule>
  </conditionalFormatting>
  <conditionalFormatting sqref="J40">
    <cfRule type="cellIs" dxfId="357" priority="608" operator="equal">
      <formula>"CORRECT !"</formula>
    </cfRule>
  </conditionalFormatting>
  <conditionalFormatting sqref="J41">
    <cfRule type="cellIs" dxfId="356" priority="607" operator="equal">
      <formula>"CORRECT !"</formula>
    </cfRule>
  </conditionalFormatting>
  <conditionalFormatting sqref="J42">
    <cfRule type="cellIs" dxfId="355" priority="606" operator="equal">
      <formula>"CORRECT !"</formula>
    </cfRule>
  </conditionalFormatting>
  <conditionalFormatting sqref="J27">
    <cfRule type="cellIs" dxfId="354" priority="621" operator="equal">
      <formula>"CORRECT !"</formula>
    </cfRule>
  </conditionalFormatting>
  <conditionalFormatting sqref="J28">
    <cfRule type="cellIs" dxfId="353" priority="620" operator="equal">
      <formula>"CORRECT !"</formula>
    </cfRule>
  </conditionalFormatting>
  <conditionalFormatting sqref="J29">
    <cfRule type="cellIs" dxfId="352" priority="619" operator="equal">
      <formula>"CORRECT !"</formula>
    </cfRule>
  </conditionalFormatting>
  <conditionalFormatting sqref="J30">
    <cfRule type="cellIs" dxfId="351" priority="618" operator="equal">
      <formula>"CORRECT !"</formula>
    </cfRule>
  </conditionalFormatting>
  <conditionalFormatting sqref="J31">
    <cfRule type="cellIs" dxfId="350" priority="617" operator="equal">
      <formula>"CORRECT !"</formula>
    </cfRule>
  </conditionalFormatting>
  <conditionalFormatting sqref="J32">
    <cfRule type="cellIs" dxfId="349" priority="616" operator="equal">
      <formula>"CORRECT !"</formula>
    </cfRule>
  </conditionalFormatting>
  <conditionalFormatting sqref="J33">
    <cfRule type="cellIs" dxfId="348" priority="615" operator="equal">
      <formula>"CORRECT !"</formula>
    </cfRule>
  </conditionalFormatting>
  <conditionalFormatting sqref="J34">
    <cfRule type="cellIs" dxfId="347" priority="614" operator="equal">
      <formula>"CORRECT !"</formula>
    </cfRule>
  </conditionalFormatting>
  <conditionalFormatting sqref="J35">
    <cfRule type="cellIs" dxfId="346" priority="613" operator="equal">
      <formula>"CORRECT !"</formula>
    </cfRule>
  </conditionalFormatting>
  <conditionalFormatting sqref="J36">
    <cfRule type="cellIs" dxfId="345" priority="612" operator="equal">
      <formula>"CORRECT !"</formula>
    </cfRule>
  </conditionalFormatting>
  <conditionalFormatting sqref="J37">
    <cfRule type="cellIs" dxfId="344" priority="611" operator="equal">
      <formula>"CORRECT !"</formula>
    </cfRule>
  </conditionalFormatting>
  <conditionalFormatting sqref="Q34">
    <cfRule type="cellIs" dxfId="343" priority="574" operator="equal">
      <formula>"CORRECT !"</formula>
    </cfRule>
  </conditionalFormatting>
  <conditionalFormatting sqref="Q35">
    <cfRule type="cellIs" dxfId="342" priority="573" operator="equal">
      <formula>"CORRECT !"</formula>
    </cfRule>
  </conditionalFormatting>
  <conditionalFormatting sqref="H8">
    <cfRule type="cellIs" dxfId="341" priority="648" operator="equal">
      <formula>"CORRECT !"</formula>
    </cfRule>
  </conditionalFormatting>
  <conditionalFormatting sqref="K8">
    <cfRule type="cellIs" dxfId="340" priority="647" operator="equal">
      <formula>"CORRECT !"</formula>
    </cfRule>
  </conditionalFormatting>
  <conditionalFormatting sqref="H12">
    <cfRule type="cellIs" dxfId="339" priority="646" operator="equal">
      <formula>"CORRECT !"</formula>
    </cfRule>
  </conditionalFormatting>
  <conditionalFormatting sqref="K12">
    <cfRule type="cellIs" dxfId="338" priority="645" operator="equal">
      <formula>"CORRECT !"</formula>
    </cfRule>
  </conditionalFormatting>
  <conditionalFormatting sqref="P25">
    <cfRule type="cellIs" dxfId="337" priority="644" operator="equal">
      <formula>"CORRECT !"</formula>
    </cfRule>
  </conditionalFormatting>
  <conditionalFormatting sqref="E25">
    <cfRule type="cellIs" dxfId="336" priority="643" operator="equal">
      <formula>"CORRECT !"</formula>
    </cfRule>
  </conditionalFormatting>
  <conditionalFormatting sqref="P26">
    <cfRule type="cellIs" dxfId="335" priority="642" operator="equal">
      <formula>"CORRECT !"</formula>
    </cfRule>
  </conditionalFormatting>
  <conditionalFormatting sqref="P43">
    <cfRule type="cellIs" dxfId="334" priority="625" operator="equal">
      <formula>"CORRECT !"</formula>
    </cfRule>
  </conditionalFormatting>
  <conditionalFormatting sqref="P44">
    <cfRule type="cellIs" dxfId="333" priority="624" operator="equal">
      <formula>"CORRECT !"</formula>
    </cfRule>
  </conditionalFormatting>
  <conditionalFormatting sqref="J25">
    <cfRule type="cellIs" dxfId="332" priority="623" operator="equal">
      <formula>"CORRECT !"</formula>
    </cfRule>
  </conditionalFormatting>
  <conditionalFormatting sqref="J26">
    <cfRule type="cellIs" dxfId="331" priority="622" operator="equal">
      <formula>"CORRECT !"</formula>
    </cfRule>
  </conditionalFormatting>
  <conditionalFormatting sqref="J44">
    <cfRule type="cellIs" dxfId="330" priority="604" operator="equal">
      <formula>"CORRECT !"</formula>
    </cfRule>
  </conditionalFormatting>
  <conditionalFormatting sqref="J43">
    <cfRule type="cellIs" dxfId="329" priority="605" operator="equal">
      <formula>"CORRECT !"</formula>
    </cfRule>
  </conditionalFormatting>
  <conditionalFormatting sqref="M25">
    <cfRule type="cellIs" dxfId="328" priority="603" operator="equal">
      <formula>"CORRECT !"</formula>
    </cfRule>
  </conditionalFormatting>
  <conditionalFormatting sqref="M26">
    <cfRule type="cellIs" dxfId="327" priority="602" operator="equal">
      <formula>"CORRECT !"</formula>
    </cfRule>
  </conditionalFormatting>
  <conditionalFormatting sqref="M27">
    <cfRule type="cellIs" dxfId="326" priority="601" operator="equal">
      <formula>"CORRECT !"</formula>
    </cfRule>
  </conditionalFormatting>
  <conditionalFormatting sqref="M28">
    <cfRule type="cellIs" dxfId="325" priority="600" operator="equal">
      <formula>"CORRECT !"</formula>
    </cfRule>
  </conditionalFormatting>
  <conditionalFormatting sqref="M29">
    <cfRule type="cellIs" dxfId="324" priority="599" operator="equal">
      <formula>"CORRECT !"</formula>
    </cfRule>
  </conditionalFormatting>
  <conditionalFormatting sqref="M30">
    <cfRule type="cellIs" dxfId="323" priority="598" operator="equal">
      <formula>"CORRECT !"</formula>
    </cfRule>
  </conditionalFormatting>
  <conditionalFormatting sqref="M31">
    <cfRule type="cellIs" dxfId="322" priority="597" operator="equal">
      <formula>"CORRECT !"</formula>
    </cfRule>
  </conditionalFormatting>
  <conditionalFormatting sqref="M32">
    <cfRule type="cellIs" dxfId="321" priority="596" operator="equal">
      <formula>"CORRECT !"</formula>
    </cfRule>
  </conditionalFormatting>
  <conditionalFormatting sqref="M33">
    <cfRule type="cellIs" dxfId="320" priority="595" operator="equal">
      <formula>"CORRECT !"</formula>
    </cfRule>
  </conditionalFormatting>
  <conditionalFormatting sqref="M34">
    <cfRule type="cellIs" dxfId="319" priority="594" operator="equal">
      <formula>"CORRECT !"</formula>
    </cfRule>
  </conditionalFormatting>
  <conditionalFormatting sqref="M35">
    <cfRule type="cellIs" dxfId="318" priority="593" operator="equal">
      <formula>"CORRECT !"</formula>
    </cfRule>
  </conditionalFormatting>
  <conditionalFormatting sqref="M36">
    <cfRule type="cellIs" dxfId="317" priority="592" operator="equal">
      <formula>"CORRECT !"</formula>
    </cfRule>
  </conditionalFormatting>
  <conditionalFormatting sqref="M37">
    <cfRule type="cellIs" dxfId="316" priority="591" operator="equal">
      <formula>"CORRECT !"</formula>
    </cfRule>
  </conditionalFormatting>
  <conditionalFormatting sqref="M38">
    <cfRule type="cellIs" dxfId="315" priority="590" operator="equal">
      <formula>"CORRECT !"</formula>
    </cfRule>
  </conditionalFormatting>
  <conditionalFormatting sqref="M39">
    <cfRule type="cellIs" dxfId="314" priority="589" operator="equal">
      <formula>"CORRECT !"</formula>
    </cfRule>
  </conditionalFormatting>
  <conditionalFormatting sqref="M40">
    <cfRule type="cellIs" dxfId="313" priority="588" operator="equal">
      <formula>"CORRECT !"</formula>
    </cfRule>
  </conditionalFormatting>
  <conditionalFormatting sqref="M41">
    <cfRule type="cellIs" dxfId="312" priority="587" operator="equal">
      <formula>"CORRECT !"</formula>
    </cfRule>
  </conditionalFormatting>
  <conditionalFormatting sqref="M42">
    <cfRule type="cellIs" dxfId="311" priority="586" operator="equal">
      <formula>"CORRECT !"</formula>
    </cfRule>
  </conditionalFormatting>
  <conditionalFormatting sqref="M43">
    <cfRule type="cellIs" dxfId="310" priority="585" operator="equal">
      <formula>"CORRECT !"</formula>
    </cfRule>
  </conditionalFormatting>
  <conditionalFormatting sqref="M44">
    <cfRule type="cellIs" dxfId="309" priority="584" operator="equal">
      <formula>"CORRECT !"</formula>
    </cfRule>
  </conditionalFormatting>
  <conditionalFormatting sqref="Q25">
    <cfRule type="cellIs" dxfId="308" priority="583" operator="equal">
      <formula>"CORRECT !"</formula>
    </cfRule>
  </conditionalFormatting>
  <conditionalFormatting sqref="Q26">
    <cfRule type="cellIs" dxfId="307" priority="582" operator="equal">
      <formula>"CORRECT !"</formula>
    </cfRule>
  </conditionalFormatting>
  <conditionalFormatting sqref="Q27">
    <cfRule type="cellIs" dxfId="306" priority="581" operator="equal">
      <formula>"CORRECT !"</formula>
    </cfRule>
  </conditionalFormatting>
  <conditionalFormatting sqref="Q28">
    <cfRule type="cellIs" dxfId="305" priority="580" operator="equal">
      <formula>"CORRECT !"</formula>
    </cfRule>
  </conditionalFormatting>
  <conditionalFormatting sqref="Q29">
    <cfRule type="cellIs" dxfId="304" priority="579" operator="equal">
      <formula>"CORRECT !"</formula>
    </cfRule>
  </conditionalFormatting>
  <conditionalFormatting sqref="Q30">
    <cfRule type="cellIs" dxfId="303" priority="578" operator="equal">
      <formula>"CORRECT !"</formula>
    </cfRule>
  </conditionalFormatting>
  <conditionalFormatting sqref="Q31">
    <cfRule type="cellIs" dxfId="302" priority="577" operator="equal">
      <formula>"CORRECT !"</formula>
    </cfRule>
  </conditionalFormatting>
  <conditionalFormatting sqref="Q32">
    <cfRule type="cellIs" dxfId="301" priority="576" operator="equal">
      <formula>"CORRECT !"</formula>
    </cfRule>
  </conditionalFormatting>
  <conditionalFormatting sqref="Q33">
    <cfRule type="cellIs" dxfId="300" priority="575" operator="equal">
      <formula>"CORRECT !"</formula>
    </cfRule>
  </conditionalFormatting>
  <conditionalFormatting sqref="Q36">
    <cfRule type="cellIs" dxfId="299" priority="572" operator="equal">
      <formula>"CORRECT !"</formula>
    </cfRule>
  </conditionalFormatting>
  <conditionalFormatting sqref="Q37">
    <cfRule type="cellIs" dxfId="298" priority="571" operator="equal">
      <formula>"CORRECT !"</formula>
    </cfRule>
  </conditionalFormatting>
  <conditionalFormatting sqref="Q38">
    <cfRule type="cellIs" dxfId="297" priority="570" operator="equal">
      <formula>"CORRECT !"</formula>
    </cfRule>
  </conditionalFormatting>
  <conditionalFormatting sqref="Q39">
    <cfRule type="cellIs" dxfId="296" priority="569" operator="equal">
      <formula>"CORRECT !"</formula>
    </cfRule>
  </conditionalFormatting>
  <conditionalFormatting sqref="Q40">
    <cfRule type="cellIs" dxfId="295" priority="568" operator="equal">
      <formula>"CORRECT !"</formula>
    </cfRule>
  </conditionalFormatting>
  <conditionalFormatting sqref="Q41">
    <cfRule type="cellIs" dxfId="294" priority="567" operator="equal">
      <formula>"CORRECT !"</formula>
    </cfRule>
  </conditionalFormatting>
  <conditionalFormatting sqref="Q42">
    <cfRule type="cellIs" dxfId="293" priority="566" operator="equal">
      <formula>"CORRECT !"</formula>
    </cfRule>
  </conditionalFormatting>
  <conditionalFormatting sqref="Q43">
    <cfRule type="cellIs" dxfId="292" priority="565" operator="equal">
      <formula>"CORRECT !"</formula>
    </cfRule>
  </conditionalFormatting>
  <conditionalFormatting sqref="Q44">
    <cfRule type="cellIs" dxfId="291" priority="564" operator="equal">
      <formula>"CORRECT !"</formula>
    </cfRule>
  </conditionalFormatting>
  <conditionalFormatting sqref="F25">
    <cfRule type="expression" dxfId="290" priority="563">
      <formula>$Q$1&lt;&gt;""</formula>
    </cfRule>
  </conditionalFormatting>
  <conditionalFormatting sqref="F7">
    <cfRule type="expression" dxfId="289" priority="561">
      <formula>AND($G7&lt;&gt;"",$D7&lt;&gt;$F7)</formula>
    </cfRule>
    <cfRule type="expression" dxfId="288" priority="562">
      <formula>AND($G7="y",$D7=$F7)</formula>
    </cfRule>
  </conditionalFormatting>
  <conditionalFormatting sqref="E27">
    <cfRule type="cellIs" dxfId="287" priority="550" operator="equal">
      <formula>"CORRECT !"</formula>
    </cfRule>
  </conditionalFormatting>
  <conditionalFormatting sqref="E26">
    <cfRule type="cellIs" dxfId="286" priority="548" operator="equal">
      <formula>"CORRECT !"</formula>
    </cfRule>
  </conditionalFormatting>
  <conditionalFormatting sqref="F60">
    <cfRule type="expression" dxfId="285" priority="547">
      <formula>$Q$1&lt;&gt;""</formula>
    </cfRule>
  </conditionalFormatting>
  <conditionalFormatting sqref="F61">
    <cfRule type="expression" dxfId="284" priority="546">
      <formula>$Q$1&lt;&gt;""</formula>
    </cfRule>
  </conditionalFormatting>
  <conditionalFormatting sqref="F62">
    <cfRule type="expression" dxfId="283" priority="545">
      <formula>$Q$1&lt;&gt;""</formula>
    </cfRule>
  </conditionalFormatting>
  <conditionalFormatting sqref="F63">
    <cfRule type="expression" dxfId="282" priority="544">
      <formula>$Q$1&lt;&gt;""</formula>
    </cfRule>
  </conditionalFormatting>
  <conditionalFormatting sqref="F64">
    <cfRule type="expression" dxfId="281" priority="543">
      <formula>$Q$1&lt;&gt;""</formula>
    </cfRule>
  </conditionalFormatting>
  <conditionalFormatting sqref="F65">
    <cfRule type="expression" dxfId="280" priority="542">
      <formula>$Q$1&lt;&gt;""</formula>
    </cfRule>
  </conditionalFormatting>
  <conditionalFormatting sqref="F66">
    <cfRule type="expression" dxfId="279" priority="541">
      <formula>$Q$1&lt;&gt;""</formula>
    </cfRule>
  </conditionalFormatting>
  <conditionalFormatting sqref="F67">
    <cfRule type="expression" dxfId="278" priority="540">
      <formula>$Q$1&lt;&gt;""</formula>
    </cfRule>
  </conditionalFormatting>
  <conditionalFormatting sqref="F68">
    <cfRule type="expression" dxfId="277" priority="539">
      <formula>$Q$1&lt;&gt;""</formula>
    </cfRule>
  </conditionalFormatting>
  <conditionalFormatting sqref="F69">
    <cfRule type="expression" dxfId="276" priority="538">
      <formula>$Q$1&lt;&gt;""</formula>
    </cfRule>
  </conditionalFormatting>
  <conditionalFormatting sqref="F70">
    <cfRule type="expression" dxfId="275" priority="537">
      <formula>$Q$1&lt;&gt;""</formula>
    </cfRule>
  </conditionalFormatting>
  <conditionalFormatting sqref="F71">
    <cfRule type="expression" dxfId="274" priority="536">
      <formula>$Q$1&lt;&gt;""</formula>
    </cfRule>
  </conditionalFormatting>
  <conditionalFormatting sqref="F72">
    <cfRule type="expression" dxfId="273" priority="535">
      <formula>$Q$1&lt;&gt;""</formula>
    </cfRule>
  </conditionalFormatting>
  <conditionalFormatting sqref="F73">
    <cfRule type="expression" dxfId="272" priority="534">
      <formula>$Q$1&lt;&gt;""</formula>
    </cfRule>
  </conditionalFormatting>
  <conditionalFormatting sqref="F74">
    <cfRule type="expression" dxfId="271" priority="533">
      <formula>$Q$1&lt;&gt;""</formula>
    </cfRule>
  </conditionalFormatting>
  <conditionalFormatting sqref="F75">
    <cfRule type="expression" dxfId="270" priority="532">
      <formula>$Q$1&lt;&gt;""</formula>
    </cfRule>
  </conditionalFormatting>
  <conditionalFormatting sqref="F76">
    <cfRule type="expression" dxfId="269" priority="531">
      <formula>$Q$1&lt;&gt;""</formula>
    </cfRule>
  </conditionalFormatting>
  <conditionalFormatting sqref="F77">
    <cfRule type="expression" dxfId="268" priority="530">
      <formula>$Q$1&lt;&gt;""</formula>
    </cfRule>
  </conditionalFormatting>
  <conditionalFormatting sqref="F78">
    <cfRule type="expression" dxfId="267" priority="529">
      <formula>$Q$1&lt;&gt;""</formula>
    </cfRule>
  </conditionalFormatting>
  <conditionalFormatting sqref="F79">
    <cfRule type="expression" dxfId="266" priority="528">
      <formula>$Q$1&lt;&gt;""</formula>
    </cfRule>
  </conditionalFormatting>
  <conditionalFormatting sqref="F80">
    <cfRule type="expression" dxfId="265" priority="527">
      <formula>$Q$1&lt;&gt;""</formula>
    </cfRule>
  </conditionalFormatting>
  <conditionalFormatting sqref="F81">
    <cfRule type="expression" dxfId="264" priority="526">
      <formula>$Q$1&lt;&gt;""</formula>
    </cfRule>
  </conditionalFormatting>
  <conditionalFormatting sqref="F82">
    <cfRule type="expression" dxfId="263" priority="525">
      <formula>$Q$1&lt;&gt;""</formula>
    </cfRule>
  </conditionalFormatting>
  <conditionalFormatting sqref="F83">
    <cfRule type="expression" dxfId="262" priority="524">
      <formula>$Q$1&lt;&gt;""</formula>
    </cfRule>
  </conditionalFormatting>
  <conditionalFormatting sqref="F84">
    <cfRule type="expression" dxfId="261" priority="523">
      <formula>$Q$1&lt;&gt;""</formula>
    </cfRule>
  </conditionalFormatting>
  <conditionalFormatting sqref="F85">
    <cfRule type="expression" dxfId="260" priority="522">
      <formula>$Q$1&lt;&gt;""</formula>
    </cfRule>
  </conditionalFormatting>
  <conditionalFormatting sqref="F86">
    <cfRule type="expression" dxfId="259" priority="521">
      <formula>$Q$1&lt;&gt;""</formula>
    </cfRule>
  </conditionalFormatting>
  <conditionalFormatting sqref="F87">
    <cfRule type="expression" dxfId="258" priority="520">
      <formula>$Q$1&lt;&gt;""</formula>
    </cfRule>
  </conditionalFormatting>
  <conditionalFormatting sqref="F88">
    <cfRule type="expression" dxfId="257" priority="519">
      <formula>$Q$1&lt;&gt;""</formula>
    </cfRule>
  </conditionalFormatting>
  <conditionalFormatting sqref="F89">
    <cfRule type="expression" dxfId="256" priority="518">
      <formula>$Q$1&lt;&gt;""</formula>
    </cfRule>
  </conditionalFormatting>
  <conditionalFormatting sqref="F90">
    <cfRule type="expression" dxfId="255" priority="517">
      <formula>$Q$1&lt;&gt;""</formula>
    </cfRule>
  </conditionalFormatting>
  <conditionalFormatting sqref="F91">
    <cfRule type="expression" dxfId="254" priority="516">
      <formula>$Q$1&lt;&gt;""</formula>
    </cfRule>
  </conditionalFormatting>
  <conditionalFormatting sqref="F92">
    <cfRule type="expression" dxfId="253" priority="515">
      <formula>$Q$1&lt;&gt;""</formula>
    </cfRule>
  </conditionalFormatting>
  <conditionalFormatting sqref="F93">
    <cfRule type="expression" dxfId="252" priority="514">
      <formula>$Q$1&lt;&gt;""</formula>
    </cfRule>
  </conditionalFormatting>
  <conditionalFormatting sqref="F94">
    <cfRule type="expression" dxfId="251" priority="513">
      <formula>$Q$1&lt;&gt;""</formula>
    </cfRule>
  </conditionalFormatting>
  <conditionalFormatting sqref="F95">
    <cfRule type="expression" dxfId="250" priority="512">
      <formula>$Q$1&lt;&gt;""</formula>
    </cfRule>
  </conditionalFormatting>
  <conditionalFormatting sqref="F96">
    <cfRule type="expression" dxfId="249" priority="511">
      <formula>$Q$1&lt;&gt;""</formula>
    </cfRule>
  </conditionalFormatting>
  <conditionalFormatting sqref="F97">
    <cfRule type="expression" dxfId="248" priority="510">
      <formula>$Q$1&lt;&gt;""</formula>
    </cfRule>
  </conditionalFormatting>
  <conditionalFormatting sqref="F98">
    <cfRule type="expression" dxfId="247" priority="509">
      <formula>$Q$1&lt;&gt;""</formula>
    </cfRule>
  </conditionalFormatting>
  <conditionalFormatting sqref="F99">
    <cfRule type="expression" dxfId="246" priority="508">
      <formula>$Q$1&lt;&gt;""</formula>
    </cfRule>
  </conditionalFormatting>
  <conditionalFormatting sqref="F100">
    <cfRule type="expression" dxfId="245" priority="507">
      <formula>$Q$1&lt;&gt;""</formula>
    </cfRule>
  </conditionalFormatting>
  <conditionalFormatting sqref="F101">
    <cfRule type="expression" dxfId="244" priority="506">
      <formula>$Q$1&lt;&gt;""</formula>
    </cfRule>
  </conditionalFormatting>
  <conditionalFormatting sqref="F102">
    <cfRule type="expression" dxfId="243" priority="505">
      <formula>$Q$1&lt;&gt;""</formula>
    </cfRule>
  </conditionalFormatting>
  <conditionalFormatting sqref="F103">
    <cfRule type="expression" dxfId="242" priority="504">
      <formula>$Q$1&lt;&gt;""</formula>
    </cfRule>
  </conditionalFormatting>
  <conditionalFormatting sqref="F104">
    <cfRule type="expression" dxfId="241" priority="503">
      <formula>$Q$1&lt;&gt;""</formula>
    </cfRule>
  </conditionalFormatting>
  <conditionalFormatting sqref="F105">
    <cfRule type="expression" dxfId="240" priority="502">
      <formula>$Q$1&lt;&gt;""</formula>
    </cfRule>
  </conditionalFormatting>
  <conditionalFormatting sqref="F106">
    <cfRule type="expression" dxfId="239" priority="501">
      <formula>$Q$1&lt;&gt;""</formula>
    </cfRule>
  </conditionalFormatting>
  <conditionalFormatting sqref="F107">
    <cfRule type="expression" dxfId="238" priority="500">
      <formula>$Q$1&lt;&gt;""</formula>
    </cfRule>
  </conditionalFormatting>
  <conditionalFormatting sqref="F108">
    <cfRule type="expression" dxfId="237" priority="499">
      <formula>$Q$1&lt;&gt;""</formula>
    </cfRule>
  </conditionalFormatting>
  <conditionalFormatting sqref="F109">
    <cfRule type="expression" dxfId="236" priority="498">
      <formula>$Q$1&lt;&gt;""</formula>
    </cfRule>
  </conditionalFormatting>
  <conditionalFormatting sqref="F110">
    <cfRule type="expression" dxfId="235" priority="497">
      <formula>$Q$1&lt;&gt;""</formula>
    </cfRule>
  </conditionalFormatting>
  <conditionalFormatting sqref="F111">
    <cfRule type="expression" dxfId="234" priority="496">
      <formula>$Q$1&lt;&gt;""</formula>
    </cfRule>
  </conditionalFormatting>
  <conditionalFormatting sqref="F112">
    <cfRule type="expression" dxfId="233" priority="495">
      <formula>$Q$1&lt;&gt;""</formula>
    </cfRule>
  </conditionalFormatting>
  <conditionalFormatting sqref="F113">
    <cfRule type="expression" dxfId="232" priority="494">
      <formula>$Q$1&lt;&gt;""</formula>
    </cfRule>
  </conditionalFormatting>
  <conditionalFormatting sqref="F114">
    <cfRule type="expression" dxfId="231" priority="493">
      <formula>$Q$1&lt;&gt;""</formula>
    </cfRule>
  </conditionalFormatting>
  <conditionalFormatting sqref="F115">
    <cfRule type="expression" dxfId="230" priority="492">
      <formula>$Q$1&lt;&gt;""</formula>
    </cfRule>
  </conditionalFormatting>
  <conditionalFormatting sqref="F116">
    <cfRule type="expression" dxfId="229" priority="491">
      <formula>$Q$1&lt;&gt;""</formula>
    </cfRule>
  </conditionalFormatting>
  <conditionalFormatting sqref="F117">
    <cfRule type="expression" dxfId="228" priority="490">
      <formula>$Q$1&lt;&gt;""</formula>
    </cfRule>
  </conditionalFormatting>
  <conditionalFormatting sqref="F118">
    <cfRule type="expression" dxfId="227" priority="489">
      <formula>$Q$1&lt;&gt;""</formula>
    </cfRule>
  </conditionalFormatting>
  <conditionalFormatting sqref="F119">
    <cfRule type="expression" dxfId="226" priority="488">
      <formula>$Q$1&lt;&gt;""</formula>
    </cfRule>
  </conditionalFormatting>
  <conditionalFormatting sqref="F120">
    <cfRule type="expression" dxfId="225" priority="487">
      <formula>$Q$1&lt;&gt;""</formula>
    </cfRule>
  </conditionalFormatting>
  <conditionalFormatting sqref="F121">
    <cfRule type="expression" dxfId="224" priority="486">
      <formula>$Q$1&lt;&gt;""</formula>
    </cfRule>
  </conditionalFormatting>
  <conditionalFormatting sqref="F122">
    <cfRule type="expression" dxfId="223" priority="485">
      <formula>$Q$1&lt;&gt;""</formula>
    </cfRule>
  </conditionalFormatting>
  <conditionalFormatting sqref="F123">
    <cfRule type="expression" dxfId="222" priority="484">
      <formula>$Q$1&lt;&gt;""</formula>
    </cfRule>
  </conditionalFormatting>
  <conditionalFormatting sqref="F124">
    <cfRule type="expression" dxfId="221" priority="483">
      <formula>$Q$1&lt;&gt;""</formula>
    </cfRule>
  </conditionalFormatting>
  <conditionalFormatting sqref="F125">
    <cfRule type="expression" dxfId="220" priority="482">
      <formula>$Q$1&lt;&gt;""</formula>
    </cfRule>
  </conditionalFormatting>
  <conditionalFormatting sqref="F126">
    <cfRule type="expression" dxfId="219" priority="481">
      <formula>$Q$1&lt;&gt;""</formula>
    </cfRule>
  </conditionalFormatting>
  <conditionalFormatting sqref="F127">
    <cfRule type="expression" dxfId="218" priority="480">
      <formula>$Q$1&lt;&gt;""</formula>
    </cfRule>
  </conditionalFormatting>
  <conditionalFormatting sqref="F128">
    <cfRule type="expression" dxfId="217" priority="479">
      <formula>$Q$1&lt;&gt;""</formula>
    </cfRule>
  </conditionalFormatting>
  <conditionalFormatting sqref="F129">
    <cfRule type="expression" dxfId="216" priority="478">
      <formula>$Q$1&lt;&gt;""</formula>
    </cfRule>
  </conditionalFormatting>
  <conditionalFormatting sqref="F130">
    <cfRule type="expression" dxfId="215" priority="477">
      <formula>$Q$1&lt;&gt;""</formula>
    </cfRule>
  </conditionalFormatting>
  <conditionalFormatting sqref="F131">
    <cfRule type="expression" dxfId="214" priority="476">
      <formula>$Q$1&lt;&gt;""</formula>
    </cfRule>
  </conditionalFormatting>
  <conditionalFormatting sqref="F132">
    <cfRule type="expression" dxfId="213" priority="475">
      <formula>$Q$1&lt;&gt;""</formula>
    </cfRule>
  </conditionalFormatting>
  <conditionalFormatting sqref="F133">
    <cfRule type="expression" dxfId="212" priority="474">
      <formula>$Q$1&lt;&gt;""</formula>
    </cfRule>
  </conditionalFormatting>
  <conditionalFormatting sqref="F134">
    <cfRule type="expression" dxfId="211" priority="473">
      <formula>$Q$1&lt;&gt;""</formula>
    </cfRule>
  </conditionalFormatting>
  <conditionalFormatting sqref="F135">
    <cfRule type="expression" dxfId="210" priority="472">
      <formula>$Q$1&lt;&gt;""</formula>
    </cfRule>
  </conditionalFormatting>
  <conditionalFormatting sqref="F136">
    <cfRule type="expression" dxfId="209" priority="471">
      <formula>$Q$1&lt;&gt;""</formula>
    </cfRule>
  </conditionalFormatting>
  <conditionalFormatting sqref="F137">
    <cfRule type="expression" dxfId="208" priority="470">
      <formula>$Q$1&lt;&gt;""</formula>
    </cfRule>
  </conditionalFormatting>
  <conditionalFormatting sqref="F138">
    <cfRule type="expression" dxfId="207" priority="469">
      <formula>$Q$1&lt;&gt;""</formula>
    </cfRule>
  </conditionalFormatting>
  <conditionalFormatting sqref="F139">
    <cfRule type="expression" dxfId="206" priority="468">
      <formula>$Q$1&lt;&gt;""</formula>
    </cfRule>
  </conditionalFormatting>
  <conditionalFormatting sqref="F140">
    <cfRule type="expression" dxfId="205" priority="467">
      <formula>$Q$1&lt;&gt;""</formula>
    </cfRule>
  </conditionalFormatting>
  <conditionalFormatting sqref="F141">
    <cfRule type="expression" dxfId="204" priority="466">
      <formula>$Q$1&lt;&gt;""</formula>
    </cfRule>
  </conditionalFormatting>
  <conditionalFormatting sqref="F142">
    <cfRule type="expression" dxfId="203" priority="465">
      <formula>$Q$1&lt;&gt;""</formula>
    </cfRule>
  </conditionalFormatting>
  <conditionalFormatting sqref="F143">
    <cfRule type="expression" dxfId="202" priority="464">
      <formula>$Q$1&lt;&gt;""</formula>
    </cfRule>
  </conditionalFormatting>
  <conditionalFormatting sqref="F144">
    <cfRule type="expression" dxfId="201" priority="463">
      <formula>$Q$1&lt;&gt;""</formula>
    </cfRule>
  </conditionalFormatting>
  <conditionalFormatting sqref="F145">
    <cfRule type="expression" dxfId="200" priority="462">
      <formula>$Q$1&lt;&gt;""</formula>
    </cfRule>
  </conditionalFormatting>
  <conditionalFormatting sqref="F146">
    <cfRule type="expression" dxfId="199" priority="461">
      <formula>$Q$1&lt;&gt;""</formula>
    </cfRule>
  </conditionalFormatting>
  <conditionalFormatting sqref="F147">
    <cfRule type="expression" dxfId="198" priority="460">
      <formula>$Q$1&lt;&gt;""</formula>
    </cfRule>
  </conditionalFormatting>
  <conditionalFormatting sqref="F148">
    <cfRule type="expression" dxfId="197" priority="459">
      <formula>$Q$1&lt;&gt;""</formula>
    </cfRule>
  </conditionalFormatting>
  <conditionalFormatting sqref="F149">
    <cfRule type="expression" dxfId="196" priority="458">
      <formula>$Q$1&lt;&gt;""</formula>
    </cfRule>
  </conditionalFormatting>
  <conditionalFormatting sqref="F150">
    <cfRule type="expression" dxfId="195" priority="457">
      <formula>$Q$1&lt;&gt;""</formula>
    </cfRule>
  </conditionalFormatting>
  <conditionalFormatting sqref="F151">
    <cfRule type="expression" dxfId="194" priority="456">
      <formula>$Q$1&lt;&gt;""</formula>
    </cfRule>
  </conditionalFormatting>
  <conditionalFormatting sqref="F152">
    <cfRule type="expression" dxfId="193" priority="455">
      <formula>$Q$1&lt;&gt;""</formula>
    </cfRule>
  </conditionalFormatting>
  <conditionalFormatting sqref="F153">
    <cfRule type="expression" dxfId="192" priority="454">
      <formula>$Q$1&lt;&gt;""</formula>
    </cfRule>
  </conditionalFormatting>
  <conditionalFormatting sqref="F154">
    <cfRule type="expression" dxfId="191" priority="453">
      <formula>$Q$1&lt;&gt;""</formula>
    </cfRule>
  </conditionalFormatting>
  <conditionalFormatting sqref="F155">
    <cfRule type="expression" dxfId="190" priority="452">
      <formula>$Q$1&lt;&gt;""</formula>
    </cfRule>
  </conditionalFormatting>
  <conditionalFormatting sqref="F156">
    <cfRule type="expression" dxfId="189" priority="451">
      <formula>$Q$1&lt;&gt;""</formula>
    </cfRule>
  </conditionalFormatting>
  <conditionalFormatting sqref="F157">
    <cfRule type="expression" dxfId="188" priority="450">
      <formula>$Q$1&lt;&gt;""</formula>
    </cfRule>
  </conditionalFormatting>
  <conditionalFormatting sqref="F158">
    <cfRule type="expression" dxfId="187" priority="449">
      <formula>$Q$1&lt;&gt;""</formula>
    </cfRule>
  </conditionalFormatting>
  <conditionalFormatting sqref="F159">
    <cfRule type="expression" dxfId="186" priority="448">
      <formula>$Q$1&lt;&gt;""</formula>
    </cfRule>
  </conditionalFormatting>
  <conditionalFormatting sqref="F160">
    <cfRule type="expression" dxfId="185" priority="447">
      <formula>$Q$1&lt;&gt;""</formula>
    </cfRule>
  </conditionalFormatting>
  <conditionalFormatting sqref="F161">
    <cfRule type="expression" dxfId="184" priority="446">
      <formula>$Q$1&lt;&gt;""</formula>
    </cfRule>
  </conditionalFormatting>
  <conditionalFormatting sqref="F162">
    <cfRule type="expression" dxfId="183" priority="445">
      <formula>$Q$1&lt;&gt;""</formula>
    </cfRule>
  </conditionalFormatting>
  <conditionalFormatting sqref="F163">
    <cfRule type="expression" dxfId="182" priority="444">
      <formula>$Q$1&lt;&gt;""</formula>
    </cfRule>
  </conditionalFormatting>
  <conditionalFormatting sqref="F164">
    <cfRule type="expression" dxfId="181" priority="443">
      <formula>$Q$1&lt;&gt;""</formula>
    </cfRule>
  </conditionalFormatting>
  <conditionalFormatting sqref="F165">
    <cfRule type="expression" dxfId="180" priority="442">
      <formula>$Q$1&lt;&gt;""</formula>
    </cfRule>
  </conditionalFormatting>
  <conditionalFormatting sqref="F166">
    <cfRule type="expression" dxfId="179" priority="441">
      <formula>$Q$1&lt;&gt;""</formula>
    </cfRule>
  </conditionalFormatting>
  <conditionalFormatting sqref="F167">
    <cfRule type="expression" dxfId="178" priority="440">
      <formula>$Q$1&lt;&gt;""</formula>
    </cfRule>
  </conditionalFormatting>
  <conditionalFormatting sqref="F168">
    <cfRule type="expression" dxfId="177" priority="439">
      <formula>$Q$1&lt;&gt;""</formula>
    </cfRule>
  </conditionalFormatting>
  <conditionalFormatting sqref="F169">
    <cfRule type="expression" dxfId="176" priority="438">
      <formula>$Q$1&lt;&gt;""</formula>
    </cfRule>
  </conditionalFormatting>
  <conditionalFormatting sqref="F170">
    <cfRule type="expression" dxfId="175" priority="437">
      <formula>$Q$1&lt;&gt;""</formula>
    </cfRule>
  </conditionalFormatting>
  <conditionalFormatting sqref="F171">
    <cfRule type="expression" dxfId="174" priority="436">
      <formula>$Q$1&lt;&gt;""</formula>
    </cfRule>
  </conditionalFormatting>
  <conditionalFormatting sqref="F6">
    <cfRule type="expression" dxfId="173" priority="435">
      <formula>$Q$1&lt;&gt;""</formula>
    </cfRule>
  </conditionalFormatting>
  <conditionalFormatting sqref="D22">
    <cfRule type="expression" dxfId="172" priority="434">
      <formula>$Q$1&lt;&gt;""</formula>
    </cfRule>
  </conditionalFormatting>
  <conditionalFormatting sqref="F23">
    <cfRule type="expression" dxfId="171" priority="433">
      <formula>$Q$1&lt;&gt;""</formula>
    </cfRule>
  </conditionalFormatting>
  <conditionalFormatting sqref="F24">
    <cfRule type="expression" dxfId="170" priority="432">
      <formula>$Q$1&lt;&gt;""</formula>
    </cfRule>
  </conditionalFormatting>
  <conditionalFormatting sqref="K9">
    <cfRule type="cellIs" dxfId="169" priority="362" operator="equal">
      <formula>"CORRECT !"</formula>
    </cfRule>
  </conditionalFormatting>
  <conditionalFormatting sqref="K10">
    <cfRule type="cellIs" dxfId="168" priority="361" operator="equal">
      <formula>"CORRECT !"</formula>
    </cfRule>
  </conditionalFormatting>
  <conditionalFormatting sqref="K11">
    <cfRule type="cellIs" dxfId="167" priority="360" operator="equal">
      <formula>"CORRECT !"</formula>
    </cfRule>
  </conditionalFormatting>
  <conditionalFormatting sqref="H13">
    <cfRule type="cellIs" dxfId="166" priority="333" operator="equal">
      <formula>"CORRECT !"</formula>
    </cfRule>
  </conditionalFormatting>
  <conditionalFormatting sqref="H14">
    <cfRule type="cellIs" dxfId="165" priority="332" operator="equal">
      <formula>"CORRECT !"</formula>
    </cfRule>
  </conditionalFormatting>
  <conditionalFormatting sqref="H15">
    <cfRule type="cellIs" dxfId="164" priority="331" operator="equal">
      <formula>"CORRECT !"</formula>
    </cfRule>
  </conditionalFormatting>
  <conditionalFormatting sqref="H16">
    <cfRule type="cellIs" dxfId="163" priority="330" operator="equal">
      <formula>"CORRECT !"</formula>
    </cfRule>
  </conditionalFormatting>
  <conditionalFormatting sqref="H17">
    <cfRule type="cellIs" dxfId="162" priority="329" operator="equal">
      <formula>"CORRECT !"</formula>
    </cfRule>
  </conditionalFormatting>
  <conditionalFormatting sqref="H18">
    <cfRule type="cellIs" dxfId="161" priority="328" operator="equal">
      <formula>"CORRECT !"</formula>
    </cfRule>
  </conditionalFormatting>
  <conditionalFormatting sqref="H19">
    <cfRule type="cellIs" dxfId="160" priority="327" operator="equal">
      <formula>"CORRECT !"</formula>
    </cfRule>
  </conditionalFormatting>
  <conditionalFormatting sqref="K14">
    <cfRule type="cellIs" dxfId="159" priority="323" operator="equal">
      <formula>"CORRECT !"</formula>
    </cfRule>
  </conditionalFormatting>
  <conditionalFormatting sqref="K15">
    <cfRule type="cellIs" dxfId="158" priority="322" operator="equal">
      <formula>"CORRECT !"</formula>
    </cfRule>
  </conditionalFormatting>
  <conditionalFormatting sqref="K16">
    <cfRule type="cellIs" dxfId="157" priority="321" operator="equal">
      <formula>"CORRECT !"</formula>
    </cfRule>
  </conditionalFormatting>
  <conditionalFormatting sqref="K17">
    <cfRule type="cellIs" dxfId="156" priority="320" operator="equal">
      <formula>"CORRECT !"</formula>
    </cfRule>
  </conditionalFormatting>
  <conditionalFormatting sqref="K18">
    <cfRule type="cellIs" dxfId="155" priority="319" operator="equal">
      <formula>"CORRECT !"</formula>
    </cfRule>
  </conditionalFormatting>
  <conditionalFormatting sqref="K19">
    <cfRule type="cellIs" dxfId="154" priority="318" operator="equal">
      <formula>"CORRECT !"</formula>
    </cfRule>
  </conditionalFormatting>
  <conditionalFormatting sqref="K21">
    <cfRule type="cellIs" dxfId="153" priority="316" operator="equal">
      <formula>"CORRECT !"</formula>
    </cfRule>
  </conditionalFormatting>
  <conditionalFormatting sqref="F26">
    <cfRule type="expression" dxfId="152" priority="315">
      <formula>$Q$1&lt;&gt;""</formula>
    </cfRule>
  </conditionalFormatting>
  <conditionalFormatting sqref="F27">
    <cfRule type="expression" dxfId="151" priority="314">
      <formula>$Q$1&lt;&gt;""</formula>
    </cfRule>
  </conditionalFormatting>
  <conditionalFormatting sqref="F28">
    <cfRule type="expression" dxfId="150" priority="313">
      <formula>$Q$1&lt;&gt;""</formula>
    </cfRule>
  </conditionalFormatting>
  <conditionalFormatting sqref="F29">
    <cfRule type="expression" dxfId="149" priority="312">
      <formula>$Q$1&lt;&gt;""</formula>
    </cfRule>
  </conditionalFormatting>
  <conditionalFormatting sqref="F30">
    <cfRule type="expression" dxfId="148" priority="311">
      <formula>$Q$1&lt;&gt;""</formula>
    </cfRule>
  </conditionalFormatting>
  <conditionalFormatting sqref="F31">
    <cfRule type="expression" dxfId="147" priority="310">
      <formula>$Q$1&lt;&gt;""</formula>
    </cfRule>
  </conditionalFormatting>
  <conditionalFormatting sqref="F32">
    <cfRule type="expression" dxfId="146" priority="309">
      <formula>$Q$1&lt;&gt;""</formula>
    </cfRule>
  </conditionalFormatting>
  <conditionalFormatting sqref="F33">
    <cfRule type="expression" dxfId="145" priority="308">
      <formula>$Q$1&lt;&gt;""</formula>
    </cfRule>
  </conditionalFormatting>
  <conditionalFormatting sqref="F34">
    <cfRule type="expression" dxfId="144" priority="307">
      <formula>$Q$1&lt;&gt;""</formula>
    </cfRule>
  </conditionalFormatting>
  <conditionalFormatting sqref="F35">
    <cfRule type="expression" dxfId="143" priority="306">
      <formula>$Q$1&lt;&gt;""</formula>
    </cfRule>
  </conditionalFormatting>
  <conditionalFormatting sqref="F36">
    <cfRule type="expression" dxfId="142" priority="305">
      <formula>$Q$1&lt;&gt;""</formula>
    </cfRule>
  </conditionalFormatting>
  <conditionalFormatting sqref="F37">
    <cfRule type="expression" dxfId="141" priority="304">
      <formula>$Q$1&lt;&gt;""</formula>
    </cfRule>
  </conditionalFormatting>
  <conditionalFormatting sqref="F38">
    <cfRule type="expression" dxfId="140" priority="303">
      <formula>$Q$1&lt;&gt;""</formula>
    </cfRule>
  </conditionalFormatting>
  <conditionalFormatting sqref="F39">
    <cfRule type="expression" dxfId="139" priority="302">
      <formula>$Q$1&lt;&gt;""</formula>
    </cfRule>
  </conditionalFormatting>
  <conditionalFormatting sqref="F40">
    <cfRule type="expression" dxfId="138" priority="301">
      <formula>$Q$1&lt;&gt;""</formula>
    </cfRule>
  </conditionalFormatting>
  <conditionalFormatting sqref="F41">
    <cfRule type="expression" dxfId="137" priority="300">
      <formula>$Q$1&lt;&gt;""</formula>
    </cfRule>
  </conditionalFormatting>
  <conditionalFormatting sqref="F42">
    <cfRule type="expression" dxfId="136" priority="299">
      <formula>$Q$1&lt;&gt;""</formula>
    </cfRule>
  </conditionalFormatting>
  <conditionalFormatting sqref="F43">
    <cfRule type="expression" dxfId="135" priority="298">
      <formula>$Q$1&lt;&gt;""</formula>
    </cfRule>
  </conditionalFormatting>
  <conditionalFormatting sqref="F44">
    <cfRule type="expression" dxfId="134" priority="297">
      <formula>$Q$1&lt;&gt;""</formula>
    </cfRule>
  </conditionalFormatting>
  <conditionalFormatting sqref="F45">
    <cfRule type="expression" dxfId="133" priority="296">
      <formula>$Q$1&lt;&gt;""</formula>
    </cfRule>
  </conditionalFormatting>
  <conditionalFormatting sqref="F46">
    <cfRule type="expression" dxfId="132" priority="295">
      <formula>$Q$1&lt;&gt;""</formula>
    </cfRule>
  </conditionalFormatting>
  <conditionalFormatting sqref="F47">
    <cfRule type="expression" dxfId="131" priority="294">
      <formula>$Q$1&lt;&gt;""</formula>
    </cfRule>
  </conditionalFormatting>
  <conditionalFormatting sqref="F48">
    <cfRule type="expression" dxfId="130" priority="293">
      <formula>$Q$1&lt;&gt;""</formula>
    </cfRule>
  </conditionalFormatting>
  <conditionalFormatting sqref="F49">
    <cfRule type="expression" dxfId="129" priority="292">
      <formula>$Q$1&lt;&gt;""</formula>
    </cfRule>
  </conditionalFormatting>
  <conditionalFormatting sqref="F50">
    <cfRule type="expression" dxfId="128" priority="291">
      <formula>$Q$1&lt;&gt;""</formula>
    </cfRule>
  </conditionalFormatting>
  <conditionalFormatting sqref="F51">
    <cfRule type="expression" dxfId="127" priority="290">
      <formula>$Q$1&lt;&gt;""</formula>
    </cfRule>
  </conditionalFormatting>
  <conditionalFormatting sqref="F52">
    <cfRule type="expression" dxfId="126" priority="289">
      <formula>$Q$1&lt;&gt;""</formula>
    </cfRule>
  </conditionalFormatting>
  <conditionalFormatting sqref="F53">
    <cfRule type="expression" dxfId="125" priority="288">
      <formula>$Q$1&lt;&gt;""</formula>
    </cfRule>
  </conditionalFormatting>
  <conditionalFormatting sqref="F54">
    <cfRule type="expression" dxfId="124" priority="287">
      <formula>$Q$1&lt;&gt;""</formula>
    </cfRule>
  </conditionalFormatting>
  <conditionalFormatting sqref="F55">
    <cfRule type="expression" dxfId="123" priority="286">
      <formula>$Q$1&lt;&gt;""</formula>
    </cfRule>
  </conditionalFormatting>
  <conditionalFormatting sqref="F56">
    <cfRule type="expression" dxfId="122" priority="285">
      <formula>$Q$1&lt;&gt;""</formula>
    </cfRule>
  </conditionalFormatting>
  <conditionalFormatting sqref="F57">
    <cfRule type="expression" dxfId="121" priority="284">
      <formula>$Q$1&lt;&gt;""</formula>
    </cfRule>
  </conditionalFormatting>
  <conditionalFormatting sqref="F58">
    <cfRule type="expression" dxfId="120" priority="283">
      <formula>$Q$1&lt;&gt;""</formula>
    </cfRule>
  </conditionalFormatting>
  <conditionalFormatting sqref="E28">
    <cfRule type="cellIs" dxfId="119" priority="282" operator="equal">
      <formula>"CORRECT !"</formula>
    </cfRule>
  </conditionalFormatting>
  <conditionalFormatting sqref="E29">
    <cfRule type="cellIs" dxfId="118" priority="281" operator="equal">
      <formula>"CORRECT !"</formula>
    </cfRule>
  </conditionalFormatting>
  <conditionalFormatting sqref="E30">
    <cfRule type="cellIs" dxfId="117" priority="280" operator="equal">
      <formula>"CORRECT !"</formula>
    </cfRule>
  </conditionalFormatting>
  <conditionalFormatting sqref="E31">
    <cfRule type="cellIs" dxfId="116" priority="279" operator="equal">
      <formula>"CORRECT !"</formula>
    </cfRule>
  </conditionalFormatting>
  <conditionalFormatting sqref="E32">
    <cfRule type="cellIs" dxfId="115" priority="278" operator="equal">
      <formula>"CORRECT !"</formula>
    </cfRule>
  </conditionalFormatting>
  <conditionalFormatting sqref="E33">
    <cfRule type="cellIs" dxfId="114" priority="277" operator="equal">
      <formula>"CORRECT !"</formula>
    </cfRule>
  </conditionalFormatting>
  <conditionalFormatting sqref="E34">
    <cfRule type="cellIs" dxfId="113" priority="276" operator="equal">
      <formula>"CORRECT !"</formula>
    </cfRule>
  </conditionalFormatting>
  <conditionalFormatting sqref="E35">
    <cfRule type="cellIs" dxfId="112" priority="275" operator="equal">
      <formula>"CORRECT !"</formula>
    </cfRule>
  </conditionalFormatting>
  <conditionalFormatting sqref="E36">
    <cfRule type="cellIs" dxfId="111" priority="274" operator="equal">
      <formula>"CORRECT !"</formula>
    </cfRule>
  </conditionalFormatting>
  <conditionalFormatting sqref="E37">
    <cfRule type="cellIs" dxfId="110" priority="273" operator="equal">
      <formula>"CORRECT !"</formula>
    </cfRule>
  </conditionalFormatting>
  <conditionalFormatting sqref="E38">
    <cfRule type="cellIs" dxfId="109" priority="272" operator="equal">
      <formula>"CORRECT !"</formula>
    </cfRule>
  </conditionalFormatting>
  <conditionalFormatting sqref="E39">
    <cfRule type="cellIs" dxfId="108" priority="271" operator="equal">
      <formula>"CORRECT !"</formula>
    </cfRule>
  </conditionalFormatting>
  <conditionalFormatting sqref="E40">
    <cfRule type="cellIs" dxfId="107" priority="270" operator="equal">
      <formula>"CORRECT !"</formula>
    </cfRule>
  </conditionalFormatting>
  <conditionalFormatting sqref="E41">
    <cfRule type="cellIs" dxfId="106" priority="269" operator="equal">
      <formula>"CORRECT !"</formula>
    </cfRule>
  </conditionalFormatting>
  <conditionalFormatting sqref="L7">
    <cfRule type="expression" dxfId="105" priority="219">
      <formula>AND($M7&lt;&gt;"",$D7&lt;&gt;$L7)</formula>
    </cfRule>
    <cfRule type="expression" dxfId="104" priority="220">
      <formula>AND($M7="y",$D7=$L7)</formula>
    </cfRule>
  </conditionalFormatting>
  <conditionalFormatting sqref="N20">
    <cfRule type="cellIs" dxfId="103" priority="190" operator="equal">
      <formula>"CORRECT !"</formula>
    </cfRule>
  </conditionalFormatting>
  <conditionalFormatting sqref="H20">
    <cfRule type="cellIs" dxfId="102" priority="186" operator="equal">
      <formula>"CORRECT !"</formula>
    </cfRule>
  </conditionalFormatting>
  <conditionalFormatting sqref="K20">
    <cfRule type="cellIs" dxfId="101" priority="185" operator="equal">
      <formula>"CORRECT !"</formula>
    </cfRule>
  </conditionalFormatting>
  <conditionalFormatting sqref="I7">
    <cfRule type="expression" dxfId="100" priority="177">
      <formula>AND($J7&lt;&gt;"",$I7&lt;&gt;$D7)</formula>
    </cfRule>
    <cfRule type="expression" dxfId="99" priority="178">
      <formula>AND($J7="y",$D7=$I7)</formula>
    </cfRule>
  </conditionalFormatting>
  <conditionalFormatting sqref="L8">
    <cfRule type="expression" dxfId="98" priority="169">
      <formula>AND($M8="y",$D8&lt;&gt;$L8)</formula>
    </cfRule>
    <cfRule type="expression" dxfId="97" priority="170">
      <formula>AND($M8="y",$D8=$L8)</formula>
    </cfRule>
  </conditionalFormatting>
  <conditionalFormatting sqref="L9">
    <cfRule type="expression" dxfId="96" priority="99">
      <formula>AND($M9="y",$D9&lt;&gt;$L9)</formula>
    </cfRule>
    <cfRule type="expression" dxfId="95" priority="100">
      <formula>AND($M9="y",$D9=$L9)</formula>
    </cfRule>
  </conditionalFormatting>
  <conditionalFormatting sqref="L10">
    <cfRule type="expression" dxfId="94" priority="97">
      <formula>AND($M10="y",$D10&lt;&gt;$L10)</formula>
    </cfRule>
    <cfRule type="expression" dxfId="93" priority="98">
      <formula>AND($M10="y",$D10=$L10)</formula>
    </cfRule>
  </conditionalFormatting>
  <conditionalFormatting sqref="L11">
    <cfRule type="expression" dxfId="92" priority="95">
      <formula>AND($M11="y",$D11&lt;&gt;$L11)</formula>
    </cfRule>
    <cfRule type="expression" dxfId="91" priority="96">
      <formula>AND($M11="y",$D11=$L11)</formula>
    </cfRule>
  </conditionalFormatting>
  <conditionalFormatting sqref="L12">
    <cfRule type="expression" dxfId="90" priority="93">
      <formula>AND($M12="y",$D12&lt;&gt;$L12)</formula>
    </cfRule>
    <cfRule type="expression" dxfId="89" priority="94">
      <formula>AND($M12="y",$D12=$L12)</formula>
    </cfRule>
  </conditionalFormatting>
  <conditionalFormatting sqref="L13">
    <cfRule type="expression" dxfId="88" priority="91">
      <formula>AND($M13="y",$D13&lt;&gt;$L13)</formula>
    </cfRule>
    <cfRule type="expression" dxfId="87" priority="92">
      <formula>AND($M13="y",$D13=$L13)</formula>
    </cfRule>
  </conditionalFormatting>
  <conditionalFormatting sqref="L14">
    <cfRule type="expression" dxfId="86" priority="89">
      <formula>AND($M14="y",$D14&lt;&gt;$L14)</formula>
    </cfRule>
    <cfRule type="expression" dxfId="85" priority="90">
      <formula>AND($M14="y",$D14=$L14)</formula>
    </cfRule>
  </conditionalFormatting>
  <conditionalFormatting sqref="L15">
    <cfRule type="expression" dxfId="84" priority="87">
      <formula>AND($M15="y",$D15&lt;&gt;$L15)</formula>
    </cfRule>
    <cfRule type="expression" dxfId="83" priority="88">
      <formula>AND($M15="y",$D15=$L15)</formula>
    </cfRule>
  </conditionalFormatting>
  <conditionalFormatting sqref="L16">
    <cfRule type="expression" dxfId="82" priority="85">
      <formula>AND($M16="y",$D16&lt;&gt;$L16)</formula>
    </cfRule>
    <cfRule type="expression" dxfId="81" priority="86">
      <formula>AND($M16="y",$D16=$L16)</formula>
    </cfRule>
  </conditionalFormatting>
  <conditionalFormatting sqref="L17">
    <cfRule type="expression" dxfId="80" priority="83">
      <formula>AND($M17="y",$D17&lt;&gt;$L17)</formula>
    </cfRule>
    <cfRule type="expression" dxfId="79" priority="84">
      <formula>AND($M17="y",$D17=$L17)</formula>
    </cfRule>
  </conditionalFormatting>
  <conditionalFormatting sqref="L18">
    <cfRule type="expression" dxfId="78" priority="81">
      <formula>AND($M18="y",$D18&lt;&gt;$L18)</formula>
    </cfRule>
    <cfRule type="expression" dxfId="77" priority="82">
      <formula>AND($M18="y",$D18=$L18)</formula>
    </cfRule>
  </conditionalFormatting>
  <conditionalFormatting sqref="L19">
    <cfRule type="expression" dxfId="76" priority="79">
      <formula>AND($M19="y",$D19&lt;&gt;$L19)</formula>
    </cfRule>
    <cfRule type="expression" dxfId="75" priority="80">
      <formula>AND($M19="y",$D19=$L19)</formula>
    </cfRule>
  </conditionalFormatting>
  <conditionalFormatting sqref="L20">
    <cfRule type="expression" dxfId="74" priority="77">
      <formula>AND($M20="y",$D20&lt;&gt;$L20)</formula>
    </cfRule>
    <cfRule type="expression" dxfId="73" priority="78">
      <formula>AND($M20="y",$D20=$L20)</formula>
    </cfRule>
  </conditionalFormatting>
  <conditionalFormatting sqref="L21">
    <cfRule type="expression" dxfId="72" priority="75">
      <formula>AND($M21="y",$D21&lt;&gt;$L21)</formula>
    </cfRule>
    <cfRule type="expression" dxfId="71" priority="76">
      <formula>AND($M21="y",$D21=$L21)</formula>
    </cfRule>
  </conditionalFormatting>
  <conditionalFormatting sqref="F8">
    <cfRule type="expression" dxfId="70" priority="69">
      <formula>AND($G8&lt;&gt;"",$D8&lt;&gt;$F8)</formula>
    </cfRule>
    <cfRule type="expression" dxfId="69" priority="70">
      <formula>AND($G8="y",$D8=$F8)</formula>
    </cfRule>
  </conditionalFormatting>
  <conditionalFormatting sqref="I8">
    <cfRule type="expression" dxfId="68" priority="67">
      <formula>AND($J8&lt;&gt;"",$I8&lt;&gt;$D8)</formula>
    </cfRule>
    <cfRule type="expression" dxfId="67" priority="68">
      <formula>AND($J8="y",$D8=$I8)</formula>
    </cfRule>
  </conditionalFormatting>
  <conditionalFormatting sqref="F9">
    <cfRule type="expression" dxfId="66" priority="65">
      <formula>AND($G9&lt;&gt;"",$D9&lt;&gt;$F9)</formula>
    </cfRule>
    <cfRule type="expression" dxfId="65" priority="66">
      <formula>AND($G9="y",$D9=$F9)</formula>
    </cfRule>
  </conditionalFormatting>
  <conditionalFormatting sqref="F10">
    <cfRule type="expression" dxfId="64" priority="63">
      <formula>AND($G10&lt;&gt;"",$D10&lt;&gt;$F10)</formula>
    </cfRule>
    <cfRule type="expression" dxfId="63" priority="64">
      <formula>AND($G10="y",$D10=$F10)</formula>
    </cfRule>
  </conditionalFormatting>
  <conditionalFormatting sqref="F11">
    <cfRule type="expression" dxfId="62" priority="61">
      <formula>AND($G11&lt;&gt;"",$D11&lt;&gt;$F11)</formula>
    </cfRule>
    <cfRule type="expression" dxfId="61" priority="62">
      <formula>AND($G11="y",$D11=$F11)</formula>
    </cfRule>
  </conditionalFormatting>
  <conditionalFormatting sqref="F12">
    <cfRule type="expression" dxfId="60" priority="59">
      <formula>AND($G12&lt;&gt;"",$D12&lt;&gt;$F12)</formula>
    </cfRule>
    <cfRule type="expression" dxfId="59" priority="60">
      <formula>AND($G12="y",$D12=$F12)</formula>
    </cfRule>
  </conditionalFormatting>
  <conditionalFormatting sqref="F13">
    <cfRule type="expression" dxfId="58" priority="57">
      <formula>AND($G13&lt;&gt;"",$D13&lt;&gt;$F13)</formula>
    </cfRule>
    <cfRule type="expression" dxfId="57" priority="58">
      <formula>AND($G13="y",$D13=$F13)</formula>
    </cfRule>
  </conditionalFormatting>
  <conditionalFormatting sqref="F14">
    <cfRule type="expression" dxfId="56" priority="55">
      <formula>AND($G14&lt;&gt;"",$D14&lt;&gt;$F14)</formula>
    </cfRule>
    <cfRule type="expression" dxfId="55" priority="56">
      <formula>AND($G14="y",$D14=$F14)</formula>
    </cfRule>
  </conditionalFormatting>
  <conditionalFormatting sqref="F15">
    <cfRule type="expression" dxfId="54" priority="53">
      <formula>AND($G15&lt;&gt;"",$D15&lt;&gt;$F15)</formula>
    </cfRule>
    <cfRule type="expression" dxfId="53" priority="54">
      <formula>AND($G15="y",$D15=$F15)</formula>
    </cfRule>
  </conditionalFormatting>
  <conditionalFormatting sqref="F16">
    <cfRule type="expression" dxfId="52" priority="51">
      <formula>AND($G16&lt;&gt;"",$D16&lt;&gt;$F16)</formula>
    </cfRule>
    <cfRule type="expression" dxfId="51" priority="52">
      <formula>AND($G16="y",$D16=$F16)</formula>
    </cfRule>
  </conditionalFormatting>
  <conditionalFormatting sqref="F17">
    <cfRule type="expression" dxfId="50" priority="49">
      <formula>AND($G17&lt;&gt;"",$D17&lt;&gt;$F17)</formula>
    </cfRule>
    <cfRule type="expression" dxfId="49" priority="50">
      <formula>AND($G17="y",$D17=$F17)</formula>
    </cfRule>
  </conditionalFormatting>
  <conditionalFormatting sqref="F18">
    <cfRule type="expression" dxfId="48" priority="47">
      <formula>AND($G18&lt;&gt;"",$D18&lt;&gt;$F18)</formula>
    </cfRule>
    <cfRule type="expression" dxfId="47" priority="48">
      <formula>AND($G18="y",$D18=$F18)</formula>
    </cfRule>
  </conditionalFormatting>
  <conditionalFormatting sqref="F19">
    <cfRule type="expression" dxfId="46" priority="45">
      <formula>AND($G19&lt;&gt;"",$D19&lt;&gt;$F19)</formula>
    </cfRule>
    <cfRule type="expression" dxfId="45" priority="46">
      <formula>AND($G19="y",$D19=$F19)</formula>
    </cfRule>
  </conditionalFormatting>
  <conditionalFormatting sqref="F20">
    <cfRule type="expression" dxfId="44" priority="43">
      <formula>AND($G20&lt;&gt;"",$D20&lt;&gt;$F20)</formula>
    </cfRule>
    <cfRule type="expression" dxfId="43" priority="44">
      <formula>AND($G20="y",$D20=$F20)</formula>
    </cfRule>
  </conditionalFormatting>
  <conditionalFormatting sqref="F21">
    <cfRule type="expression" dxfId="42" priority="41">
      <formula>AND($G21&lt;&gt;"",$D21&lt;&gt;$F21)</formula>
    </cfRule>
    <cfRule type="expression" dxfId="41" priority="42">
      <formula>AND($G21="y",$D21=$F21)</formula>
    </cfRule>
  </conditionalFormatting>
  <conditionalFormatting sqref="I9">
    <cfRule type="expression" dxfId="40" priority="39">
      <formula>AND($J9&lt;&gt;"",$I9&lt;&gt;$D9)</formula>
    </cfRule>
    <cfRule type="expression" dxfId="39" priority="40">
      <formula>AND($J9="y",$D9=$I9)</formula>
    </cfRule>
  </conditionalFormatting>
  <conditionalFormatting sqref="I10">
    <cfRule type="expression" dxfId="38" priority="37">
      <formula>AND($J10&lt;&gt;"",$I10&lt;&gt;$D10)</formula>
    </cfRule>
    <cfRule type="expression" dxfId="37" priority="38">
      <formula>AND($J10="y",$D10=$I10)</formula>
    </cfRule>
  </conditionalFormatting>
  <conditionalFormatting sqref="I11">
    <cfRule type="expression" dxfId="36" priority="35">
      <formula>AND($J11&lt;&gt;"",$I11&lt;&gt;$D11)</formula>
    </cfRule>
    <cfRule type="expression" dxfId="35" priority="36">
      <formula>AND($J11="y",$D11=$I11)</formula>
    </cfRule>
  </conditionalFormatting>
  <conditionalFormatting sqref="I12">
    <cfRule type="expression" dxfId="34" priority="33">
      <formula>AND($J12&lt;&gt;"",$I12&lt;&gt;$D12)</formula>
    </cfRule>
    <cfRule type="expression" dxfId="33" priority="34">
      <formula>AND($J12="y",$D12=$I12)</formula>
    </cfRule>
  </conditionalFormatting>
  <conditionalFormatting sqref="I13">
    <cfRule type="expression" dxfId="32" priority="31">
      <formula>AND($J13&lt;&gt;"",$I13&lt;&gt;$D13)</formula>
    </cfRule>
    <cfRule type="expression" dxfId="31" priority="32">
      <formula>AND($J13="y",$D13=$I13)</formula>
    </cfRule>
  </conditionalFormatting>
  <conditionalFormatting sqref="I14">
    <cfRule type="expression" dxfId="30" priority="29">
      <formula>AND($J14&lt;&gt;"",$I14&lt;&gt;$D14)</formula>
    </cfRule>
    <cfRule type="expression" dxfId="29" priority="30">
      <formula>AND($J14="y",$D14=$I14)</formula>
    </cfRule>
  </conditionalFormatting>
  <conditionalFormatting sqref="I15">
    <cfRule type="expression" dxfId="28" priority="27">
      <formula>AND($J15&lt;&gt;"",$I15&lt;&gt;$D15)</formula>
    </cfRule>
    <cfRule type="expression" dxfId="27" priority="28">
      <formula>AND($J15="y",$D15=$I15)</formula>
    </cfRule>
  </conditionalFormatting>
  <conditionalFormatting sqref="I16">
    <cfRule type="expression" dxfId="26" priority="25">
      <formula>AND($J16&lt;&gt;"",$I16&lt;&gt;$D16)</formula>
    </cfRule>
    <cfRule type="expression" dxfId="25" priority="26">
      <formula>AND($J16="y",$D16=$I16)</formula>
    </cfRule>
  </conditionalFormatting>
  <conditionalFormatting sqref="I17">
    <cfRule type="expression" dxfId="24" priority="23">
      <formula>AND($J17&lt;&gt;"",$I17&lt;&gt;$D17)</formula>
    </cfRule>
    <cfRule type="expression" dxfId="23" priority="24">
      <formula>AND($J17="y",$D17=$I17)</formula>
    </cfRule>
  </conditionalFormatting>
  <conditionalFormatting sqref="I18">
    <cfRule type="expression" dxfId="22" priority="21">
      <formula>AND($J18&lt;&gt;"",$I18&lt;&gt;$D18)</formula>
    </cfRule>
    <cfRule type="expression" dxfId="21" priority="22">
      <formula>AND($J18="y",$D18=$I18)</formula>
    </cfRule>
  </conditionalFormatting>
  <conditionalFormatting sqref="I19">
    <cfRule type="expression" dxfId="20" priority="19">
      <formula>AND($J19&lt;&gt;"",$I19&lt;&gt;$D19)</formula>
    </cfRule>
    <cfRule type="expression" dxfId="19" priority="20">
      <formula>AND($J19="y",$D19=$I19)</formula>
    </cfRule>
  </conditionalFormatting>
  <conditionalFormatting sqref="I20">
    <cfRule type="expression" dxfId="18" priority="17">
      <formula>AND($J20&lt;&gt;"",$I20&lt;&gt;$D20)</formula>
    </cfRule>
    <cfRule type="expression" dxfId="17" priority="18">
      <formula>AND($J20="y",$D20=$I20)</formula>
    </cfRule>
  </conditionalFormatting>
  <conditionalFormatting sqref="I21">
    <cfRule type="expression" dxfId="16" priority="15">
      <formula>AND($J21&lt;&gt;"",$I21&lt;&gt;$D21)</formula>
    </cfRule>
    <cfRule type="expression" dxfId="15" priority="16">
      <formula>AND($J21="y",$D21=$I21)</formula>
    </cfRule>
  </conditionalFormatting>
  <conditionalFormatting sqref="D7">
    <cfRule type="expression" dxfId="14" priority="701">
      <formula>$A$3&lt;&gt;""</formula>
    </cfRule>
  </conditionalFormatting>
  <conditionalFormatting sqref="D8">
    <cfRule type="expression" dxfId="13" priority="14">
      <formula>$A$3&lt;&gt;""</formula>
    </cfRule>
  </conditionalFormatting>
  <conditionalFormatting sqref="D9">
    <cfRule type="expression" dxfId="12" priority="13">
      <formula>$A$3&lt;&gt;""</formula>
    </cfRule>
  </conditionalFormatting>
  <conditionalFormatting sqref="D10">
    <cfRule type="expression" dxfId="11" priority="12">
      <formula>$A$3&lt;&gt;""</formula>
    </cfRule>
  </conditionalFormatting>
  <conditionalFormatting sqref="D11">
    <cfRule type="expression" dxfId="10" priority="11">
      <formula>$A$3&lt;&gt;""</formula>
    </cfRule>
  </conditionalFormatting>
  <conditionalFormatting sqref="D12">
    <cfRule type="expression" dxfId="9" priority="10">
      <formula>$A$3&lt;&gt;""</formula>
    </cfRule>
  </conditionalFormatting>
  <conditionalFormatting sqref="D13">
    <cfRule type="expression" dxfId="8" priority="9">
      <formula>$A$3&lt;&gt;""</formula>
    </cfRule>
  </conditionalFormatting>
  <conditionalFormatting sqref="D14">
    <cfRule type="expression" dxfId="7" priority="8">
      <formula>$A$3&lt;&gt;""</formula>
    </cfRule>
  </conditionalFormatting>
  <conditionalFormatting sqref="D15">
    <cfRule type="expression" dxfId="6" priority="7">
      <formula>$A$3&lt;&gt;""</formula>
    </cfRule>
  </conditionalFormatting>
  <conditionalFormatting sqref="D16">
    <cfRule type="expression" dxfId="5" priority="6">
      <formula>$A$3&lt;&gt;""</formula>
    </cfRule>
  </conditionalFormatting>
  <conditionalFormatting sqref="D17">
    <cfRule type="expression" dxfId="4" priority="5">
      <formula>$A$3&lt;&gt;""</formula>
    </cfRule>
  </conditionalFormatting>
  <conditionalFormatting sqref="D18">
    <cfRule type="expression" dxfId="3" priority="4">
      <formula>$A$3&lt;&gt;""</formula>
    </cfRule>
  </conditionalFormatting>
  <conditionalFormatting sqref="D19">
    <cfRule type="expression" dxfId="2" priority="3">
      <formula>$A$3&lt;&gt;""</formula>
    </cfRule>
  </conditionalFormatting>
  <conditionalFormatting sqref="D20">
    <cfRule type="expression" dxfId="1" priority="2">
      <formula>$A$3&lt;&gt;""</formula>
    </cfRule>
  </conditionalFormatting>
  <conditionalFormatting sqref="D21">
    <cfRule type="expression" dxfId="0" priority="1">
      <formula>$A$3&lt;&gt;""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"/>
  <sheetViews>
    <sheetView tabSelected="1" workbookViewId="0">
      <selection activeCell="F17" sqref="F17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BGMD fillin</vt:lpstr>
      <vt:lpstr>BGMD 3-choice</vt:lpstr>
      <vt:lpstr>BGMDmaster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2019-08-13T02:48:20Z</dcterms:modified>
  <cp:category/>
  <cp:contentStatus/>
</cp:coreProperties>
</file>