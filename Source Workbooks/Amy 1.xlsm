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231" codeName="{22E68647-3C60-695B-3CA0-4895CD717B8A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40001_{295A9141-504F-49E4-AD9C-E50CA330FCD6}" xr6:coauthVersionLast="40" xr6:coauthVersionMax="40" xr10:uidLastSave="{00000000-0000-0000-0000-000000000000}"/>
  <bookViews>
    <workbookView xWindow="-108" yWindow="-108" windowWidth="23256" windowHeight="12576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" i="1" l="1"/>
  <c r="P14" i="1"/>
  <c r="P13" i="1"/>
  <c r="P12" i="1"/>
  <c r="P11" i="1"/>
  <c r="K8" i="1"/>
  <c r="H7" i="1"/>
  <c r="L6" i="1"/>
  <c r="J5" i="1"/>
  <c r="M4" i="1"/>
  <c r="K3" i="1"/>
  <c r="P10" i="1"/>
  <c r="Q10" i="1" s="1"/>
  <c r="E15" i="1"/>
  <c r="E14" i="1"/>
  <c r="E13" i="1"/>
  <c r="E12" i="1"/>
  <c r="E11" i="1"/>
  <c r="E10" i="1"/>
</calcChain>
</file>

<file path=xl/sharedStrings.xml><?xml version="1.0" encoding="utf-8"?>
<sst xmlns="http://schemas.openxmlformats.org/spreadsheetml/2006/main" count="33" uniqueCount="24">
  <si>
    <t>bed</t>
  </si>
  <si>
    <t>dishes</t>
  </si>
  <si>
    <t xml:space="preserve">homework </t>
  </si>
  <si>
    <t>laundry</t>
  </si>
  <si>
    <t>lunch</t>
  </si>
  <si>
    <t>washing the</t>
  </si>
  <si>
    <t xml:space="preserve">doing  </t>
  </si>
  <si>
    <t>making</t>
  </si>
  <si>
    <t>doing the</t>
  </si>
  <si>
    <t>making the</t>
  </si>
  <si>
    <t>drying the</t>
  </si>
  <si>
    <t>d</t>
  </si>
  <si>
    <t>i</t>
  </si>
  <si>
    <t>s</t>
  </si>
  <si>
    <t>h</t>
  </si>
  <si>
    <t>e</t>
  </si>
  <si>
    <t>o</t>
  </si>
  <si>
    <t>m</t>
  </si>
  <si>
    <t>washing the dishes</t>
  </si>
  <si>
    <t>making lunch</t>
  </si>
  <si>
    <t>doing homework</t>
  </si>
  <si>
    <t>We say:</t>
  </si>
  <si>
    <t>Using the words:</t>
  </si>
  <si>
    <t>Type words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</si>
</sst>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theme="1"/>
      <name val="Times New Roman"/>
      <family val="1"/>
    </font>
    <font>
      <sz val="22"/>
      <color theme="1"/>
      <name val="Comic Sans MS"/>
      <family val="4"/>
    </font>
    <font>
      <i/>
      <sz val="22"/>
      <color theme="1"/>
      <name val="Comic Sans MS"/>
      <family val="4"/>
    </font>
    <font>
      <i/>
      <sz val="22"/>
      <color theme="1"/>
      <name val="Times New Roman"/>
      <family val="1"/>
    </font>
    <font>
      <sz val="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4" fillId="2" borderId="1" xfId="0" applyFont="1" applyFill="1" applyBorder="1" applyProtection="1">
      <protection locked="0"/>
    </xf>
    <xf numFmtId="0" fontId="0" fillId="0" borderId="0" xfId="0" applyProtection="1"/>
    <xf numFmtId="0" fontId="3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0" fillId="0" borderId="0" xfId="0" applyBorder="1" applyProtection="1"/>
    <xf numFmtId="0" fontId="2" fillId="0" borderId="3" xfId="0" applyFont="1" applyBorder="1" applyAlignment="1" applyProtection="1">
      <alignment horizontal="center"/>
    </xf>
    <xf numFmtId="0" fontId="2" fillId="0" borderId="4" xfId="0" applyFont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0" fillId="3" borderId="2" xfId="0" applyFill="1" applyBorder="1" applyProtection="1"/>
    <xf numFmtId="0" fontId="1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5" fillId="0" borderId="0" xfId="0" applyFont="1" applyProtection="1"/>
    <xf numFmtId="0" fontId="6" fillId="0" borderId="0" xfId="0" applyFont="1" applyAlignment="1" applyProtection="1">
      <alignment horizontal="left"/>
    </xf>
    <xf numFmtId="0" fontId="2" fillId="3" borderId="0" xfId="0" applyFont="1" applyFill="1" applyProtection="1"/>
    <xf numFmtId="0" fontId="3" fillId="3" borderId="0" xfId="0" applyFont="1" applyFill="1" applyProtection="1"/>
    <xf numFmtId="0" fontId="0" fillId="3" borderId="0" xfId="0" applyFill="1" applyProtection="1"/>
  </cellXfs>
  <cellStyles count="1">
    <cellStyle name="Normal" xfId="0" builtinId="0"/>
  </cellStyles>
  <dxfs count="38"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7"/>
  <sheetViews>
    <sheetView showGridLines="0" tabSelected="1" workbookViewId="0">
      <selection activeCell="G4" sqref="G4"/>
    </sheetView>
  </sheetViews>
  <sheetFormatPr defaultRowHeight="34.200000000000003" x14ac:dyDescent="0.8"/>
  <cols>
    <col min="2" max="2" width="14.33203125" customWidth="1"/>
    <col min="3" max="3" width="19" customWidth="1"/>
    <col min="4" max="4" width="21.44140625" customWidth="1"/>
    <col min="5" max="5" width="4.33203125" customWidth="1"/>
    <col min="6" max="13" width="4.33203125" style="1" customWidth="1"/>
    <col min="14" max="14" width="3.88671875" customWidth="1"/>
    <col min="15" max="15" width="6.88671875" customWidth="1"/>
    <col min="16" max="16" width="20.6640625" customWidth="1"/>
  </cols>
  <sheetData>
    <row r="1" spans="1:27" x14ac:dyDescent="0.8">
      <c r="A1" s="3"/>
      <c r="B1" s="3"/>
      <c r="C1" s="5"/>
      <c r="D1" s="3"/>
      <c r="F1" s="4"/>
      <c r="G1" s="4"/>
      <c r="H1" s="4"/>
      <c r="I1" s="4"/>
      <c r="J1" s="4"/>
      <c r="K1" s="4"/>
      <c r="L1" s="4"/>
      <c r="M1" s="4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ht="34.799999999999997" thickBot="1" x14ac:dyDescent="0.85">
      <c r="A2" s="3"/>
      <c r="B2" s="15" t="s">
        <v>22</v>
      </c>
      <c r="D2" s="5"/>
      <c r="E2" s="16" t="s">
        <v>23</v>
      </c>
      <c r="F2" s="4"/>
      <c r="G2" s="4"/>
      <c r="H2" s="4"/>
      <c r="I2" s="4"/>
      <c r="J2" s="4"/>
      <c r="K2" s="4"/>
      <c r="L2" s="4"/>
      <c r="M2" s="4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34.799999999999997" thickTop="1" x14ac:dyDescent="0.8">
      <c r="A3" s="3"/>
      <c r="B3" s="3"/>
      <c r="C3" s="9" t="s">
        <v>0</v>
      </c>
      <c r="D3" s="6" t="s">
        <v>5</v>
      </c>
      <c r="E3" s="2" t="s">
        <v>11</v>
      </c>
      <c r="F3" s="2" t="s">
        <v>12</v>
      </c>
      <c r="G3" s="2" t="s">
        <v>13</v>
      </c>
      <c r="H3" s="2" t="s">
        <v>14</v>
      </c>
      <c r="I3" s="2" t="s">
        <v>15</v>
      </c>
      <c r="J3" s="2" t="s">
        <v>13</v>
      </c>
      <c r="K3" s="17" t="str">
        <f>IF(TRIM($C$4)=CONCATENATE(E3,F3,G3,H3,I3,J3),"YES","")</f>
        <v>YES</v>
      </c>
      <c r="L3" s="4"/>
      <c r="M3" s="3"/>
      <c r="N3" s="3"/>
      <c r="O3" s="8"/>
      <c r="Q3" s="8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x14ac:dyDescent="0.8">
      <c r="A4" s="3"/>
      <c r="C4" s="10" t="s">
        <v>1</v>
      </c>
      <c r="D4" s="6" t="s">
        <v>6</v>
      </c>
      <c r="E4" s="2" t="s">
        <v>14</v>
      </c>
      <c r="F4" s="2" t="s">
        <v>16</v>
      </c>
      <c r="G4" s="2" t="s">
        <v>17</v>
      </c>
      <c r="H4" s="2"/>
      <c r="I4" s="2"/>
      <c r="J4" s="2"/>
      <c r="K4" s="2"/>
      <c r="L4" s="2"/>
      <c r="M4" s="7" t="str">
        <f>IF(TRIM($C5)=CONCATENATE(E4,F4,G4,H4,I4,J4,K4,L4),"YES","")</f>
        <v/>
      </c>
      <c r="N4" s="3"/>
      <c r="O4" s="8"/>
      <c r="Q4" s="8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8">
      <c r="A5" s="3"/>
      <c r="C5" s="10" t="s">
        <v>2</v>
      </c>
      <c r="D5" s="6" t="s">
        <v>7</v>
      </c>
      <c r="E5" s="2"/>
      <c r="F5" s="2"/>
      <c r="G5" s="2"/>
      <c r="H5" s="2"/>
      <c r="I5" s="2"/>
      <c r="J5" s="7" t="str">
        <f>IF(TRIM($C7)=CONCATENATE(E5,F5,G5,H5,I5),"YES","")</f>
        <v/>
      </c>
      <c r="K5" s="4"/>
      <c r="L5" s="4"/>
      <c r="M5" s="3"/>
      <c r="N5" s="3"/>
      <c r="O5" s="8"/>
      <c r="Q5" s="8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x14ac:dyDescent="0.8">
      <c r="A6" s="3"/>
      <c r="B6" s="3"/>
      <c r="C6" s="10" t="s">
        <v>3</v>
      </c>
      <c r="D6" s="6" t="s">
        <v>8</v>
      </c>
      <c r="E6" s="2"/>
      <c r="F6" s="2"/>
      <c r="G6" s="2"/>
      <c r="H6" s="2"/>
      <c r="I6" s="2"/>
      <c r="J6" s="2"/>
      <c r="K6" s="2"/>
      <c r="L6" s="7" t="str">
        <f>IF(TRIM($C6)=CONCATENATE(E6,F6,G6,H6,I6,J6,K6),"YES","")</f>
        <v/>
      </c>
      <c r="M6" s="3"/>
      <c r="N6" s="3"/>
      <c r="O6" s="8"/>
      <c r="Q6" s="8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ht="34.799999999999997" thickBot="1" x14ac:dyDescent="0.85">
      <c r="A7" s="3"/>
      <c r="B7" s="3"/>
      <c r="C7" s="11" t="s">
        <v>4</v>
      </c>
      <c r="D7" s="6" t="s">
        <v>9</v>
      </c>
      <c r="E7" s="2"/>
      <c r="F7" s="2"/>
      <c r="G7" s="2"/>
      <c r="H7" s="7" t="str">
        <f>IF(TRIM($C3)=CONCATENATE(E7,F7,G7),"YES","")</f>
        <v/>
      </c>
      <c r="I7" s="4"/>
      <c r="J7" s="4"/>
      <c r="K7" s="4"/>
      <c r="L7" s="4"/>
      <c r="M7" s="3"/>
      <c r="N7" s="3"/>
      <c r="O7" s="8"/>
      <c r="Q7" s="8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ht="34.799999999999997" thickTop="1" x14ac:dyDescent="0.8">
      <c r="A8" s="3"/>
      <c r="D8" s="6" t="s">
        <v>10</v>
      </c>
      <c r="E8" s="2"/>
      <c r="F8" s="2"/>
      <c r="G8" s="2"/>
      <c r="H8" s="2"/>
      <c r="I8" s="2"/>
      <c r="J8" s="2"/>
      <c r="K8" s="7" t="str">
        <f>IF(TRIM($C4)=CONCATENATE(E8,F8,G8,H8,I8,J8),"YES","")</f>
        <v/>
      </c>
      <c r="L8" s="4"/>
      <c r="M8" s="3"/>
      <c r="N8" s="3"/>
      <c r="O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x14ac:dyDescent="0.8">
      <c r="A9" s="3"/>
      <c r="B9" s="3"/>
      <c r="C9" s="5"/>
      <c r="D9" s="5"/>
      <c r="E9" s="5"/>
      <c r="F9" s="4"/>
      <c r="G9" s="4"/>
      <c r="H9" s="4"/>
      <c r="I9" s="4"/>
      <c r="J9" s="4"/>
      <c r="K9" s="4"/>
      <c r="L9" s="4"/>
      <c r="M9" s="4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x14ac:dyDescent="0.8">
      <c r="A10" s="12">
        <v>1</v>
      </c>
      <c r="B10" s="5" t="s">
        <v>21</v>
      </c>
      <c r="C10" s="2" t="s">
        <v>18</v>
      </c>
      <c r="D10" s="13"/>
      <c r="E10" s="14" t="str">
        <f>IF($C10&gt;"",IF(C10=TRIM("washing the dishes"),"YES","NO"),"")</f>
        <v>YES</v>
      </c>
      <c r="F10" s="4"/>
      <c r="G10" s="2" t="s">
        <v>18</v>
      </c>
      <c r="H10" s="18"/>
      <c r="I10" s="19"/>
      <c r="J10" s="19"/>
      <c r="K10" s="19"/>
      <c r="L10" s="19"/>
      <c r="M10" s="20"/>
      <c r="N10" s="20"/>
      <c r="O10" s="20"/>
      <c r="P10" s="7" t="str">
        <f>IF($G10&gt;"",IF(TRIM(C10)=TRIM(G10),"GOOD","try again"),"")</f>
        <v>GOOD</v>
      </c>
      <c r="Q10" s="3">
        <f>IF(P10="GOOD",1,0)</f>
        <v>1</v>
      </c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x14ac:dyDescent="0.8">
      <c r="A11" s="12">
        <v>2</v>
      </c>
      <c r="B11" s="5" t="s">
        <v>21</v>
      </c>
      <c r="C11" s="2" t="s">
        <v>19</v>
      </c>
      <c r="D11" s="13"/>
      <c r="E11" s="14" t="str">
        <f>IF($C11&gt;"",IF(C11=TRIM("making lunch"),"YES","NO"),"")</f>
        <v>YES</v>
      </c>
      <c r="F11" s="4"/>
      <c r="G11" s="2"/>
      <c r="H11" s="18"/>
      <c r="I11" s="19"/>
      <c r="J11" s="19"/>
      <c r="K11" s="19"/>
      <c r="L11" s="19"/>
      <c r="M11" s="20"/>
      <c r="N11" s="20"/>
      <c r="O11" s="20"/>
      <c r="P11" s="7" t="str">
        <f>IF($G11&lt;&gt;"",IF(TRIM(C11)=TRIM(G11),"GOOD","try again"),"")</f>
        <v/>
      </c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x14ac:dyDescent="0.8">
      <c r="A12" s="12">
        <v>3</v>
      </c>
      <c r="B12" s="5" t="s">
        <v>21</v>
      </c>
      <c r="C12" s="2" t="s">
        <v>20</v>
      </c>
      <c r="D12" s="13"/>
      <c r="E12" s="14" t="str">
        <f>IF($C12&gt;"",IF(C12=TRIM("doing homework"),"YES","NO"),"")</f>
        <v>YES</v>
      </c>
      <c r="F12" s="4"/>
      <c r="G12" s="2" t="s">
        <v>20</v>
      </c>
      <c r="H12" s="18"/>
      <c r="I12" s="19"/>
      <c r="J12" s="19"/>
      <c r="K12" s="19"/>
      <c r="L12" s="19"/>
      <c r="M12" s="20"/>
      <c r="N12" s="20"/>
      <c r="O12" s="20"/>
      <c r="P12" s="7" t="str">
        <f t="shared" ref="P12:P15" si="0">IF($G12&lt;&gt;"",IF(TRIM(C12)=TRIM(G12),"GOOD","try again"),"")</f>
        <v>GOOD</v>
      </c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x14ac:dyDescent="0.8">
      <c r="A13" s="12">
        <v>4</v>
      </c>
      <c r="B13" s="5" t="s">
        <v>21</v>
      </c>
      <c r="C13" s="2"/>
      <c r="D13" s="13"/>
      <c r="E13" s="14" t="str">
        <f>IF($C13&gt;"",IF(C13=TRIM("drying the dishes"),"YES","NO"),"")</f>
        <v/>
      </c>
      <c r="F13" s="4"/>
      <c r="G13" s="2"/>
      <c r="H13" s="18"/>
      <c r="I13" s="19"/>
      <c r="J13" s="19"/>
      <c r="K13" s="19"/>
      <c r="L13" s="19"/>
      <c r="M13" s="20"/>
      <c r="N13" s="20"/>
      <c r="O13" s="20"/>
      <c r="P13" s="7" t="str">
        <f t="shared" si="0"/>
        <v/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x14ac:dyDescent="0.8">
      <c r="A14" s="12">
        <v>5</v>
      </c>
      <c r="B14" s="5" t="s">
        <v>21</v>
      </c>
      <c r="C14" s="2"/>
      <c r="D14" s="13"/>
      <c r="E14" s="14" t="str">
        <f>IF($C14&gt;"",IF(C14=TRIM("making the bed"),"YES","NO"),"")</f>
        <v/>
      </c>
      <c r="F14" s="4"/>
      <c r="G14" s="2"/>
      <c r="H14" s="18"/>
      <c r="I14" s="19"/>
      <c r="J14" s="19"/>
      <c r="K14" s="19"/>
      <c r="L14" s="19"/>
      <c r="M14" s="20"/>
      <c r="N14" s="20"/>
      <c r="O14" s="20"/>
      <c r="P14" s="7" t="str">
        <f t="shared" si="0"/>
        <v/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x14ac:dyDescent="0.8">
      <c r="A15" s="12">
        <v>6</v>
      </c>
      <c r="B15" s="5" t="s">
        <v>21</v>
      </c>
      <c r="C15" s="2"/>
      <c r="D15" s="13"/>
      <c r="E15" s="14" t="str">
        <f>IF($C15&gt;"",IF(C15=TRIM("doing the laundry"),"YES","NO"),"")</f>
        <v/>
      </c>
      <c r="F15" s="4"/>
      <c r="G15" s="2"/>
      <c r="H15" s="18"/>
      <c r="I15" s="19"/>
      <c r="J15" s="19"/>
      <c r="K15" s="19"/>
      <c r="L15" s="19"/>
      <c r="M15" s="20"/>
      <c r="N15" s="20"/>
      <c r="O15" s="20"/>
      <c r="P15" s="7" t="str">
        <f t="shared" si="0"/>
        <v/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x14ac:dyDescent="0.8">
      <c r="A16" s="3"/>
      <c r="B16" s="3"/>
      <c r="C16" s="3"/>
      <c r="D16" s="3"/>
      <c r="E16" s="3"/>
      <c r="F16" s="4"/>
      <c r="G16" s="4"/>
      <c r="H16" s="4"/>
      <c r="I16" s="4"/>
      <c r="J16" s="4"/>
      <c r="K16" s="4"/>
      <c r="L16" s="4"/>
      <c r="M16" s="4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x14ac:dyDescent="0.8">
      <c r="A17" s="3"/>
      <c r="B17" s="3"/>
      <c r="C17" s="3"/>
      <c r="D17" s="3"/>
      <c r="E17" s="3"/>
      <c r="F17" s="4"/>
      <c r="G17" s="4"/>
      <c r="H17" s="4"/>
      <c r="I17" s="4"/>
      <c r="J17" s="4"/>
      <c r="K17" s="4"/>
      <c r="L17" s="4"/>
      <c r="M17" s="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x14ac:dyDescent="0.8">
      <c r="A18" s="3"/>
      <c r="B18" s="3"/>
      <c r="C18" s="3"/>
      <c r="D18" s="3"/>
      <c r="E18" s="3"/>
      <c r="F18" s="4"/>
      <c r="G18" s="4"/>
      <c r="H18" s="4"/>
      <c r="I18" s="4"/>
      <c r="J18" s="4"/>
      <c r="K18" s="4"/>
      <c r="L18" s="4"/>
      <c r="M18" s="4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x14ac:dyDescent="0.8">
      <c r="A19" s="3"/>
      <c r="B19" s="3"/>
      <c r="C19" s="3"/>
      <c r="D19" s="3"/>
      <c r="E19" s="3"/>
      <c r="F19" s="4"/>
      <c r="G19" s="4"/>
      <c r="H19" s="4"/>
      <c r="I19" s="4"/>
      <c r="J19" s="4"/>
      <c r="K19" s="4"/>
      <c r="L19" s="4"/>
      <c r="M19" s="4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x14ac:dyDescent="0.8">
      <c r="A20" s="3"/>
      <c r="B20" s="3"/>
      <c r="C20" s="3"/>
      <c r="D20" s="3"/>
      <c r="E20" s="3"/>
      <c r="F20" s="4"/>
      <c r="G20" s="4"/>
      <c r="H20" s="4"/>
      <c r="I20" s="4"/>
      <c r="J20" s="4"/>
      <c r="K20" s="4"/>
      <c r="L20" s="4"/>
      <c r="M20" s="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x14ac:dyDescent="0.8">
      <c r="A21" s="3"/>
      <c r="B21" s="3"/>
      <c r="C21" s="3"/>
      <c r="D21" s="3"/>
      <c r="E21" s="3"/>
      <c r="F21" s="4"/>
      <c r="G21" s="4"/>
      <c r="H21" s="4"/>
      <c r="I21" s="4"/>
      <c r="J21" s="4"/>
      <c r="K21" s="4"/>
      <c r="L21" s="4"/>
      <c r="M21" s="4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x14ac:dyDescent="0.8">
      <c r="A22" s="3"/>
      <c r="B22" s="3"/>
      <c r="C22" s="3"/>
      <c r="D22" s="3"/>
      <c r="E22" s="3"/>
      <c r="F22" s="4"/>
      <c r="G22" s="4"/>
      <c r="H22" s="4"/>
      <c r="I22" s="4"/>
      <c r="J22" s="4"/>
      <c r="K22" s="4"/>
      <c r="L22" s="4"/>
      <c r="M22" s="4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x14ac:dyDescent="0.8">
      <c r="A23" s="3"/>
      <c r="B23" s="3"/>
      <c r="C23" s="3"/>
      <c r="D23" s="3"/>
      <c r="E23" s="3"/>
      <c r="F23" s="4"/>
      <c r="G23" s="4"/>
      <c r="H23" s="4"/>
      <c r="I23" s="4"/>
      <c r="J23" s="4"/>
      <c r="K23" s="4"/>
      <c r="L23" s="4"/>
      <c r="M23" s="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x14ac:dyDescent="0.8">
      <c r="A24" s="3"/>
      <c r="B24" s="3"/>
      <c r="C24" s="3"/>
      <c r="D24" s="3"/>
      <c r="E24" s="3"/>
      <c r="F24" s="4"/>
      <c r="G24" s="4"/>
      <c r="H24" s="4"/>
      <c r="I24" s="4"/>
      <c r="J24" s="4"/>
      <c r="K24" s="4"/>
      <c r="L24" s="4"/>
      <c r="M24" s="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x14ac:dyDescent="0.8">
      <c r="A25" s="3"/>
      <c r="B25" s="3"/>
      <c r="C25" s="3"/>
      <c r="D25" s="3"/>
      <c r="E25" s="3"/>
      <c r="F25" s="4"/>
      <c r="G25" s="4"/>
      <c r="H25" s="4"/>
      <c r="I25" s="4"/>
      <c r="J25" s="4"/>
      <c r="K25" s="4"/>
      <c r="L25" s="4"/>
      <c r="M25" s="4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x14ac:dyDescent="0.8">
      <c r="A26" s="3"/>
      <c r="B26" s="3"/>
      <c r="C26" s="3"/>
      <c r="D26" s="3"/>
      <c r="E26" s="3"/>
      <c r="F26" s="4"/>
      <c r="G26" s="4"/>
      <c r="H26" s="4"/>
      <c r="I26" s="4"/>
      <c r="J26" s="4"/>
      <c r="K26" s="4"/>
      <c r="L26" s="4"/>
      <c r="M26" s="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x14ac:dyDescent="0.8">
      <c r="A27" s="3"/>
      <c r="B27" s="3"/>
      <c r="C27" s="3"/>
      <c r="D27" s="3"/>
      <c r="E27" s="3"/>
      <c r="F27" s="4"/>
      <c r="G27" s="4"/>
      <c r="H27" s="4"/>
      <c r="I27" s="4"/>
      <c r="J27" s="4"/>
      <c r="K27" s="4"/>
      <c r="L27" s="4"/>
      <c r="M27" s="4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</row>
    <row r="28" spans="1:27" x14ac:dyDescent="0.8">
      <c r="A28" s="3"/>
      <c r="B28" s="3"/>
      <c r="C28" s="3"/>
      <c r="D28" s="3"/>
      <c r="E28" s="3"/>
      <c r="F28" s="4"/>
      <c r="G28" s="4"/>
      <c r="H28" s="4"/>
      <c r="I28" s="4"/>
      <c r="J28" s="4"/>
      <c r="K28" s="4"/>
      <c r="L28" s="4"/>
      <c r="M28" s="4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</row>
    <row r="29" spans="1:27" x14ac:dyDescent="0.8">
      <c r="A29" s="3"/>
      <c r="B29" s="3"/>
      <c r="C29" s="3"/>
      <c r="D29" s="3"/>
      <c r="E29" s="3"/>
      <c r="F29" s="4"/>
      <c r="G29" s="4"/>
      <c r="H29" s="4"/>
      <c r="I29" s="4"/>
      <c r="J29" s="4"/>
      <c r="K29" s="4"/>
      <c r="L29" s="4"/>
      <c r="M29" s="4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</row>
    <row r="30" spans="1:27" x14ac:dyDescent="0.8">
      <c r="A30" s="3"/>
      <c r="B30" s="3"/>
      <c r="C30" s="3"/>
      <c r="D30" s="3"/>
      <c r="E30" s="3"/>
      <c r="F30" s="4"/>
      <c r="G30" s="4"/>
      <c r="H30" s="4"/>
      <c r="I30" s="4"/>
      <c r="J30" s="4"/>
      <c r="K30" s="4"/>
      <c r="L30" s="4"/>
      <c r="M30" s="4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</row>
    <row r="31" spans="1:27" x14ac:dyDescent="0.8">
      <c r="A31" s="3"/>
      <c r="B31" s="3"/>
      <c r="C31" s="3"/>
      <c r="D31" s="3"/>
      <c r="E31" s="3"/>
      <c r="F31" s="4"/>
      <c r="G31" s="4"/>
      <c r="H31" s="4"/>
      <c r="I31" s="4"/>
      <c r="J31" s="4"/>
      <c r="K31" s="4"/>
      <c r="L31" s="4"/>
      <c r="M31" s="4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7" x14ac:dyDescent="0.8">
      <c r="A32" s="3"/>
      <c r="B32" s="3"/>
      <c r="C32" s="3"/>
      <c r="D32" s="3"/>
      <c r="E32" s="3"/>
      <c r="F32" s="4"/>
      <c r="G32" s="4"/>
      <c r="H32" s="4"/>
      <c r="I32" s="4"/>
      <c r="J32" s="4"/>
      <c r="K32" s="4"/>
      <c r="L32" s="4"/>
      <c r="M32" s="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x14ac:dyDescent="0.8">
      <c r="A33" s="3"/>
      <c r="B33" s="3"/>
      <c r="C33" s="3"/>
      <c r="D33" s="3"/>
      <c r="E33" s="3"/>
      <c r="F33" s="4"/>
      <c r="G33" s="4"/>
      <c r="H33" s="4"/>
      <c r="I33" s="4"/>
      <c r="J33" s="4"/>
      <c r="K33" s="4"/>
      <c r="L33" s="4"/>
      <c r="M33" s="4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x14ac:dyDescent="0.8">
      <c r="A34" s="3"/>
      <c r="B34" s="3"/>
      <c r="C34" s="3"/>
      <c r="D34" s="3"/>
      <c r="E34" s="3"/>
      <c r="F34" s="4"/>
      <c r="G34" s="4"/>
      <c r="H34" s="4"/>
      <c r="I34" s="4"/>
      <c r="J34" s="4"/>
      <c r="K34" s="4"/>
      <c r="L34" s="4"/>
      <c r="M34" s="4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x14ac:dyDescent="0.8">
      <c r="A35" s="3"/>
      <c r="B35" s="3"/>
      <c r="C35" s="3"/>
      <c r="D35" s="3"/>
      <c r="E35" s="3"/>
      <c r="F35" s="4"/>
      <c r="G35" s="4"/>
      <c r="H35" s="4"/>
      <c r="I35" s="4"/>
      <c r="J35" s="4"/>
      <c r="K35" s="4"/>
      <c r="L35" s="4"/>
      <c r="M35" s="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x14ac:dyDescent="0.8">
      <c r="A36" s="3"/>
      <c r="B36" s="3"/>
      <c r="C36" s="3"/>
      <c r="D36" s="3"/>
      <c r="E36" s="3"/>
      <c r="F36" s="4"/>
      <c r="G36" s="4"/>
      <c r="H36" s="4"/>
      <c r="I36" s="4"/>
      <c r="J36" s="4"/>
      <c r="K36" s="4"/>
      <c r="L36" s="4"/>
      <c r="M36" s="4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x14ac:dyDescent="0.8">
      <c r="A37" s="3"/>
      <c r="B37" s="3"/>
      <c r="C37" s="3"/>
      <c r="D37" s="3"/>
      <c r="E37" s="3"/>
      <c r="F37" s="4"/>
      <c r="G37" s="4"/>
      <c r="H37" s="4"/>
      <c r="I37" s="4"/>
      <c r="J37" s="4"/>
      <c r="K37" s="4"/>
      <c r="L37" s="4"/>
      <c r="M37" s="4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</sheetData>
  <sheetProtection selectLockedCells="1"/>
  <conditionalFormatting sqref="D10:D15">
    <cfRule type="expression" dxfId="14" priority="13" stopIfTrue="1">
      <formula>C10=""</formula>
    </cfRule>
    <cfRule type="expression" dxfId="13" priority="14">
      <formula>C10&gt;""</formula>
    </cfRule>
  </conditionalFormatting>
  <conditionalFormatting sqref="G11:G15">
    <cfRule type="expression" dxfId="12" priority="9">
      <formula>G11&gt;""</formula>
    </cfRule>
  </conditionalFormatting>
  <conditionalFormatting sqref="H10:O10">
    <cfRule type="expression" priority="4">
      <formula>"P10&lt;&gt;""GOOD"""</formula>
    </cfRule>
    <cfRule type="expression" dxfId="8" priority="8">
      <formula>"$P10=""GOOD"""</formula>
    </cfRule>
  </conditionalFormatting>
  <conditionalFormatting sqref="H11:O15">
    <cfRule type="expression" dxfId="11" priority="7">
      <formula>"$P12=""GOOD"""</formula>
    </cfRule>
  </conditionalFormatting>
  <conditionalFormatting sqref="Q10">
    <cfRule type="expression" dxfId="10" priority="6">
      <formula>"$A12=1"</formula>
    </cfRule>
  </conditionalFormatting>
  <conditionalFormatting sqref="Q11">
    <cfRule type="expression" dxfId="9" priority="5">
      <formula>"$A12=1"</formula>
    </cfRule>
  </conditionalFormatting>
  <conditionalFormatting sqref="O10">
    <cfRule type="expression" dxfId="0" priority="1">
      <formula>"p10=""GOOD"""</formula>
    </cfRule>
  </conditionalFormatting>
  <dataValidations count="6">
    <dataValidation type="list" allowBlank="1" showInputMessage="1" showErrorMessage="1" error="mark the correct words" sqref="C10">
      <formula1>" ,making the dishes,washing the dishes"</formula1>
    </dataValidation>
    <dataValidation type="list" allowBlank="1" showInputMessage="1" showErrorMessage="1" error="mark the correct words" sqref="C11">
      <formula1>",making lunch,drying lunch"</formula1>
    </dataValidation>
    <dataValidation type="list" allowBlank="1" showInputMessage="1" showErrorMessage="1" error="mark the correct words" sqref="C12">
      <formula1>"doing washing,doing homework"</formula1>
    </dataValidation>
    <dataValidation type="list" allowBlank="1" showInputMessage="1" showErrorMessage="1" error="mark the correct words" sqref="C13">
      <formula1>"making the dishes,drying the dishes"</formula1>
    </dataValidation>
    <dataValidation type="list" allowBlank="1" showInputMessage="1" showErrorMessage="1" error="mark the correct words" sqref="C14">
      <formula1>"making the bed,drying the bed"</formula1>
    </dataValidation>
    <dataValidation type="list" allowBlank="1" showInputMessage="1" showErrorMessage="1" error="mark the correct words" sqref="C15">
      <formula1>"making the laundry,doing the laundry"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2019-02-06T20:50:26Z</dcterms:created>
  <dcterms:modified xsi:type="dcterms:W3CDTF">2019-02-06T23:59:42Z</dcterms:modified>
</cp:coreProperties>
</file>