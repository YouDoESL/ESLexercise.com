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"/>
    </mc:Choice>
  </mc:AlternateContent>
  <xr:revisionPtr revIDLastSave="0" documentId="13_ncr:1_{0E8CCAAC-3A4C-4C61-99A2-92484A333141}" xr6:coauthVersionLast="40" xr6:coauthVersionMax="40" xr10:uidLastSave="{00000000-0000-0000-0000-000000000000}"/>
  <bookViews>
    <workbookView xWindow="-108" yWindow="-108" windowWidth="23256" windowHeight="12576" xr2:uid="{00000000-000D-0000-FFFF-FFFF00000000}"/>
  </bookViews>
  <sheets>
    <sheet name="Comparing Sounds 1" sheetId="1" r:id="rId1"/>
    <sheet name="Comparing Sounds (web)" sheetId="2" r:id="rId2"/>
  </sheets>
  <externalReferences>
    <externalReference r:id="rId3"/>
  </externalReferences>
  <definedNames>
    <definedName name="Group_1_blanks">'Comparing Sounds 1'!$E$7:$E$26</definedName>
    <definedName name="Group_2_blanks">'Comparing Sounds 1'!$P$7:$P$26</definedName>
    <definedName name="_xlnm.Print_Area" localSheetId="1">'Comparing Sounds (web)'!$A$1:$T$27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60" i="1" l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U41" i="1"/>
  <c r="R43" i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42" i="1"/>
  <c r="D7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Q26" i="1" l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F26" i="1"/>
  <c r="F25" i="1"/>
  <c r="F24" i="1"/>
  <c r="F23" i="1"/>
  <c r="F22" i="1"/>
  <c r="F21" i="1"/>
  <c r="F20" i="1"/>
  <c r="F19" i="1"/>
  <c r="F18" i="1"/>
  <c r="F17" i="1"/>
  <c r="F15" i="1"/>
  <c r="F14" i="1"/>
  <c r="F13" i="1"/>
  <c r="F12" i="1"/>
  <c r="F11" i="1"/>
  <c r="F10" i="1"/>
  <c r="F9" i="1"/>
  <c r="F8" i="1"/>
  <c r="F7" i="1"/>
  <c r="F16" i="1"/>
  <c r="I26" i="1" l="1"/>
  <c r="G26" i="1" l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U26" i="1" l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G42" i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S2" i="1" l="1"/>
  <c r="T2" i="1"/>
  <c r="M7" i="1"/>
  <c r="W26" i="1" l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T26" i="1"/>
  <c r="S26" i="1"/>
  <c r="R26" i="1"/>
  <c r="K26" i="1"/>
  <c r="I27" i="1"/>
  <c r="H26" i="1"/>
  <c r="T25" i="1"/>
  <c r="S25" i="1"/>
  <c r="R25" i="1"/>
  <c r="K25" i="1"/>
  <c r="I25" i="1"/>
  <c r="H25" i="1"/>
  <c r="T24" i="1"/>
  <c r="S24" i="1"/>
  <c r="R24" i="1"/>
  <c r="K24" i="1"/>
  <c r="I24" i="1"/>
  <c r="H24" i="1"/>
  <c r="T23" i="1"/>
  <c r="S23" i="1"/>
  <c r="R23" i="1"/>
  <c r="K23" i="1"/>
  <c r="I23" i="1"/>
  <c r="H23" i="1"/>
  <c r="T22" i="1"/>
  <c r="S22" i="1"/>
  <c r="R22" i="1"/>
  <c r="K22" i="1"/>
  <c r="I22" i="1"/>
  <c r="H22" i="1"/>
  <c r="T21" i="1"/>
  <c r="S21" i="1"/>
  <c r="R21" i="1"/>
  <c r="K21" i="1"/>
  <c r="I21" i="1"/>
  <c r="H21" i="1"/>
  <c r="T20" i="1"/>
  <c r="S20" i="1"/>
  <c r="R20" i="1"/>
  <c r="K20" i="1"/>
  <c r="I20" i="1"/>
  <c r="H20" i="1"/>
  <c r="T19" i="1"/>
  <c r="S19" i="1"/>
  <c r="R19" i="1"/>
  <c r="K19" i="1"/>
  <c r="I19" i="1"/>
  <c r="H19" i="1"/>
  <c r="T18" i="1"/>
  <c r="S18" i="1"/>
  <c r="R18" i="1"/>
  <c r="K18" i="1"/>
  <c r="I18" i="1"/>
  <c r="H18" i="1"/>
  <c r="T17" i="1"/>
  <c r="S17" i="1"/>
  <c r="R17" i="1"/>
  <c r="K17" i="1"/>
  <c r="I17" i="1"/>
  <c r="H17" i="1"/>
  <c r="T16" i="1"/>
  <c r="S16" i="1"/>
  <c r="R16" i="1"/>
  <c r="K16" i="1"/>
  <c r="I16" i="1"/>
  <c r="H16" i="1"/>
  <c r="T15" i="1"/>
  <c r="S15" i="1"/>
  <c r="R15" i="1"/>
  <c r="K15" i="1"/>
  <c r="I15" i="1"/>
  <c r="H15" i="1"/>
  <c r="T14" i="1"/>
  <c r="S14" i="1"/>
  <c r="R14" i="1"/>
  <c r="K14" i="1"/>
  <c r="I14" i="1"/>
  <c r="H14" i="1"/>
  <c r="T13" i="1"/>
  <c r="S13" i="1"/>
  <c r="R13" i="1"/>
  <c r="K13" i="1"/>
  <c r="I13" i="1"/>
  <c r="H13" i="1"/>
  <c r="T12" i="1"/>
  <c r="S12" i="1"/>
  <c r="R12" i="1"/>
  <c r="K12" i="1"/>
  <c r="I12" i="1"/>
  <c r="H12" i="1"/>
  <c r="T11" i="1"/>
  <c r="S11" i="1"/>
  <c r="R11" i="1"/>
  <c r="K11" i="1"/>
  <c r="I11" i="1"/>
  <c r="H11" i="1"/>
  <c r="T10" i="1"/>
  <c r="S10" i="1"/>
  <c r="R10" i="1"/>
  <c r="K10" i="1"/>
  <c r="I10" i="1"/>
  <c r="H10" i="1"/>
  <c r="T9" i="1"/>
  <c r="S9" i="1"/>
  <c r="R9" i="1"/>
  <c r="K9" i="1"/>
  <c r="I9" i="1"/>
  <c r="H9" i="1"/>
  <c r="T8" i="1"/>
  <c r="S8" i="1"/>
  <c r="R8" i="1"/>
  <c r="K8" i="1"/>
  <c r="I8" i="1"/>
  <c r="H8" i="1"/>
  <c r="G8" i="1"/>
  <c r="R7" i="1"/>
  <c r="S7" i="1"/>
  <c r="R26" i="2"/>
  <c r="I26" i="2"/>
  <c r="H26" i="2"/>
  <c r="G26" i="2"/>
  <c r="R25" i="2"/>
  <c r="I25" i="2"/>
  <c r="H25" i="2"/>
  <c r="G25" i="2"/>
  <c r="R24" i="2"/>
  <c r="I24" i="2"/>
  <c r="H24" i="2"/>
  <c r="G24" i="2"/>
  <c r="R23" i="2"/>
  <c r="I23" i="2"/>
  <c r="H23" i="2"/>
  <c r="G23" i="2"/>
  <c r="R22" i="2"/>
  <c r="I22" i="2"/>
  <c r="H22" i="2"/>
  <c r="G22" i="2"/>
  <c r="R21" i="2"/>
  <c r="I21" i="2"/>
  <c r="H21" i="2"/>
  <c r="G21" i="2"/>
  <c r="R20" i="2"/>
  <c r="I20" i="2"/>
  <c r="H20" i="2"/>
  <c r="G20" i="2"/>
  <c r="R19" i="2"/>
  <c r="I19" i="2"/>
  <c r="H19" i="2"/>
  <c r="G19" i="2"/>
  <c r="R18" i="2"/>
  <c r="I18" i="2"/>
  <c r="H18" i="2"/>
  <c r="G18" i="2"/>
  <c r="R17" i="2"/>
  <c r="I17" i="2"/>
  <c r="H17" i="2"/>
  <c r="G17" i="2"/>
  <c r="R16" i="2"/>
  <c r="I16" i="2"/>
  <c r="H16" i="2"/>
  <c r="G16" i="2"/>
  <c r="R15" i="2"/>
  <c r="I15" i="2"/>
  <c r="H15" i="2"/>
  <c r="G15" i="2"/>
  <c r="R14" i="2"/>
  <c r="I14" i="2"/>
  <c r="H14" i="2"/>
  <c r="G14" i="2"/>
  <c r="R13" i="2"/>
  <c r="I13" i="2"/>
  <c r="H13" i="2"/>
  <c r="G13" i="2"/>
  <c r="R12" i="2"/>
  <c r="I12" i="2"/>
  <c r="H12" i="2"/>
  <c r="G12" i="2"/>
  <c r="R11" i="2"/>
  <c r="I11" i="2"/>
  <c r="H11" i="2"/>
  <c r="G11" i="2"/>
  <c r="R10" i="2"/>
  <c r="I10" i="2"/>
  <c r="H10" i="2"/>
  <c r="G10" i="2"/>
  <c r="R9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I9" i="2"/>
  <c r="H9" i="2"/>
  <c r="G9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R8" i="2"/>
  <c r="I8" i="2"/>
  <c r="H8" i="2"/>
  <c r="G8" i="2"/>
  <c r="R7" i="2"/>
  <c r="I7" i="2"/>
  <c r="H7" i="2"/>
  <c r="G7" i="2"/>
  <c r="Q5" i="2"/>
  <c r="H5" i="2"/>
  <c r="L7" i="1"/>
  <c r="K7" i="1"/>
  <c r="I7" i="1"/>
  <c r="H7" i="1"/>
  <c r="T5" i="1"/>
  <c r="I5" i="1"/>
  <c r="C8" i="1"/>
  <c r="M8" i="1" s="1"/>
  <c r="N20" i="2"/>
  <c r="E25" i="2"/>
  <c r="E18" i="2"/>
  <c r="N9" i="2"/>
  <c r="N18" i="2"/>
  <c r="N24" i="2"/>
  <c r="N21" i="2"/>
  <c r="E21" i="2"/>
  <c r="N19" i="2"/>
  <c r="E7" i="2"/>
  <c r="E20" i="2"/>
  <c r="E19" i="2"/>
  <c r="N11" i="2"/>
  <c r="E14" i="2"/>
  <c r="E16" i="2"/>
  <c r="E11" i="2"/>
  <c r="N23" i="2"/>
  <c r="E12" i="2"/>
  <c r="N13" i="2"/>
  <c r="E23" i="2"/>
  <c r="U29" i="2"/>
  <c r="E13" i="2"/>
  <c r="N22" i="2"/>
  <c r="E26" i="2"/>
  <c r="N14" i="2"/>
  <c r="N16" i="2"/>
  <c r="N12" i="2"/>
  <c r="N8" i="2"/>
  <c r="E17" i="2"/>
  <c r="N7" i="2"/>
  <c r="N25" i="2"/>
  <c r="N26" i="2"/>
  <c r="N15" i="2"/>
  <c r="E22" i="2"/>
  <c r="E10" i="2"/>
  <c r="N10" i="2"/>
  <c r="E9" i="2"/>
  <c r="E15" i="2"/>
  <c r="E8" i="2"/>
  <c r="N17" i="2"/>
  <c r="E24" i="2"/>
  <c r="C9" i="1" l="1"/>
  <c r="H5" i="1"/>
  <c r="A7" i="1" s="1"/>
  <c r="S11" i="2"/>
  <c r="S17" i="2"/>
  <c r="S14" i="2"/>
  <c r="O25" i="2"/>
  <c r="J25" i="2"/>
  <c r="F25" i="2"/>
  <c r="S13" i="2"/>
  <c r="S8" i="2"/>
  <c r="O24" i="2"/>
  <c r="F24" i="2"/>
  <c r="J24" i="2"/>
  <c r="S16" i="2"/>
  <c r="S18" i="2"/>
  <c r="S19" i="2"/>
  <c r="S9" i="2"/>
  <c r="S22" i="2"/>
  <c r="S23" i="2"/>
  <c r="F10" i="2"/>
  <c r="J10" i="2"/>
  <c r="O10" i="2"/>
  <c r="S12" i="2"/>
  <c r="S25" i="2"/>
  <c r="S20" i="2"/>
  <c r="S21" i="2"/>
  <c r="O8" i="2"/>
  <c r="F8" i="2"/>
  <c r="J8" i="2"/>
  <c r="J9" i="2"/>
  <c r="F9" i="2"/>
  <c r="O9" i="2"/>
  <c r="F22" i="2"/>
  <c r="O22" i="2"/>
  <c r="J22" i="2"/>
  <c r="S24" i="2"/>
  <c r="O11" i="2"/>
  <c r="J11" i="2"/>
  <c r="F11" i="2"/>
  <c r="S26" i="2"/>
  <c r="O7" i="2"/>
  <c r="F7" i="2"/>
  <c r="J7" i="2"/>
  <c r="J14" i="2"/>
  <c r="O14" i="2"/>
  <c r="F14" i="2"/>
  <c r="J15" i="2"/>
  <c r="O15" i="2"/>
  <c r="F15" i="2"/>
  <c r="S15" i="2"/>
  <c r="J16" i="2"/>
  <c r="F16" i="2"/>
  <c r="O16" i="2"/>
  <c r="F17" i="2"/>
  <c r="J17" i="2"/>
  <c r="O17" i="2"/>
  <c r="F12" i="2"/>
  <c r="O12" i="2"/>
  <c r="J12" i="2"/>
  <c r="J19" i="2"/>
  <c r="F19" i="2"/>
  <c r="O19" i="2"/>
  <c r="F20" i="2"/>
  <c r="O20" i="2"/>
  <c r="J20" i="2"/>
  <c r="O21" i="2"/>
  <c r="J21" i="2"/>
  <c r="F21" i="2"/>
  <c r="F13" i="2"/>
  <c r="O13" i="2"/>
  <c r="J13" i="2"/>
  <c r="S7" i="2"/>
  <c r="J23" i="2"/>
  <c r="O23" i="2"/>
  <c r="F23" i="2"/>
  <c r="J18" i="2"/>
  <c r="F18" i="2"/>
  <c r="O18" i="2"/>
  <c r="S10" i="2"/>
  <c r="O26" i="2"/>
  <c r="J26" i="2"/>
  <c r="F26" i="2"/>
  <c r="M9" i="1" l="1"/>
  <c r="C10" i="1"/>
  <c r="G5" i="2"/>
  <c r="A7" i="2" s="1"/>
  <c r="P5" i="2"/>
  <c r="M10" i="1" l="1"/>
  <c r="C11" i="1"/>
  <c r="M11" i="1" l="1"/>
  <c r="C12" i="1"/>
  <c r="M12" i="1" l="1"/>
  <c r="C13" i="1"/>
  <c r="M13" i="1" l="1"/>
  <c r="C14" i="1"/>
  <c r="M14" i="1" l="1"/>
  <c r="C15" i="1"/>
  <c r="M15" i="1" l="1"/>
  <c r="C16" i="1"/>
  <c r="M16" i="1" l="1"/>
  <c r="C17" i="1"/>
  <c r="M17" i="1" l="1"/>
  <c r="C18" i="1"/>
  <c r="M18" i="1" l="1"/>
  <c r="C19" i="1"/>
  <c r="M19" i="1" l="1"/>
  <c r="C20" i="1"/>
  <c r="M20" i="1" l="1"/>
  <c r="C21" i="1"/>
  <c r="M21" i="1" l="1"/>
  <c r="C22" i="1"/>
  <c r="M22" i="1" l="1"/>
  <c r="C23" i="1"/>
  <c r="M23" i="1" l="1"/>
  <c r="C24" i="1"/>
  <c r="M24" i="1" l="1"/>
  <c r="C25" i="1"/>
  <c r="M25" i="1" l="1"/>
  <c r="C26" i="1"/>
  <c r="M26" i="1" s="1"/>
  <c r="T7" i="1"/>
  <c r="U7" i="1"/>
  <c r="W7" i="1" l="1"/>
  <c r="S5" i="1" s="1"/>
</calcChain>
</file>

<file path=xl/sharedStrings.xml><?xml version="1.0" encoding="utf-8"?>
<sst xmlns="http://schemas.openxmlformats.org/spreadsheetml/2006/main" count="358" uniqueCount="116">
  <si>
    <t>"Comparing Sounds version 1"</t>
  </si>
  <si>
    <t>Insert paired lists in lines 41-61.</t>
  </si>
  <si>
    <t>Stan Nevin, HACC</t>
  </si>
  <si>
    <t>inse</t>
  </si>
  <si>
    <t>GROUP 1</t>
  </si>
  <si>
    <t>GROUP 2</t>
  </si>
  <si>
    <r>
      <t xml:space="preserve">Do they </t>
    </r>
    <r>
      <rPr>
        <u/>
        <sz val="14"/>
        <color rgb="FF222222"/>
        <rFont val="Arial"/>
        <family val="2"/>
      </rPr>
      <t>sound</t>
    </r>
    <r>
      <rPr>
        <sz val="14"/>
        <color rgb="FF222222"/>
        <rFont val="Arial"/>
        <family val="2"/>
      </rPr>
      <t xml:space="preserve"> the same?</t>
    </r>
  </si>
  <si>
    <r>
      <t xml:space="preserve">Do they </t>
    </r>
    <r>
      <rPr>
        <u/>
        <sz val="14"/>
        <rFont val="Arial"/>
        <family val="2"/>
      </rPr>
      <t>sound</t>
    </r>
    <r>
      <rPr>
        <sz val="14"/>
        <rFont val="Arial"/>
        <family val="2"/>
      </rPr>
      <t xml:space="preserve"> the same?</t>
    </r>
  </si>
  <si>
    <t>Y or N</t>
  </si>
  <si>
    <t>to review, X--&gt;:</t>
  </si>
  <si>
    <t>RIB</t>
  </si>
  <si>
    <t>y</t>
  </si>
  <si>
    <t>HAT</t>
  </si>
  <si>
    <t>HAD</t>
  </si>
  <si>
    <t>DOSE  </t>
  </si>
  <si>
    <t>DOZE</t>
  </si>
  <si>
    <t>TO  </t>
  </si>
  <si>
    <t>DO</t>
  </si>
  <si>
    <t>WAFER  </t>
  </si>
  <si>
    <t>WAFER</t>
  </si>
  <si>
    <t>VAT  </t>
  </si>
  <si>
    <t>VAT</t>
  </si>
  <si>
    <t>ZAP  </t>
  </si>
  <si>
    <t>SAP</t>
  </si>
  <si>
    <t>HAD  </t>
  </si>
  <si>
    <t>GALE  </t>
  </si>
  <si>
    <t>KALE</t>
  </si>
  <si>
    <t>FAT  </t>
  </si>
  <si>
    <t>TO</t>
  </si>
  <si>
    <t>ZAP</t>
  </si>
  <si>
    <t>PILL  </t>
  </si>
  <si>
    <t>BILL</t>
  </si>
  <si>
    <t>WAVER  </t>
  </si>
  <si>
    <t>GALE</t>
  </si>
  <si>
    <t>TAG  </t>
  </si>
  <si>
    <t>TAG</t>
  </si>
  <si>
    <t>RIB  </t>
  </si>
  <si>
    <t>RIP</t>
  </si>
  <si>
    <t>DOSE</t>
  </si>
  <si>
    <t>BILL  </t>
  </si>
  <si>
    <t>TACK  </t>
  </si>
  <si>
    <t>HAT  </t>
  </si>
  <si>
    <t>X</t>
  </si>
  <si>
    <t>#end</t>
  </si>
  <si>
    <t>GROUP 1 PAIRS:</t>
  </si>
  <si>
    <t>GROUP 2 PAIRS:</t>
  </si>
  <si>
    <t>n</t>
  </si>
  <si>
    <t>TACK</t>
  </si>
  <si>
    <t>WAVER</t>
  </si>
  <si>
    <t>PILL</t>
  </si>
  <si>
    <t>FAT</t>
  </si>
  <si>
    <t>Private Sub Worksheet_SelectionChange(ByVal Target As Range)</t>
  </si>
  <si>
    <t xml:space="preserve">    Set AllCells = Range("A1:AZ100")</t>
  </si>
  <si>
    <t xml:space="preserve">    </t>
  </si>
  <si>
    <t xml:space="preserve">    ' The variable KeyCells contains the cells that are changed.</t>
  </si>
  <si>
    <t xml:space="preserve">    Set KeyCells = Range("E7:E26,I6,P7:P26")</t>
  </si>
  <si>
    <t xml:space="preserve">    If Not Application.Intersect(KeyCells, Range(Target.Address)) _</t>
  </si>
  <si>
    <t xml:space="preserve">           Is Nothing Then</t>
  </si>
  <si>
    <t xml:space="preserve">       If ActiveSheet.Protect = True Then</t>
  </si>
  <si>
    <t xml:space="preserve">            If IsEmpty(Target) = False Then</t>
  </si>
  <si>
    <t xml:space="preserve">       </t>
  </si>
  <si>
    <t xml:space="preserve">            ActiveSheet.Unprotect</t>
  </si>
  <si>
    <t xml:space="preserve">            Target.Locked = True</t>
  </si>
  <si>
    <t xml:space="preserve">            ActiveSheet.Protect</t>
  </si>
  <si>
    <t xml:space="preserve">            </t>
  </si>
  <si>
    <t xml:space="preserve">            Else: End If</t>
  </si>
  <si>
    <t xml:space="preserve">       Else: End If</t>
  </si>
  <si>
    <t xml:space="preserve">    End If</t>
  </si>
  <si>
    <t>End Sub</t>
  </si>
  <si>
    <t>BAT</t>
  </si>
  <si>
    <t>BET</t>
  </si>
  <si>
    <t>BIT</t>
  </si>
  <si>
    <t>BOT</t>
  </si>
  <si>
    <t>BUT</t>
  </si>
  <si>
    <t>DAN</t>
  </si>
  <si>
    <t>DEN</t>
  </si>
  <si>
    <t>DIN</t>
  </si>
  <si>
    <t>DON</t>
  </si>
  <si>
    <t>DUN</t>
  </si>
  <si>
    <t>MAD</t>
  </si>
  <si>
    <t>MED</t>
  </si>
  <si>
    <t>MID</t>
  </si>
  <si>
    <t>MOD</t>
  </si>
  <si>
    <t>MUD</t>
  </si>
  <si>
    <t>SAT</t>
  </si>
  <si>
    <t>SET</t>
  </si>
  <si>
    <t>SIT</t>
  </si>
  <si>
    <t xml:space="preserve">SOT </t>
  </si>
  <si>
    <t>SOOT</t>
  </si>
  <si>
    <t>groups of 5 varying</t>
  </si>
  <si>
    <t>only by central</t>
  </si>
  <si>
    <t>vowel</t>
  </si>
  <si>
    <t>Is this the word you hear?</t>
  </si>
  <si>
    <t>SAY THIS:</t>
  </si>
  <si>
    <t>(this color)</t>
  </si>
  <si>
    <t>Insert list in col. H,</t>
  </si>
  <si>
    <t>words to show in col S,</t>
  </si>
  <si>
    <t>what you'll say in col T,</t>
  </si>
  <si>
    <t>BALL</t>
  </si>
  <si>
    <t>BELL</t>
  </si>
  <si>
    <t>BOWL</t>
  </si>
  <si>
    <t>CALL</t>
  </si>
  <si>
    <t>CELL</t>
  </si>
  <si>
    <t>KILL</t>
  </si>
  <si>
    <t>COOL</t>
  </si>
  <si>
    <t>RAT</t>
  </si>
  <si>
    <t>RATE</t>
  </si>
  <si>
    <t>FATE</t>
  </si>
  <si>
    <t>TOP</t>
  </si>
  <si>
    <t>STOP</t>
  </si>
  <si>
    <t>SOP</t>
  </si>
  <si>
    <t>MEN</t>
  </si>
  <si>
    <t>MEND</t>
  </si>
  <si>
    <t>GOAT</t>
  </si>
  <si>
    <t>GOT</t>
  </si>
  <si>
    <t>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</si>
</sst>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u/>
      <sz val="14"/>
      <color rgb="FF222222"/>
      <name val="Arial"/>
      <family val="2"/>
    </font>
    <font>
      <sz val="11"/>
      <name val="Calibri"/>
      <family val="2"/>
      <scheme val="minor"/>
    </font>
    <font>
      <sz val="14"/>
      <color theme="0"/>
      <name val="Arial"/>
      <family val="2"/>
    </font>
    <font>
      <u/>
      <sz val="14"/>
      <name val="Arial"/>
      <family val="2"/>
    </font>
    <font>
      <sz val="14"/>
      <name val="Arial"/>
      <family val="2"/>
    </font>
    <font>
      <sz val="11"/>
      <color theme="0"/>
      <name val="Arial"/>
      <family val="2"/>
    </font>
    <font>
      <sz val="11"/>
      <color theme="4" tint="0.3999755851924192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0" fillId="0" borderId="0" xfId="0" applyProtection="1"/>
    <xf numFmtId="0" fontId="1" fillId="0" borderId="0" xfId="0" applyFont="1" applyProtection="1"/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3" fillId="2" borderId="1" xfId="0" applyFont="1" applyFill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left" vertical="center"/>
    </xf>
    <xf numFmtId="0" fontId="3" fillId="0" borderId="0" xfId="0" applyFont="1" applyProtection="1"/>
    <xf numFmtId="0" fontId="3" fillId="0" borderId="0" xfId="0" applyFont="1"/>
    <xf numFmtId="0" fontId="1" fillId="3" borderId="0" xfId="0" applyFont="1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0" fillId="3" borderId="0" xfId="0" applyFill="1" applyAlignment="1">
      <alignment horizontal="center"/>
    </xf>
    <xf numFmtId="0" fontId="3" fillId="0" borderId="0" xfId="0" applyFont="1" applyAlignment="1" applyProtection="1">
      <alignment horizontal="right"/>
    </xf>
    <xf numFmtId="0" fontId="6" fillId="0" borderId="0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center" vertical="center" wrapText="1"/>
    </xf>
    <xf numFmtId="0" fontId="6" fillId="0" borderId="2" xfId="0" applyFont="1" applyBorder="1" applyAlignment="1" applyProtection="1">
      <alignment horizontal="center" vertical="center" wrapText="1"/>
    </xf>
    <xf numFmtId="0" fontId="9" fillId="0" borderId="0" xfId="0" applyFont="1" applyBorder="1" applyAlignment="1" applyProtection="1">
      <alignment horizontal="center" vertical="center" wrapText="1"/>
    </xf>
    <xf numFmtId="0" fontId="5" fillId="3" borderId="1" xfId="0" applyFont="1" applyFill="1" applyBorder="1" applyAlignment="1" applyProtection="1">
      <alignment horizontal="center"/>
    </xf>
    <xf numFmtId="0" fontId="10" fillId="0" borderId="0" xfId="0" applyFont="1" applyAlignment="1" applyProtection="1">
      <alignment horizontal="right"/>
    </xf>
    <xf numFmtId="0" fontId="5" fillId="0" borderId="0" xfId="0" applyFont="1" applyAlignment="1" applyProtection="1">
      <alignment horizontal="left"/>
    </xf>
    <xf numFmtId="0" fontId="3" fillId="0" borderId="1" xfId="0" applyFont="1" applyBorder="1" applyAlignment="1" applyProtection="1">
      <alignment horizontal="center"/>
    </xf>
    <xf numFmtId="0" fontId="11" fillId="0" borderId="0" xfId="0" applyFont="1" applyAlignment="1" applyProtection="1">
      <alignment horizontal="center"/>
    </xf>
    <xf numFmtId="0" fontId="12" fillId="3" borderId="0" xfId="0" applyFont="1" applyFill="1" applyAlignment="1" applyProtection="1">
      <alignment horizontal="center"/>
    </xf>
    <xf numFmtId="0" fontId="13" fillId="0" borderId="0" xfId="0" applyFont="1" applyProtection="1"/>
    <xf numFmtId="0" fontId="11" fillId="3" borderId="0" xfId="0" applyFont="1" applyFill="1" applyAlignment="1" applyProtection="1">
      <alignment horizontal="center"/>
    </xf>
    <xf numFmtId="0" fontId="14" fillId="0" borderId="0" xfId="0" applyFont="1" applyProtection="1"/>
    <xf numFmtId="0" fontId="5" fillId="3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/>
    </xf>
    <xf numFmtId="0" fontId="15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Protection="1"/>
    <xf numFmtId="0" fontId="15" fillId="0" borderId="0" xfId="0" applyFont="1" applyProtection="1"/>
    <xf numFmtId="0" fontId="1" fillId="0" borderId="0" xfId="0" applyFont="1" applyFill="1" applyProtection="1"/>
    <xf numFmtId="0" fontId="5" fillId="0" borderId="0" xfId="0" applyFont="1" applyFill="1" applyProtection="1"/>
    <xf numFmtId="0" fontId="11" fillId="0" borderId="0" xfId="0" applyFont="1" applyProtection="1"/>
    <xf numFmtId="0" fontId="1" fillId="0" borderId="0" xfId="0" applyFont="1" applyAlignment="1" applyProtection="1">
      <alignment horizontal="left"/>
    </xf>
    <xf numFmtId="0" fontId="16" fillId="0" borderId="0" xfId="0" applyFont="1" applyBorder="1" applyAlignment="1" applyProtection="1">
      <alignment horizontal="left"/>
    </xf>
    <xf numFmtId="0" fontId="16" fillId="0" borderId="0" xfId="0" applyFont="1" applyBorder="1" applyProtection="1"/>
    <xf numFmtId="0" fontId="2" fillId="0" borderId="0" xfId="0" applyFont="1" applyBorder="1" applyAlignment="1" applyProtection="1">
      <alignment horizontal="center" vertical="center"/>
    </xf>
    <xf numFmtId="0" fontId="5" fillId="3" borderId="0" xfId="0" applyFont="1" applyFill="1" applyBorder="1" applyAlignment="1" applyProtection="1">
      <alignment horizontal="center"/>
    </xf>
    <xf numFmtId="0" fontId="5" fillId="3" borderId="1" xfId="0" applyFont="1" applyFill="1" applyBorder="1" applyAlignment="1" applyProtection="1">
      <alignment horizontal="center"/>
      <protection locked="0"/>
    </xf>
    <xf numFmtId="0" fontId="15" fillId="3" borderId="0" xfId="0" applyFont="1" applyFill="1" applyProtection="1"/>
    <xf numFmtId="0" fontId="15" fillId="3" borderId="1" xfId="0" applyFont="1" applyFill="1" applyBorder="1" applyAlignment="1" applyProtection="1">
      <alignment horizontal="left"/>
    </xf>
    <xf numFmtId="0" fontId="15" fillId="3" borderId="1" xfId="0" applyFont="1" applyFill="1" applyBorder="1" applyProtection="1"/>
    <xf numFmtId="0" fontId="11" fillId="0" borderId="0" xfId="0" applyFont="1" applyAlignment="1" applyProtection="1">
      <alignment horizontal="right"/>
    </xf>
    <xf numFmtId="0" fontId="11" fillId="3" borderId="0" xfId="0" applyFont="1" applyFill="1" applyAlignment="1" applyProtection="1">
      <alignment horizontal="right"/>
    </xf>
    <xf numFmtId="0" fontId="1" fillId="3" borderId="0" xfId="0" applyFont="1" applyFill="1" applyAlignment="1" applyProtection="1">
      <alignment horizontal="right"/>
    </xf>
    <xf numFmtId="0" fontId="2" fillId="0" borderId="0" xfId="0" applyFont="1" applyBorder="1" applyAlignment="1" applyProtection="1">
      <alignment horizontal="right" vertical="center"/>
    </xf>
    <xf numFmtId="0" fontId="0" fillId="3" borderId="0" xfId="0" applyFill="1" applyAlignment="1" applyProtection="1">
      <alignment horizontal="right"/>
    </xf>
    <xf numFmtId="0" fontId="5" fillId="0" borderId="0" xfId="0" applyFont="1" applyAlignment="1" applyProtection="1">
      <alignment horizontal="right"/>
    </xf>
    <xf numFmtId="0" fontId="15" fillId="3" borderId="1" xfId="0" applyFont="1" applyFill="1" applyBorder="1" applyAlignment="1" applyProtection="1">
      <alignment horizontal="right"/>
    </xf>
    <xf numFmtId="0" fontId="5" fillId="0" borderId="0" xfId="0" applyFont="1" applyAlignment="1" applyProtection="1">
      <alignment horizontal="center"/>
    </xf>
    <xf numFmtId="0" fontId="8" fillId="0" borderId="2" xfId="0" applyFont="1" applyBorder="1" applyAlignment="1" applyProtection="1">
      <alignment horizontal="center" vertical="center" wrapText="1"/>
    </xf>
    <xf numFmtId="0" fontId="15" fillId="4" borderId="1" xfId="0" applyFont="1" applyFill="1" applyBorder="1" applyAlignment="1" applyProtection="1">
      <alignment horizontal="right"/>
      <protection locked="0"/>
    </xf>
    <xf numFmtId="0" fontId="3" fillId="4" borderId="0" xfId="0" applyFont="1" applyFill="1" applyProtection="1"/>
    <xf numFmtId="0" fontId="3" fillId="3" borderId="0" xfId="0" applyFont="1" applyFill="1" applyProtection="1"/>
  </cellXfs>
  <cellStyles count="1">
    <cellStyle name="Normal" xfId="0" builtinId="0"/>
  </cellStyles>
  <dxfs count="35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theme="1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 patternType="none">
          <fgColor indexed="64"/>
          <bgColor auto="1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theme="4"/>
        </patternFill>
      </fill>
    </dxf>
    <dxf>
      <fill>
        <patternFill>
          <bgColor theme="1"/>
        </patternFill>
      </fill>
    </dxf>
    <dxf>
      <fill>
        <patternFill>
          <bgColor rgb="FFFFC000"/>
        </patternFill>
      </fill>
    </dxf>
    <dxf>
      <fill>
        <patternFill>
          <bgColor theme="1"/>
        </patternFill>
      </fill>
    </dxf>
    <dxf>
      <fill>
        <patternFill>
          <bgColor rgb="FFFFC000"/>
        </patternFill>
      </fill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ill>
        <patternFill>
          <bgColor theme="1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fill>
        <patternFill>
          <bgColor rgb="FF00B0F0"/>
        </patternFill>
      </fill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135"/>
  <sheetViews>
    <sheetView showGridLines="0" tabSelected="1" topLeftCell="A24" zoomScale="110" zoomScaleNormal="110" workbookViewId="0">
      <selection activeCell="H43" sqref="H43"/>
    </sheetView>
  </sheetViews>
  <sheetFormatPr defaultRowHeight="18" x14ac:dyDescent="0.35"/>
  <cols>
    <col min="2" max="2" width="8.88671875" style="9"/>
    <col min="3" max="3" width="4.109375" style="1" customWidth="1"/>
    <col min="4" max="4" width="9.6640625" style="1" customWidth="1"/>
    <col min="5" max="5" width="5.88671875" customWidth="1"/>
    <col min="6" max="6" width="9.33203125" style="29" customWidth="1"/>
    <col min="7" max="7" width="6.6640625" style="29" customWidth="1"/>
    <col min="8" max="8" width="9.33203125" style="49" customWidth="1"/>
    <col min="9" max="9" width="10.44140625" style="12" customWidth="1"/>
    <col min="10" max="10" width="9.33203125" style="12" customWidth="1"/>
    <col min="11" max="11" width="20.6640625" customWidth="1"/>
    <col min="12" max="12" width="3.88671875" style="1" customWidth="1"/>
    <col min="13" max="13" width="6.33203125" customWidth="1"/>
    <col min="14" max="14" width="1.6640625" style="1" customWidth="1"/>
    <col min="15" max="15" width="10.21875" style="1" customWidth="1"/>
    <col min="16" max="16" width="6.5546875" customWidth="1"/>
    <col min="17" max="18" width="9.33203125" style="30" customWidth="1"/>
    <col min="19" max="19" width="9.88671875" customWidth="1"/>
    <col min="20" max="20" width="9.6640625" customWidth="1"/>
    <col min="22" max="23" width="8.88671875" style="1"/>
  </cols>
  <sheetData>
    <row r="1" spans="1:52" x14ac:dyDescent="0.35">
      <c r="A1" s="2"/>
      <c r="B1" s="8"/>
      <c r="C1" s="3"/>
      <c r="D1" s="3"/>
      <c r="E1" s="3"/>
      <c r="F1" s="23" t="s">
        <v>0</v>
      </c>
      <c r="G1" s="23"/>
      <c r="H1" s="45"/>
      <c r="I1" s="35"/>
      <c r="J1" s="35"/>
      <c r="K1" s="23" t="s">
        <v>1</v>
      </c>
      <c r="L1" s="3"/>
      <c r="M1" s="2"/>
      <c r="N1" s="3"/>
      <c r="O1" s="3"/>
      <c r="P1" s="3"/>
      <c r="Q1" s="28"/>
      <c r="R1" s="28"/>
      <c r="S1" s="5"/>
      <c r="T1" s="10"/>
      <c r="U1" s="2"/>
      <c r="V1" s="3"/>
      <c r="W1" s="3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</row>
    <row r="2" spans="1:52" x14ac:dyDescent="0.35">
      <c r="A2" s="2"/>
      <c r="B2" s="8"/>
      <c r="C2" s="3"/>
      <c r="D2" s="3"/>
      <c r="E2" s="3"/>
      <c r="F2" s="28"/>
      <c r="G2" s="28"/>
      <c r="H2" s="46" t="s">
        <v>2</v>
      </c>
      <c r="I2" s="25"/>
      <c r="J2" s="25"/>
      <c r="K2" s="2"/>
      <c r="L2" s="35"/>
      <c r="M2" s="26"/>
      <c r="N2" s="3"/>
      <c r="O2" s="3"/>
      <c r="P2" s="3"/>
      <c r="Q2" s="28"/>
      <c r="R2" s="28"/>
      <c r="S2" s="52" t="str">
        <f>Q8</f>
        <v/>
      </c>
      <c r="T2" s="10" t="str">
        <f>$Q8</f>
        <v/>
      </c>
      <c r="U2" s="2"/>
      <c r="V2" s="3"/>
      <c r="W2" s="3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</row>
    <row r="3" spans="1:52" ht="26.4" customHeight="1" x14ac:dyDescent="0.35">
      <c r="A3" s="2"/>
      <c r="B3" s="8"/>
      <c r="C3" s="3"/>
      <c r="D3" s="3"/>
      <c r="E3" s="3" t="s">
        <v>3</v>
      </c>
      <c r="F3" s="28"/>
      <c r="G3" s="28"/>
      <c r="H3" s="47"/>
      <c r="I3" s="10"/>
      <c r="J3" s="10"/>
      <c r="K3" s="2"/>
      <c r="L3" s="3"/>
      <c r="M3" s="8"/>
      <c r="N3" s="3"/>
      <c r="O3" s="3"/>
      <c r="P3" s="3"/>
      <c r="Q3" s="28"/>
      <c r="R3" s="28"/>
      <c r="S3" s="52"/>
      <c r="T3" s="10"/>
      <c r="U3" s="2"/>
      <c r="V3" s="3"/>
      <c r="W3" s="3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x14ac:dyDescent="0.35">
      <c r="A4" s="2"/>
      <c r="B4" s="8"/>
      <c r="C4" s="7" t="s">
        <v>4</v>
      </c>
      <c r="D4" s="3"/>
      <c r="E4" s="7"/>
      <c r="F4" s="28"/>
      <c r="G4" s="28"/>
      <c r="H4" s="47"/>
      <c r="I4" s="10"/>
      <c r="J4" s="10"/>
      <c r="K4" s="2"/>
      <c r="L4" s="3"/>
      <c r="M4" s="8"/>
      <c r="N4" s="7" t="s">
        <v>5</v>
      </c>
      <c r="O4" s="3"/>
      <c r="P4" s="3"/>
      <c r="Q4" s="28"/>
      <c r="R4" s="28"/>
      <c r="S4" s="5"/>
      <c r="T4" s="10"/>
      <c r="U4" s="2"/>
      <c r="V4" s="3"/>
      <c r="W4" s="3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</row>
    <row r="5" spans="1:52" x14ac:dyDescent="0.35">
      <c r="A5" s="2"/>
      <c r="B5" s="7" t="s">
        <v>92</v>
      </c>
      <c r="C5" s="3"/>
      <c r="D5" s="14"/>
      <c r="E5" s="3"/>
      <c r="F5" s="28"/>
      <c r="G5" s="28"/>
      <c r="H5" s="48">
        <f>SUM(L7:L26)*5</f>
        <v>5</v>
      </c>
      <c r="I5" s="7" t="str">
        <f>"% correct"</f>
        <v>% correct</v>
      </c>
      <c r="J5" s="7"/>
      <c r="K5" s="2"/>
      <c r="L5" s="3"/>
      <c r="M5" s="2"/>
      <c r="N5" s="39"/>
      <c r="O5" s="39" t="s">
        <v>92</v>
      </c>
      <c r="P5" s="2"/>
      <c r="Q5" s="31"/>
      <c r="R5" s="31"/>
      <c r="S5" s="13">
        <f>SUM(W7:W26)*5</f>
        <v>0</v>
      </c>
      <c r="T5" s="7" t="str">
        <f>"% correct"</f>
        <v>% correct</v>
      </c>
      <c r="U5" s="2"/>
      <c r="V5" s="3"/>
      <c r="W5" s="3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</row>
    <row r="6" spans="1:52" x14ac:dyDescent="0.35">
      <c r="A6" s="2"/>
      <c r="B6" s="8"/>
      <c r="C6" s="3"/>
      <c r="D6" s="3"/>
      <c r="E6" s="4" t="s">
        <v>8</v>
      </c>
      <c r="F6" s="28"/>
      <c r="G6" s="28"/>
      <c r="H6" s="19" t="s">
        <v>9</v>
      </c>
      <c r="I6" s="41"/>
      <c r="J6" s="40"/>
      <c r="K6" s="2"/>
      <c r="L6" s="3"/>
      <c r="M6" s="8"/>
      <c r="N6" s="3"/>
      <c r="O6" s="3"/>
      <c r="P6" s="4" t="s">
        <v>8</v>
      </c>
      <c r="Q6" s="28"/>
      <c r="R6" s="28"/>
      <c r="S6" s="19" t="s">
        <v>9</v>
      </c>
      <c r="T6" s="41"/>
      <c r="U6" s="2"/>
      <c r="V6" s="3"/>
      <c r="W6" s="3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</row>
    <row r="7" spans="1:52" ht="19.95" customHeight="1" x14ac:dyDescent="0.35">
      <c r="A7" s="2" t="str">
        <f>IF(H5=25,"Y","")</f>
        <v/>
      </c>
      <c r="C7" s="32">
        <v>1</v>
      </c>
      <c r="D7" s="53" t="str">
        <f>H41</f>
        <v>BAT</v>
      </c>
      <c r="E7" s="6"/>
      <c r="F7" s="27" t="str">
        <f t="shared" ref="F7:F26" si="0">IF(E7&lt;&gt;0,IF(E7=J41,"TRUE","X"),"")</f>
        <v/>
      </c>
      <c r="G7" s="27" t="str">
        <f t="shared" ref="G7" si="1">IF(E7&lt;&gt;0,IF(J41="y","SAME","DIFF"),"")</f>
        <v/>
      </c>
      <c r="H7" s="17" t="str">
        <f>H41</f>
        <v>BAT</v>
      </c>
      <c r="I7" s="17" t="str">
        <f>I41</f>
        <v>BAT</v>
      </c>
      <c r="J7" s="11"/>
      <c r="K7" s="33" t="str">
        <f>J41</f>
        <v>y</v>
      </c>
      <c r="L7" s="33">
        <f>IF(E7=J41,1,0)</f>
        <v>0</v>
      </c>
      <c r="M7" s="8">
        <f t="shared" ref="M7:M26" si="2">C7</f>
        <v>1</v>
      </c>
      <c r="N7" s="15" t="s">
        <v>12</v>
      </c>
      <c r="O7" s="53" t="str">
        <f>S41</f>
        <v>BALL</v>
      </c>
      <c r="P7" s="6"/>
      <c r="Q7" s="27" t="str">
        <f t="shared" ref="Q7:Q26" si="3">IF(P7&lt;&gt;0,IF(P7=U41,"TRUE","X"),"")</f>
        <v/>
      </c>
      <c r="R7" s="27" t="str">
        <f>IF(P7&lt;&gt;0,IF(U41="y","SAME","DIFF"),"")</f>
        <v/>
      </c>
      <c r="S7" s="17" t="str">
        <f t="shared" ref="S7:U26" si="4">S41</f>
        <v>BALL</v>
      </c>
      <c r="T7" s="17" t="e">
        <f>#REF!</f>
        <v>#REF!</v>
      </c>
      <c r="U7" s="33" t="str">
        <f>U41</f>
        <v>n</v>
      </c>
      <c r="V7" s="3"/>
      <c r="W7" s="33">
        <f>IF(P7=U41,1,0)</f>
        <v>0</v>
      </c>
      <c r="X7" s="2"/>
      <c r="Y7" s="27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</row>
    <row r="8" spans="1:52" ht="19.95" customHeight="1" x14ac:dyDescent="0.35">
      <c r="A8" s="2"/>
      <c r="C8" s="32">
        <f>1+C7</f>
        <v>2</v>
      </c>
      <c r="D8" s="53" t="str">
        <f t="shared" ref="D8:D26" si="5">H42</f>
        <v>BET</v>
      </c>
      <c r="E8" s="6"/>
      <c r="F8" s="27" t="str">
        <f t="shared" si="0"/>
        <v/>
      </c>
      <c r="G8" s="27" t="str">
        <f t="shared" ref="G8" si="6">IF(E8&lt;&gt;0,IF(J42="y","SAME","DIFF"),"")</f>
        <v/>
      </c>
      <c r="H8" s="17" t="str">
        <f t="shared" ref="H8:H26" si="7">H42</f>
        <v>BET</v>
      </c>
      <c r="I8" s="17" t="str">
        <f t="shared" ref="I8:I26" si="8">I42</f>
        <v>BIT</v>
      </c>
      <c r="J8" s="11"/>
      <c r="K8" s="33" t="str">
        <f t="shared" ref="K8:K26" si="9">J42</f>
        <v>n</v>
      </c>
      <c r="L8" s="33">
        <f t="shared" ref="L8:L26" si="10">IF(E8=J42,1,0)</f>
        <v>0</v>
      </c>
      <c r="M8" s="8">
        <f t="shared" si="2"/>
        <v>2</v>
      </c>
      <c r="N8" s="15" t="s">
        <v>12</v>
      </c>
      <c r="O8" s="53" t="str">
        <f t="shared" ref="O8:O26" si="11">S42</f>
        <v>BELL</v>
      </c>
      <c r="P8" s="6"/>
      <c r="Q8" s="27" t="str">
        <f t="shared" si="3"/>
        <v/>
      </c>
      <c r="R8" s="27" t="str">
        <f t="shared" ref="R8:R26" si="12">IF(P8&lt;&gt;0,IF(U42="y","SAME","DIFF"),"")</f>
        <v/>
      </c>
      <c r="S8" s="17" t="str">
        <f t="shared" si="4"/>
        <v>BELL</v>
      </c>
      <c r="T8" s="17" t="str">
        <f>T41</f>
        <v>BOWL</v>
      </c>
      <c r="U8" s="33" t="str">
        <f t="shared" si="4"/>
        <v>y</v>
      </c>
      <c r="V8" s="3"/>
      <c r="W8" s="33">
        <f t="shared" ref="W8:W26" si="13">IF(P8=U42,1,0)</f>
        <v>0</v>
      </c>
      <c r="X8" s="2"/>
      <c r="Y8" s="27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</row>
    <row r="9" spans="1:52" ht="19.95" customHeight="1" x14ac:dyDescent="0.35">
      <c r="A9" s="2"/>
      <c r="C9" s="32">
        <f t="shared" ref="C9:C26" si="14">1+C8</f>
        <v>3</v>
      </c>
      <c r="D9" s="53" t="str">
        <f t="shared" si="5"/>
        <v>BIT</v>
      </c>
      <c r="E9" s="6"/>
      <c r="F9" s="27" t="str">
        <f t="shared" si="0"/>
        <v/>
      </c>
      <c r="G9" s="27" t="str">
        <f t="shared" ref="G9:G26" si="15">IF(E9&lt;&gt;0,IF(J43="y","SAME","DIFF"),"")</f>
        <v/>
      </c>
      <c r="H9" s="17" t="str">
        <f t="shared" si="7"/>
        <v>BIT</v>
      </c>
      <c r="I9" s="17" t="str">
        <f t="shared" si="8"/>
        <v>BOT</v>
      </c>
      <c r="J9" s="11"/>
      <c r="K9" s="33" t="str">
        <f t="shared" si="9"/>
        <v>n</v>
      </c>
      <c r="L9" s="33">
        <f t="shared" si="10"/>
        <v>0</v>
      </c>
      <c r="M9" s="8">
        <f t="shared" si="2"/>
        <v>3</v>
      </c>
      <c r="N9" s="15" t="s">
        <v>12</v>
      </c>
      <c r="O9" s="53" t="str">
        <f t="shared" si="11"/>
        <v>BILL</v>
      </c>
      <c r="P9" s="6"/>
      <c r="Q9" s="27" t="str">
        <f t="shared" si="3"/>
        <v/>
      </c>
      <c r="R9" s="27" t="str">
        <f t="shared" si="12"/>
        <v/>
      </c>
      <c r="S9" s="17" t="str">
        <f t="shared" si="4"/>
        <v>BILL</v>
      </c>
      <c r="T9" s="17" t="str">
        <f t="shared" si="4"/>
        <v>BELL</v>
      </c>
      <c r="U9" s="33" t="str">
        <f t="shared" si="4"/>
        <v>n</v>
      </c>
      <c r="V9" s="3"/>
      <c r="W9" s="33">
        <f t="shared" si="13"/>
        <v>0</v>
      </c>
      <c r="X9" s="2"/>
      <c r="Y9" s="27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</row>
    <row r="10" spans="1:52" ht="19.95" customHeight="1" x14ac:dyDescent="0.35">
      <c r="A10" s="2"/>
      <c r="C10" s="32">
        <f t="shared" si="14"/>
        <v>4</v>
      </c>
      <c r="D10" s="53" t="str">
        <f t="shared" si="5"/>
        <v>BOT</v>
      </c>
      <c r="E10" s="6"/>
      <c r="F10" s="27" t="str">
        <f t="shared" si="0"/>
        <v/>
      </c>
      <c r="G10" s="27" t="str">
        <f t="shared" si="15"/>
        <v/>
      </c>
      <c r="H10" s="17" t="str">
        <f t="shared" si="7"/>
        <v>BOT</v>
      </c>
      <c r="I10" s="17" t="str">
        <f t="shared" si="8"/>
        <v>BUT</v>
      </c>
      <c r="J10" s="11"/>
      <c r="K10" s="33">
        <f t="shared" si="9"/>
        <v>0</v>
      </c>
      <c r="L10" s="33">
        <f t="shared" si="10"/>
        <v>1</v>
      </c>
      <c r="M10" s="8">
        <f t="shared" si="2"/>
        <v>4</v>
      </c>
      <c r="N10" s="15" t="s">
        <v>12</v>
      </c>
      <c r="O10" s="53" t="str">
        <f t="shared" si="11"/>
        <v>BOWL</v>
      </c>
      <c r="P10" s="6"/>
      <c r="Q10" s="27" t="str">
        <f t="shared" si="3"/>
        <v/>
      </c>
      <c r="R10" s="27" t="str">
        <f t="shared" si="12"/>
        <v/>
      </c>
      <c r="S10" s="17" t="str">
        <f t="shared" si="4"/>
        <v>BOWL</v>
      </c>
      <c r="T10" s="17" t="str">
        <f t="shared" si="4"/>
        <v>BALL</v>
      </c>
      <c r="U10" s="33" t="str">
        <f t="shared" si="4"/>
        <v>n</v>
      </c>
      <c r="V10" s="3"/>
      <c r="W10" s="33">
        <f t="shared" si="13"/>
        <v>0</v>
      </c>
      <c r="X10" s="2"/>
      <c r="Y10" s="27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</row>
    <row r="11" spans="1:52" ht="19.95" customHeight="1" x14ac:dyDescent="0.35">
      <c r="A11" s="2"/>
      <c r="C11" s="32">
        <f t="shared" si="14"/>
        <v>5</v>
      </c>
      <c r="D11" s="53" t="str">
        <f t="shared" si="5"/>
        <v>BUT</v>
      </c>
      <c r="E11" s="6"/>
      <c r="F11" s="27" t="str">
        <f t="shared" si="0"/>
        <v/>
      </c>
      <c r="G11" s="27" t="str">
        <f t="shared" si="15"/>
        <v/>
      </c>
      <c r="H11" s="17" t="str">
        <f t="shared" si="7"/>
        <v>BUT</v>
      </c>
      <c r="I11" s="17" t="str">
        <f t="shared" si="8"/>
        <v>BUT</v>
      </c>
      <c r="J11" s="11"/>
      <c r="K11" s="33" t="str">
        <f t="shared" si="9"/>
        <v>y</v>
      </c>
      <c r="L11" s="33">
        <f t="shared" si="10"/>
        <v>0</v>
      </c>
      <c r="M11" s="8">
        <f t="shared" si="2"/>
        <v>5</v>
      </c>
      <c r="N11" s="15" t="s">
        <v>12</v>
      </c>
      <c r="O11" s="53" t="str">
        <f t="shared" si="11"/>
        <v>CALL</v>
      </c>
      <c r="P11" s="6"/>
      <c r="Q11" s="27" t="str">
        <f t="shared" si="3"/>
        <v/>
      </c>
      <c r="R11" s="27" t="str">
        <f t="shared" si="12"/>
        <v/>
      </c>
      <c r="S11" s="17" t="str">
        <f t="shared" si="4"/>
        <v>CALL</v>
      </c>
      <c r="T11" s="17" t="str">
        <f t="shared" si="4"/>
        <v>CALL</v>
      </c>
      <c r="U11" s="33" t="str">
        <f t="shared" si="4"/>
        <v>y</v>
      </c>
      <c r="V11" s="3"/>
      <c r="W11" s="33">
        <f t="shared" si="13"/>
        <v>0</v>
      </c>
      <c r="X11" s="2"/>
      <c r="Y11" s="27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</row>
    <row r="12" spans="1:52" ht="19.95" customHeight="1" x14ac:dyDescent="0.35">
      <c r="A12" s="2"/>
      <c r="C12" s="32">
        <f t="shared" si="14"/>
        <v>6</v>
      </c>
      <c r="D12" s="53" t="str">
        <f t="shared" si="5"/>
        <v>DAN</v>
      </c>
      <c r="E12" s="6"/>
      <c r="F12" s="27" t="str">
        <f t="shared" si="0"/>
        <v/>
      </c>
      <c r="G12" s="27" t="str">
        <f t="shared" si="15"/>
        <v/>
      </c>
      <c r="H12" s="17" t="str">
        <f t="shared" si="7"/>
        <v>DAN</v>
      </c>
      <c r="I12" s="17" t="str">
        <f t="shared" si="8"/>
        <v>DEN</v>
      </c>
      <c r="J12" s="11"/>
      <c r="K12" s="33" t="str">
        <f t="shared" si="9"/>
        <v>n</v>
      </c>
      <c r="L12" s="33">
        <f t="shared" si="10"/>
        <v>0</v>
      </c>
      <c r="M12" s="8">
        <f t="shared" si="2"/>
        <v>6</v>
      </c>
      <c r="N12" s="15" t="s">
        <v>12</v>
      </c>
      <c r="O12" s="53" t="str">
        <f t="shared" si="11"/>
        <v>CELL</v>
      </c>
      <c r="P12" s="6"/>
      <c r="Q12" s="27" t="str">
        <f t="shared" si="3"/>
        <v/>
      </c>
      <c r="R12" s="27" t="str">
        <f t="shared" si="12"/>
        <v/>
      </c>
      <c r="S12" s="17" t="str">
        <f t="shared" si="4"/>
        <v>CELL</v>
      </c>
      <c r="T12" s="17" t="str">
        <f t="shared" si="4"/>
        <v>KILL</v>
      </c>
      <c r="U12" s="33" t="str">
        <f t="shared" si="4"/>
        <v>n</v>
      </c>
      <c r="V12" s="3"/>
      <c r="W12" s="33">
        <f t="shared" si="13"/>
        <v>0</v>
      </c>
      <c r="X12" s="2"/>
      <c r="Y12" s="27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</row>
    <row r="13" spans="1:52" ht="19.95" customHeight="1" x14ac:dyDescent="0.35">
      <c r="A13" s="2"/>
      <c r="C13" s="32">
        <f t="shared" si="14"/>
        <v>7</v>
      </c>
      <c r="D13" s="53" t="str">
        <f t="shared" si="5"/>
        <v>DEN</v>
      </c>
      <c r="E13" s="6"/>
      <c r="F13" s="27" t="str">
        <f t="shared" si="0"/>
        <v/>
      </c>
      <c r="G13" s="27" t="str">
        <f t="shared" si="15"/>
        <v/>
      </c>
      <c r="H13" s="17" t="str">
        <f t="shared" si="7"/>
        <v>DEN</v>
      </c>
      <c r="I13" s="17" t="str">
        <f t="shared" si="8"/>
        <v>DEN</v>
      </c>
      <c r="J13" s="11"/>
      <c r="K13" s="33" t="str">
        <f t="shared" si="9"/>
        <v>y</v>
      </c>
      <c r="L13" s="33">
        <f t="shared" si="10"/>
        <v>0</v>
      </c>
      <c r="M13" s="8">
        <f t="shared" si="2"/>
        <v>7</v>
      </c>
      <c r="N13" s="15" t="s">
        <v>12</v>
      </c>
      <c r="O13" s="53" t="str">
        <f t="shared" si="11"/>
        <v>KILL</v>
      </c>
      <c r="P13" s="6"/>
      <c r="Q13" s="27" t="str">
        <f t="shared" si="3"/>
        <v/>
      </c>
      <c r="R13" s="27" t="str">
        <f t="shared" si="12"/>
        <v/>
      </c>
      <c r="S13" s="17" t="str">
        <f t="shared" si="4"/>
        <v>KILL</v>
      </c>
      <c r="T13" s="17" t="str">
        <f t="shared" si="4"/>
        <v>KILL</v>
      </c>
      <c r="U13" s="33" t="str">
        <f t="shared" si="4"/>
        <v>y</v>
      </c>
      <c r="V13" s="3"/>
      <c r="W13" s="33">
        <f t="shared" si="13"/>
        <v>0</v>
      </c>
      <c r="X13" s="2"/>
      <c r="Y13" s="27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</row>
    <row r="14" spans="1:52" ht="19.95" customHeight="1" x14ac:dyDescent="0.35">
      <c r="A14" s="2"/>
      <c r="C14" s="32">
        <f t="shared" si="14"/>
        <v>8</v>
      </c>
      <c r="D14" s="53" t="str">
        <f t="shared" si="5"/>
        <v>DIN</v>
      </c>
      <c r="E14" s="6"/>
      <c r="F14" s="27" t="str">
        <f t="shared" si="0"/>
        <v/>
      </c>
      <c r="G14" s="27" t="str">
        <f t="shared" si="15"/>
        <v/>
      </c>
      <c r="H14" s="17" t="str">
        <f t="shared" si="7"/>
        <v>DIN</v>
      </c>
      <c r="I14" s="17" t="str">
        <f t="shared" si="8"/>
        <v>DON</v>
      </c>
      <c r="J14" s="11"/>
      <c r="K14" s="33" t="str">
        <f t="shared" si="9"/>
        <v>n</v>
      </c>
      <c r="L14" s="33">
        <f t="shared" si="10"/>
        <v>0</v>
      </c>
      <c r="M14" s="8">
        <f t="shared" si="2"/>
        <v>8</v>
      </c>
      <c r="N14" s="15" t="s">
        <v>12</v>
      </c>
      <c r="O14" s="53" t="str">
        <f t="shared" si="11"/>
        <v>COOL</v>
      </c>
      <c r="P14" s="6"/>
      <c r="Q14" s="27" t="str">
        <f t="shared" si="3"/>
        <v/>
      </c>
      <c r="R14" s="27" t="str">
        <f t="shared" si="12"/>
        <v/>
      </c>
      <c r="S14" s="17" t="str">
        <f t="shared" si="4"/>
        <v>COOL</v>
      </c>
      <c r="T14" s="17" t="str">
        <f t="shared" si="4"/>
        <v>COOL</v>
      </c>
      <c r="U14" s="33" t="str">
        <f t="shared" si="4"/>
        <v>y</v>
      </c>
      <c r="V14" s="3"/>
      <c r="W14" s="33">
        <f t="shared" si="13"/>
        <v>0</v>
      </c>
      <c r="X14" s="2"/>
      <c r="Y14" s="27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</row>
    <row r="15" spans="1:52" ht="19.95" customHeight="1" x14ac:dyDescent="0.35">
      <c r="A15" s="2"/>
      <c r="C15" s="32">
        <f t="shared" si="14"/>
        <v>9</v>
      </c>
      <c r="D15" s="53" t="str">
        <f t="shared" si="5"/>
        <v>DON</v>
      </c>
      <c r="E15" s="6"/>
      <c r="F15" s="27" t="str">
        <f t="shared" si="0"/>
        <v/>
      </c>
      <c r="G15" s="27" t="str">
        <f t="shared" si="15"/>
        <v/>
      </c>
      <c r="H15" s="17" t="str">
        <f t="shared" si="7"/>
        <v>DON</v>
      </c>
      <c r="I15" s="17" t="str">
        <f t="shared" si="8"/>
        <v>DUN</v>
      </c>
      <c r="J15" s="11"/>
      <c r="K15" s="33" t="str">
        <f t="shared" si="9"/>
        <v>n</v>
      </c>
      <c r="L15" s="33">
        <f t="shared" si="10"/>
        <v>0</v>
      </c>
      <c r="M15" s="8">
        <f t="shared" si="2"/>
        <v>9</v>
      </c>
      <c r="N15" s="15" t="s">
        <v>12</v>
      </c>
      <c r="O15" s="53" t="str">
        <f t="shared" si="11"/>
        <v>RAT</v>
      </c>
      <c r="P15" s="6"/>
      <c r="Q15" s="27" t="str">
        <f t="shared" si="3"/>
        <v/>
      </c>
      <c r="R15" s="27" t="str">
        <f t="shared" si="12"/>
        <v/>
      </c>
      <c r="S15" s="17" t="str">
        <f t="shared" si="4"/>
        <v>RAT</v>
      </c>
      <c r="T15" s="17" t="str">
        <f t="shared" si="4"/>
        <v>RATE</v>
      </c>
      <c r="U15" s="33" t="str">
        <f t="shared" si="4"/>
        <v>n</v>
      </c>
      <c r="V15" s="3"/>
      <c r="W15" s="33">
        <f t="shared" si="13"/>
        <v>0</v>
      </c>
      <c r="X15" s="2"/>
      <c r="Y15" s="27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</row>
    <row r="16" spans="1:52" ht="19.95" customHeight="1" x14ac:dyDescent="0.35">
      <c r="A16" s="2"/>
      <c r="C16" s="32">
        <f t="shared" si="14"/>
        <v>10</v>
      </c>
      <c r="D16" s="53" t="str">
        <f t="shared" si="5"/>
        <v>DUN</v>
      </c>
      <c r="E16" s="6"/>
      <c r="F16" s="27" t="str">
        <f t="shared" si="0"/>
        <v/>
      </c>
      <c r="G16" s="27" t="str">
        <f t="shared" si="15"/>
        <v/>
      </c>
      <c r="H16" s="17" t="str">
        <f t="shared" si="7"/>
        <v>DUN</v>
      </c>
      <c r="I16" s="17" t="str">
        <f t="shared" si="8"/>
        <v>DUN</v>
      </c>
      <c r="J16" s="11"/>
      <c r="K16" s="33" t="str">
        <f t="shared" si="9"/>
        <v>y</v>
      </c>
      <c r="L16" s="33">
        <f t="shared" si="10"/>
        <v>0</v>
      </c>
      <c r="M16" s="8">
        <f t="shared" si="2"/>
        <v>10</v>
      </c>
      <c r="N16" s="15" t="s">
        <v>12</v>
      </c>
      <c r="O16" s="53" t="str">
        <f t="shared" si="11"/>
        <v>RATE</v>
      </c>
      <c r="P16" s="6"/>
      <c r="Q16" s="27" t="str">
        <f t="shared" si="3"/>
        <v/>
      </c>
      <c r="R16" s="27" t="str">
        <f t="shared" si="12"/>
        <v/>
      </c>
      <c r="S16" s="17" t="str">
        <f t="shared" si="4"/>
        <v>RATE</v>
      </c>
      <c r="T16" s="17" t="str">
        <f t="shared" si="4"/>
        <v>RATE</v>
      </c>
      <c r="U16" s="33" t="str">
        <f t="shared" si="4"/>
        <v>y</v>
      </c>
      <c r="V16" s="3"/>
      <c r="W16" s="33">
        <f t="shared" si="13"/>
        <v>0</v>
      </c>
      <c r="X16" s="2"/>
      <c r="Y16" s="27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</row>
    <row r="17" spans="1:52" ht="19.95" customHeight="1" x14ac:dyDescent="0.35">
      <c r="A17" s="2"/>
      <c r="C17" s="32">
        <f t="shared" si="14"/>
        <v>11</v>
      </c>
      <c r="D17" s="53" t="str">
        <f t="shared" si="5"/>
        <v>MAD</v>
      </c>
      <c r="E17" s="6"/>
      <c r="F17" s="27" t="str">
        <f t="shared" si="0"/>
        <v/>
      </c>
      <c r="G17" s="27" t="str">
        <f t="shared" si="15"/>
        <v/>
      </c>
      <c r="H17" s="17" t="str">
        <f t="shared" si="7"/>
        <v>MAD</v>
      </c>
      <c r="I17" s="17" t="str">
        <f t="shared" si="8"/>
        <v>MAD</v>
      </c>
      <c r="J17" s="11"/>
      <c r="K17" s="33" t="str">
        <f t="shared" si="9"/>
        <v>y</v>
      </c>
      <c r="L17" s="33">
        <f t="shared" si="10"/>
        <v>0</v>
      </c>
      <c r="M17" s="8">
        <f t="shared" si="2"/>
        <v>11</v>
      </c>
      <c r="N17" s="15" t="s">
        <v>12</v>
      </c>
      <c r="O17" s="53" t="str">
        <f t="shared" si="11"/>
        <v>FATE</v>
      </c>
      <c r="P17" s="6"/>
      <c r="Q17" s="27" t="str">
        <f t="shared" si="3"/>
        <v/>
      </c>
      <c r="R17" s="27" t="str">
        <f t="shared" si="12"/>
        <v/>
      </c>
      <c r="S17" s="17" t="str">
        <f t="shared" si="4"/>
        <v>FATE</v>
      </c>
      <c r="T17" s="17" t="str">
        <f t="shared" si="4"/>
        <v>FAT</v>
      </c>
      <c r="U17" s="33" t="str">
        <f t="shared" si="4"/>
        <v>n</v>
      </c>
      <c r="V17" s="3"/>
      <c r="W17" s="33">
        <f t="shared" si="13"/>
        <v>0</v>
      </c>
      <c r="X17" s="2"/>
      <c r="Y17" s="27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</row>
    <row r="18" spans="1:52" ht="19.95" customHeight="1" x14ac:dyDescent="0.35">
      <c r="A18" s="2"/>
      <c r="C18" s="32">
        <f t="shared" si="14"/>
        <v>12</v>
      </c>
      <c r="D18" s="53" t="str">
        <f t="shared" si="5"/>
        <v>MED</v>
      </c>
      <c r="E18" s="6"/>
      <c r="F18" s="27" t="str">
        <f t="shared" si="0"/>
        <v/>
      </c>
      <c r="G18" s="27" t="str">
        <f t="shared" si="15"/>
        <v/>
      </c>
      <c r="H18" s="17" t="str">
        <f t="shared" si="7"/>
        <v>MED</v>
      </c>
      <c r="I18" s="17" t="str">
        <f t="shared" si="8"/>
        <v>MID</v>
      </c>
      <c r="J18" s="11"/>
      <c r="K18" s="33" t="str">
        <f t="shared" si="9"/>
        <v>n</v>
      </c>
      <c r="L18" s="33">
        <f t="shared" si="10"/>
        <v>0</v>
      </c>
      <c r="M18" s="8">
        <f t="shared" si="2"/>
        <v>12</v>
      </c>
      <c r="N18" s="15" t="s">
        <v>12</v>
      </c>
      <c r="O18" s="53" t="str">
        <f t="shared" si="11"/>
        <v>FAT</v>
      </c>
      <c r="P18" s="6"/>
      <c r="Q18" s="27" t="str">
        <f t="shared" si="3"/>
        <v/>
      </c>
      <c r="R18" s="27" t="str">
        <f t="shared" si="12"/>
        <v/>
      </c>
      <c r="S18" s="17" t="str">
        <f t="shared" si="4"/>
        <v>FAT</v>
      </c>
      <c r="T18" s="17" t="str">
        <f t="shared" si="4"/>
        <v>FAT</v>
      </c>
      <c r="U18" s="33" t="str">
        <f t="shared" si="4"/>
        <v>y</v>
      </c>
      <c r="V18" s="3"/>
      <c r="W18" s="33">
        <f t="shared" si="13"/>
        <v>0</v>
      </c>
      <c r="X18" s="2"/>
      <c r="Y18" s="27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</row>
    <row r="19" spans="1:52" ht="19.95" customHeight="1" x14ac:dyDescent="0.35">
      <c r="A19" s="2"/>
      <c r="C19" s="32">
        <f t="shared" si="14"/>
        <v>13</v>
      </c>
      <c r="D19" s="53" t="str">
        <f t="shared" si="5"/>
        <v>MID</v>
      </c>
      <c r="E19" s="6"/>
      <c r="F19" s="27" t="str">
        <f t="shared" si="0"/>
        <v/>
      </c>
      <c r="G19" s="27" t="str">
        <f t="shared" si="15"/>
        <v/>
      </c>
      <c r="H19" s="17" t="str">
        <f t="shared" si="7"/>
        <v>MID</v>
      </c>
      <c r="I19" s="17" t="str">
        <f t="shared" si="8"/>
        <v>MOD</v>
      </c>
      <c r="J19" s="11"/>
      <c r="K19" s="33" t="str">
        <f t="shared" si="9"/>
        <v>n</v>
      </c>
      <c r="L19" s="33">
        <f t="shared" si="10"/>
        <v>0</v>
      </c>
      <c r="M19" s="8">
        <f t="shared" si="2"/>
        <v>13</v>
      </c>
      <c r="N19" s="15" t="s">
        <v>12</v>
      </c>
      <c r="O19" s="53" t="str">
        <f t="shared" si="11"/>
        <v>TOP</v>
      </c>
      <c r="P19" s="6"/>
      <c r="Q19" s="27" t="str">
        <f t="shared" si="3"/>
        <v/>
      </c>
      <c r="R19" s="27" t="str">
        <f t="shared" si="12"/>
        <v/>
      </c>
      <c r="S19" s="17" t="str">
        <f t="shared" si="4"/>
        <v>TOP</v>
      </c>
      <c r="T19" s="17" t="str">
        <f t="shared" si="4"/>
        <v>STOP</v>
      </c>
      <c r="U19" s="33" t="str">
        <f t="shared" si="4"/>
        <v>n</v>
      </c>
      <c r="V19" s="3"/>
      <c r="W19" s="33">
        <f t="shared" si="13"/>
        <v>0</v>
      </c>
      <c r="X19" s="2"/>
      <c r="Y19" s="27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</row>
    <row r="20" spans="1:52" ht="19.95" customHeight="1" x14ac:dyDescent="0.35">
      <c r="A20" s="2"/>
      <c r="C20" s="32">
        <f t="shared" si="14"/>
        <v>14</v>
      </c>
      <c r="D20" s="53" t="str">
        <f t="shared" si="5"/>
        <v>MOD</v>
      </c>
      <c r="E20" s="6"/>
      <c r="F20" s="27" t="str">
        <f t="shared" si="0"/>
        <v/>
      </c>
      <c r="G20" s="27" t="str">
        <f t="shared" si="15"/>
        <v/>
      </c>
      <c r="H20" s="17" t="str">
        <f t="shared" si="7"/>
        <v>MOD</v>
      </c>
      <c r="I20" s="17" t="str">
        <f t="shared" si="8"/>
        <v>MOD</v>
      </c>
      <c r="J20" s="11"/>
      <c r="K20" s="33" t="str">
        <f t="shared" si="9"/>
        <v>y</v>
      </c>
      <c r="L20" s="33">
        <f t="shared" si="10"/>
        <v>0</v>
      </c>
      <c r="M20" s="8">
        <f t="shared" si="2"/>
        <v>14</v>
      </c>
      <c r="N20" s="15" t="s">
        <v>12</v>
      </c>
      <c r="O20" s="53" t="str">
        <f t="shared" si="11"/>
        <v>STOP</v>
      </c>
      <c r="P20" s="6"/>
      <c r="Q20" s="27" t="str">
        <f t="shared" si="3"/>
        <v/>
      </c>
      <c r="R20" s="27" t="str">
        <f t="shared" si="12"/>
        <v/>
      </c>
      <c r="S20" s="17" t="str">
        <f t="shared" si="4"/>
        <v>STOP</v>
      </c>
      <c r="T20" s="17" t="str">
        <f t="shared" si="4"/>
        <v>SOP</v>
      </c>
      <c r="U20" s="33" t="str">
        <f t="shared" si="4"/>
        <v>n</v>
      </c>
      <c r="V20" s="3"/>
      <c r="W20" s="33">
        <f t="shared" si="13"/>
        <v>0</v>
      </c>
      <c r="X20" s="2"/>
      <c r="Y20" s="27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</row>
    <row r="21" spans="1:52" ht="19.95" customHeight="1" x14ac:dyDescent="0.35">
      <c r="A21" s="2"/>
      <c r="C21" s="32">
        <f t="shared" si="14"/>
        <v>15</v>
      </c>
      <c r="D21" s="53" t="str">
        <f t="shared" si="5"/>
        <v>MUD</v>
      </c>
      <c r="E21" s="6"/>
      <c r="F21" s="27" t="str">
        <f t="shared" si="0"/>
        <v/>
      </c>
      <c r="G21" s="27" t="str">
        <f t="shared" si="15"/>
        <v/>
      </c>
      <c r="H21" s="17" t="str">
        <f t="shared" si="7"/>
        <v>MUD</v>
      </c>
      <c r="I21" s="17" t="str">
        <f t="shared" si="8"/>
        <v>MUD</v>
      </c>
      <c r="J21" s="11"/>
      <c r="K21" s="33" t="str">
        <f t="shared" si="9"/>
        <v>y</v>
      </c>
      <c r="L21" s="33">
        <f t="shared" si="10"/>
        <v>0</v>
      </c>
      <c r="M21" s="8">
        <f t="shared" si="2"/>
        <v>15</v>
      </c>
      <c r="N21" s="15" t="s">
        <v>12</v>
      </c>
      <c r="O21" s="53" t="str">
        <f t="shared" si="11"/>
        <v>SOP</v>
      </c>
      <c r="P21" s="6"/>
      <c r="Q21" s="27" t="str">
        <f t="shared" si="3"/>
        <v/>
      </c>
      <c r="R21" s="27" t="str">
        <f t="shared" si="12"/>
        <v/>
      </c>
      <c r="S21" s="17" t="str">
        <f t="shared" si="4"/>
        <v>SOP</v>
      </c>
      <c r="T21" s="17" t="str">
        <f t="shared" si="4"/>
        <v>STOP</v>
      </c>
      <c r="U21" s="33" t="str">
        <f t="shared" si="4"/>
        <v>n</v>
      </c>
      <c r="V21" s="3"/>
      <c r="W21" s="33">
        <f t="shared" si="13"/>
        <v>0</v>
      </c>
      <c r="X21" s="2"/>
      <c r="Y21" s="27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</row>
    <row r="22" spans="1:52" ht="19.95" customHeight="1" x14ac:dyDescent="0.35">
      <c r="A22" s="2"/>
      <c r="C22" s="32">
        <f t="shared" si="14"/>
        <v>16</v>
      </c>
      <c r="D22" s="53" t="str">
        <f t="shared" si="5"/>
        <v>SAT</v>
      </c>
      <c r="E22" s="6"/>
      <c r="F22" s="27" t="str">
        <f t="shared" si="0"/>
        <v/>
      </c>
      <c r="G22" s="27" t="str">
        <f t="shared" si="15"/>
        <v/>
      </c>
      <c r="H22" s="17" t="str">
        <f t="shared" si="7"/>
        <v>SAT</v>
      </c>
      <c r="I22" s="17" t="str">
        <f t="shared" si="8"/>
        <v>SET</v>
      </c>
      <c r="J22" s="11"/>
      <c r="K22" s="33" t="str">
        <f t="shared" si="9"/>
        <v>n</v>
      </c>
      <c r="L22" s="33">
        <f t="shared" si="10"/>
        <v>0</v>
      </c>
      <c r="M22" s="8">
        <f t="shared" si="2"/>
        <v>16</v>
      </c>
      <c r="N22" s="15" t="s">
        <v>12</v>
      </c>
      <c r="O22" s="53" t="str">
        <f t="shared" si="11"/>
        <v>MEN</v>
      </c>
      <c r="P22" s="6"/>
      <c r="Q22" s="27" t="str">
        <f t="shared" si="3"/>
        <v/>
      </c>
      <c r="R22" s="27" t="str">
        <f t="shared" si="12"/>
        <v/>
      </c>
      <c r="S22" s="17" t="str">
        <f t="shared" si="4"/>
        <v>MEN</v>
      </c>
      <c r="T22" s="17" t="str">
        <f t="shared" si="4"/>
        <v>MEND</v>
      </c>
      <c r="U22" s="33" t="str">
        <f t="shared" si="4"/>
        <v>n</v>
      </c>
      <c r="V22" s="3"/>
      <c r="W22" s="33">
        <f t="shared" si="13"/>
        <v>0</v>
      </c>
      <c r="X22" s="2"/>
      <c r="Y22" s="27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</row>
    <row r="23" spans="1:52" ht="19.95" customHeight="1" x14ac:dyDescent="0.35">
      <c r="A23" s="2"/>
      <c r="C23" s="32">
        <f t="shared" si="14"/>
        <v>17</v>
      </c>
      <c r="D23" s="53" t="str">
        <f t="shared" si="5"/>
        <v>SET</v>
      </c>
      <c r="E23" s="6"/>
      <c r="F23" s="27" t="str">
        <f t="shared" si="0"/>
        <v/>
      </c>
      <c r="G23" s="27" t="str">
        <f t="shared" si="15"/>
        <v/>
      </c>
      <c r="H23" s="17" t="str">
        <f t="shared" si="7"/>
        <v>SET</v>
      </c>
      <c r="I23" s="17" t="str">
        <f t="shared" si="8"/>
        <v>SET</v>
      </c>
      <c r="J23" s="11"/>
      <c r="K23" s="33" t="str">
        <f t="shared" si="9"/>
        <v>y</v>
      </c>
      <c r="L23" s="33">
        <f t="shared" si="10"/>
        <v>0</v>
      </c>
      <c r="M23" s="8">
        <f t="shared" si="2"/>
        <v>17</v>
      </c>
      <c r="N23" s="15" t="s">
        <v>12</v>
      </c>
      <c r="O23" s="53" t="str">
        <f t="shared" si="11"/>
        <v>MEND</v>
      </c>
      <c r="P23" s="6"/>
      <c r="Q23" s="27" t="str">
        <f t="shared" si="3"/>
        <v/>
      </c>
      <c r="R23" s="27" t="str">
        <f t="shared" si="12"/>
        <v/>
      </c>
      <c r="S23" s="17" t="str">
        <f t="shared" si="4"/>
        <v>MEND</v>
      </c>
      <c r="T23" s="17" t="str">
        <f t="shared" si="4"/>
        <v>MEND</v>
      </c>
      <c r="U23" s="33" t="str">
        <f t="shared" si="4"/>
        <v>y</v>
      </c>
      <c r="V23" s="3"/>
      <c r="W23" s="33">
        <f t="shared" si="13"/>
        <v>0</v>
      </c>
      <c r="X23" s="2"/>
      <c r="Y23" s="27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</row>
    <row r="24" spans="1:52" ht="19.95" customHeight="1" x14ac:dyDescent="0.35">
      <c r="A24" s="2"/>
      <c r="C24" s="32">
        <f t="shared" si="14"/>
        <v>18</v>
      </c>
      <c r="D24" s="53" t="str">
        <f t="shared" si="5"/>
        <v>SIT</v>
      </c>
      <c r="E24" s="6"/>
      <c r="F24" s="27" t="str">
        <f t="shared" si="0"/>
        <v/>
      </c>
      <c r="G24" s="27" t="str">
        <f t="shared" si="15"/>
        <v/>
      </c>
      <c r="H24" s="17" t="str">
        <f t="shared" si="7"/>
        <v>SIT</v>
      </c>
      <c r="I24" s="17" t="str">
        <f t="shared" si="8"/>
        <v>SIT</v>
      </c>
      <c r="J24" s="11"/>
      <c r="K24" s="33" t="str">
        <f t="shared" si="9"/>
        <v>y</v>
      </c>
      <c r="L24" s="33">
        <f t="shared" si="10"/>
        <v>0</v>
      </c>
      <c r="M24" s="8">
        <f t="shared" si="2"/>
        <v>18</v>
      </c>
      <c r="N24" s="15" t="s">
        <v>12</v>
      </c>
      <c r="O24" s="53" t="str">
        <f t="shared" si="11"/>
        <v>GOAT</v>
      </c>
      <c r="P24" s="6"/>
      <c r="Q24" s="27" t="str">
        <f t="shared" si="3"/>
        <v/>
      </c>
      <c r="R24" s="27" t="str">
        <f t="shared" si="12"/>
        <v/>
      </c>
      <c r="S24" s="17" t="str">
        <f t="shared" si="4"/>
        <v>GOAT</v>
      </c>
      <c r="T24" s="17" t="str">
        <f t="shared" si="4"/>
        <v>GOT</v>
      </c>
      <c r="U24" s="33" t="str">
        <f t="shared" si="4"/>
        <v>n</v>
      </c>
      <c r="V24" s="3"/>
      <c r="W24" s="33">
        <f t="shared" si="13"/>
        <v>0</v>
      </c>
      <c r="X24" s="2"/>
      <c r="Y24" s="27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</row>
    <row r="25" spans="1:52" ht="19.95" customHeight="1" x14ac:dyDescent="0.35">
      <c r="A25" s="2"/>
      <c r="C25" s="32">
        <f t="shared" si="14"/>
        <v>19</v>
      </c>
      <c r="D25" s="53" t="str">
        <f t="shared" si="5"/>
        <v xml:space="preserve">SOT </v>
      </c>
      <c r="E25" s="6"/>
      <c r="F25" s="27" t="str">
        <f t="shared" si="0"/>
        <v/>
      </c>
      <c r="G25" s="27" t="str">
        <f t="shared" si="15"/>
        <v/>
      </c>
      <c r="H25" s="17" t="str">
        <f t="shared" si="7"/>
        <v xml:space="preserve">SOT </v>
      </c>
      <c r="I25" s="17" t="str">
        <f t="shared" si="8"/>
        <v>SOOT</v>
      </c>
      <c r="J25" s="11"/>
      <c r="K25" s="33" t="str">
        <f t="shared" si="9"/>
        <v>n</v>
      </c>
      <c r="L25" s="33">
        <f t="shared" si="10"/>
        <v>0</v>
      </c>
      <c r="M25" s="8">
        <f t="shared" si="2"/>
        <v>19</v>
      </c>
      <c r="N25" s="15" t="s">
        <v>12</v>
      </c>
      <c r="O25" s="53" t="str">
        <f t="shared" si="11"/>
        <v>GOT</v>
      </c>
      <c r="P25" s="6"/>
      <c r="Q25" s="27" t="str">
        <f t="shared" si="3"/>
        <v/>
      </c>
      <c r="R25" s="27" t="str">
        <f t="shared" si="12"/>
        <v/>
      </c>
      <c r="S25" s="17" t="str">
        <f t="shared" si="4"/>
        <v>GOT</v>
      </c>
      <c r="T25" s="17" t="str">
        <f t="shared" si="4"/>
        <v>GOT</v>
      </c>
      <c r="U25" s="33" t="str">
        <f t="shared" si="4"/>
        <v>y</v>
      </c>
      <c r="V25" s="3"/>
      <c r="W25" s="33">
        <f t="shared" si="13"/>
        <v>0</v>
      </c>
      <c r="X25" s="2"/>
      <c r="Y25" s="27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</row>
    <row r="26" spans="1:52" ht="19.95" customHeight="1" x14ac:dyDescent="0.35">
      <c r="A26" s="2"/>
      <c r="C26" s="32">
        <f t="shared" si="14"/>
        <v>20</v>
      </c>
      <c r="D26" s="53" t="str">
        <f t="shared" si="5"/>
        <v>SOOT</v>
      </c>
      <c r="E26" s="6"/>
      <c r="F26" s="27" t="str">
        <f t="shared" si="0"/>
        <v/>
      </c>
      <c r="G26" s="27" t="str">
        <f t="shared" si="15"/>
        <v/>
      </c>
      <c r="H26" s="17" t="str">
        <f t="shared" si="7"/>
        <v>SOOT</v>
      </c>
      <c r="I26" s="17" t="str">
        <f t="shared" si="8"/>
        <v>SAT</v>
      </c>
      <c r="J26" s="11"/>
      <c r="K26" s="33" t="str">
        <f t="shared" si="9"/>
        <v>n</v>
      </c>
      <c r="L26" s="33">
        <f t="shared" si="10"/>
        <v>0</v>
      </c>
      <c r="M26" s="8">
        <f t="shared" si="2"/>
        <v>20</v>
      </c>
      <c r="N26" s="15" t="s">
        <v>12</v>
      </c>
      <c r="O26" s="53" t="str">
        <f t="shared" si="11"/>
        <v>GET</v>
      </c>
      <c r="P26" s="6"/>
      <c r="Q26" s="27" t="str">
        <f t="shared" si="3"/>
        <v/>
      </c>
      <c r="R26" s="27" t="str">
        <f t="shared" si="12"/>
        <v/>
      </c>
      <c r="S26" s="17" t="str">
        <f t="shared" si="4"/>
        <v>GET</v>
      </c>
      <c r="T26" s="17" t="str">
        <f t="shared" si="4"/>
        <v>GET</v>
      </c>
      <c r="U26" s="33" t="str">
        <f t="shared" si="4"/>
        <v>y</v>
      </c>
      <c r="V26" s="3"/>
      <c r="W26" s="33">
        <f t="shared" si="13"/>
        <v>0</v>
      </c>
      <c r="X26" s="2"/>
      <c r="Y26" s="27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</row>
    <row r="27" spans="1:52" x14ac:dyDescent="0.35">
      <c r="A27" s="2"/>
      <c r="B27" s="8"/>
      <c r="C27" s="3"/>
      <c r="D27" s="3"/>
      <c r="E27" s="2"/>
      <c r="F27" s="27"/>
      <c r="G27" s="27"/>
      <c r="I27" s="17" t="str">
        <f>I60</f>
        <v>SAT</v>
      </c>
      <c r="J27" s="11"/>
      <c r="K27" s="2"/>
      <c r="L27" s="3"/>
      <c r="M27" s="8"/>
      <c r="N27" s="3"/>
      <c r="O27" s="3"/>
      <c r="P27" s="2"/>
      <c r="Q27" s="28"/>
      <c r="R27" s="28"/>
      <c r="S27" s="5"/>
      <c r="T27" s="11"/>
      <c r="U27" s="2"/>
      <c r="V27" s="3"/>
      <c r="W27" s="3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</row>
    <row r="28" spans="1:52" x14ac:dyDescent="0.35">
      <c r="A28" s="2"/>
      <c r="B28" s="8"/>
      <c r="C28" s="3"/>
      <c r="D28" s="3"/>
      <c r="E28" s="2"/>
      <c r="F28" s="27"/>
      <c r="G28" s="27"/>
      <c r="I28" s="11"/>
      <c r="J28" s="11"/>
      <c r="K28" s="2"/>
      <c r="L28" s="3"/>
      <c r="M28" s="8"/>
      <c r="N28" s="3"/>
      <c r="O28" s="3"/>
      <c r="P28" s="2"/>
      <c r="Q28" s="28"/>
      <c r="R28" s="28"/>
      <c r="S28" s="5"/>
      <c r="T28" s="11"/>
      <c r="U28" s="2"/>
      <c r="V28" s="3" t="s">
        <v>43</v>
      </c>
      <c r="W28" s="3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</row>
    <row r="29" spans="1:52" x14ac:dyDescent="0.35">
      <c r="A29" s="2"/>
      <c r="B29" s="8"/>
      <c r="C29" s="3"/>
      <c r="D29" s="3"/>
      <c r="E29" s="2"/>
      <c r="F29" s="28"/>
      <c r="G29" s="28"/>
      <c r="I29" s="11"/>
      <c r="J29" s="11"/>
      <c r="K29" s="2"/>
      <c r="L29" s="3"/>
      <c r="M29" s="8"/>
      <c r="N29" s="3"/>
      <c r="O29" s="3"/>
      <c r="P29" s="2"/>
      <c r="Q29" s="28"/>
      <c r="R29" s="28"/>
      <c r="S29" s="5"/>
      <c r="T29" s="11"/>
      <c r="U29" s="2"/>
      <c r="V29" s="3"/>
      <c r="W29" s="3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</row>
    <row r="30" spans="1:52" x14ac:dyDescent="0.35">
      <c r="A30" s="2"/>
      <c r="B30" s="8"/>
      <c r="C30" s="3"/>
      <c r="D30" s="3"/>
      <c r="E30" s="2"/>
      <c r="F30" s="28"/>
      <c r="G30" s="28"/>
      <c r="I30" s="11"/>
      <c r="J30" s="11"/>
      <c r="K30" s="2"/>
      <c r="L30" s="3"/>
      <c r="M30" s="2"/>
      <c r="N30" s="3"/>
      <c r="O30" s="3"/>
      <c r="P30" s="2"/>
      <c r="Q30" s="31"/>
      <c r="R30" s="31"/>
      <c r="S30" s="2"/>
      <c r="T30" s="2"/>
      <c r="U30" s="2"/>
      <c r="V30" s="3"/>
      <c r="W30" s="3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</row>
    <row r="31" spans="1:52" x14ac:dyDescent="0.35">
      <c r="A31" s="2"/>
      <c r="B31" s="8"/>
      <c r="C31" s="3"/>
      <c r="D31" s="3"/>
      <c r="E31" s="2"/>
      <c r="F31" s="28"/>
      <c r="G31" s="28"/>
      <c r="I31" s="11"/>
      <c r="J31" s="11"/>
      <c r="K31" s="2"/>
      <c r="L31" s="3"/>
      <c r="M31" s="2"/>
      <c r="N31" s="3"/>
      <c r="O31" s="3"/>
      <c r="P31" s="2"/>
      <c r="Q31" s="31"/>
      <c r="R31" s="31"/>
      <c r="S31" s="2"/>
      <c r="T31" s="2"/>
      <c r="U31" s="2"/>
      <c r="V31" s="3"/>
      <c r="W31" s="3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</row>
    <row r="32" spans="1:52" x14ac:dyDescent="0.35">
      <c r="A32" s="2"/>
      <c r="B32" s="8"/>
      <c r="C32" s="3"/>
      <c r="D32" s="3"/>
      <c r="E32" s="2"/>
      <c r="F32" s="28"/>
      <c r="G32" s="28"/>
      <c r="I32" s="11"/>
      <c r="J32" s="11"/>
      <c r="K32" s="2"/>
      <c r="L32" s="3"/>
      <c r="M32" s="2"/>
      <c r="N32" s="3"/>
      <c r="O32" s="3"/>
      <c r="P32" s="2"/>
      <c r="Q32" s="31"/>
      <c r="R32" s="31"/>
      <c r="S32" s="2"/>
      <c r="T32" s="2"/>
      <c r="U32" s="2"/>
      <c r="V32" s="3"/>
      <c r="W32" s="3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</row>
    <row r="33" spans="1:52" x14ac:dyDescent="0.35">
      <c r="A33" s="2"/>
      <c r="B33" s="8"/>
      <c r="C33" s="3"/>
      <c r="D33" s="3"/>
      <c r="E33" s="2"/>
      <c r="F33" s="28"/>
      <c r="G33" s="28"/>
      <c r="I33" s="11"/>
      <c r="J33" s="11"/>
      <c r="K33" s="2"/>
      <c r="L33" s="3"/>
      <c r="M33" s="2"/>
      <c r="N33" s="3"/>
      <c r="O33" s="3"/>
      <c r="P33" s="2"/>
      <c r="Q33" s="31"/>
      <c r="R33" s="31"/>
      <c r="S33" s="2"/>
      <c r="T33" s="2"/>
      <c r="U33" s="2"/>
      <c r="V33" s="3"/>
      <c r="W33" s="3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</row>
    <row r="34" spans="1:52" x14ac:dyDescent="0.35">
      <c r="A34" s="2"/>
      <c r="B34" s="8"/>
      <c r="C34" s="3"/>
      <c r="D34" s="3"/>
      <c r="E34" s="2"/>
      <c r="F34" s="28"/>
      <c r="G34" s="28"/>
      <c r="I34" s="11"/>
      <c r="J34" s="11"/>
      <c r="K34" s="2"/>
      <c r="L34" s="3"/>
      <c r="M34" s="2"/>
      <c r="N34" s="3"/>
      <c r="O34" s="3"/>
      <c r="P34" s="2"/>
      <c r="Q34" s="31"/>
      <c r="R34" s="31"/>
      <c r="S34" s="2"/>
      <c r="T34" s="2"/>
      <c r="U34" s="2"/>
      <c r="V34" s="3"/>
      <c r="W34" s="3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</row>
    <row r="35" spans="1:52" x14ac:dyDescent="0.35">
      <c r="A35" s="2"/>
      <c r="B35" s="8"/>
      <c r="C35" s="3"/>
      <c r="D35" s="3"/>
      <c r="E35" s="2"/>
      <c r="F35" s="28"/>
      <c r="G35" s="28"/>
      <c r="I35" s="11"/>
      <c r="J35" s="11"/>
      <c r="K35" s="2"/>
      <c r="L35" s="3"/>
      <c r="M35" s="2"/>
      <c r="N35" s="3"/>
      <c r="O35" s="3"/>
      <c r="P35" s="2"/>
      <c r="Q35" s="31"/>
      <c r="R35" s="31"/>
      <c r="S35" s="2"/>
      <c r="T35" s="2"/>
      <c r="U35" s="2"/>
      <c r="V35" s="3"/>
      <c r="W35" s="3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</row>
    <row r="36" spans="1:52" x14ac:dyDescent="0.35">
      <c r="A36" s="2"/>
      <c r="B36" s="8"/>
      <c r="C36" s="3"/>
      <c r="D36" s="3"/>
      <c r="E36" s="2"/>
      <c r="F36" s="28"/>
      <c r="G36" s="28"/>
      <c r="I36" s="11"/>
      <c r="J36" s="11"/>
      <c r="K36" s="2"/>
      <c r="L36" s="3"/>
      <c r="M36" s="2"/>
      <c r="N36" s="3"/>
      <c r="O36" s="3"/>
      <c r="P36" s="2"/>
      <c r="Q36" s="31"/>
      <c r="R36" s="31"/>
      <c r="S36" s="2"/>
      <c r="T36" s="2"/>
      <c r="U36" s="2"/>
      <c r="V36" s="3"/>
      <c r="W36" s="3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</row>
    <row r="37" spans="1:52" x14ac:dyDescent="0.35">
      <c r="A37" s="2"/>
      <c r="B37" s="8"/>
      <c r="C37" s="3"/>
      <c r="D37" s="3"/>
      <c r="E37" s="2"/>
      <c r="F37" s="28"/>
      <c r="G37" s="28"/>
      <c r="I37" s="11"/>
      <c r="J37" s="11"/>
      <c r="K37" s="2"/>
      <c r="L37" s="3"/>
      <c r="M37" s="2"/>
      <c r="N37" s="3"/>
      <c r="O37" s="3"/>
      <c r="P37" s="2"/>
      <c r="Q37" s="31"/>
      <c r="R37" s="31"/>
      <c r="S37" s="2"/>
      <c r="T37" s="2"/>
      <c r="U37" s="2"/>
      <c r="V37" s="3"/>
      <c r="W37" s="3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</row>
    <row r="38" spans="1:52" x14ac:dyDescent="0.35">
      <c r="A38" s="2"/>
      <c r="B38" s="8"/>
      <c r="C38" s="3"/>
      <c r="D38" s="3"/>
      <c r="E38" s="2"/>
      <c r="F38" s="28"/>
      <c r="G38" s="28"/>
      <c r="I38" s="11"/>
      <c r="J38" s="11"/>
      <c r="K38" s="2"/>
      <c r="L38" s="3"/>
      <c r="M38" s="2"/>
      <c r="N38" s="3"/>
      <c r="O38" s="3"/>
      <c r="P38" s="2"/>
      <c r="Q38" s="31"/>
      <c r="R38" s="31"/>
      <c r="S38" s="2"/>
      <c r="T38" s="2"/>
      <c r="U38" s="2"/>
      <c r="V38" s="3"/>
      <c r="W38" s="3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</row>
    <row r="39" spans="1:52" x14ac:dyDescent="0.35">
      <c r="A39" s="2"/>
      <c r="B39" s="8"/>
      <c r="C39" s="3"/>
      <c r="D39" s="3"/>
      <c r="E39" s="2"/>
      <c r="F39" s="28"/>
      <c r="H39" s="50" t="s">
        <v>44</v>
      </c>
      <c r="I39" s="11"/>
      <c r="J39" s="11"/>
      <c r="K39" s="2"/>
      <c r="L39" s="3"/>
      <c r="M39" s="2"/>
      <c r="N39" s="3"/>
      <c r="O39" s="3"/>
      <c r="P39" s="2"/>
      <c r="Q39" s="28"/>
      <c r="R39" s="29"/>
      <c r="S39" s="50" t="s">
        <v>44</v>
      </c>
      <c r="T39" s="11"/>
      <c r="U39" s="11"/>
      <c r="V39" s="3"/>
      <c r="W39" s="3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</row>
    <row r="40" spans="1:52" x14ac:dyDescent="0.35">
      <c r="A40" s="2"/>
      <c r="B40" s="8"/>
      <c r="C40" s="3"/>
      <c r="D40" s="3"/>
      <c r="E40" s="2"/>
      <c r="F40" s="28"/>
      <c r="I40" s="11" t="s">
        <v>93</v>
      </c>
      <c r="J40" s="20"/>
      <c r="K40" s="20"/>
      <c r="L40" s="36"/>
      <c r="M40" s="20"/>
      <c r="N40" s="3"/>
      <c r="O40" s="3"/>
      <c r="P40" s="2"/>
      <c r="Q40" s="28"/>
      <c r="R40" s="29"/>
      <c r="S40" s="49"/>
      <c r="T40" s="11" t="s">
        <v>93</v>
      </c>
      <c r="U40" s="20"/>
      <c r="V40" s="3"/>
      <c r="W40" s="3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</row>
    <row r="41" spans="1:52" x14ac:dyDescent="0.35">
      <c r="A41" s="2"/>
      <c r="C41" s="31" t="s">
        <v>95</v>
      </c>
      <c r="D41" s="3"/>
      <c r="E41" s="2"/>
      <c r="F41" s="28"/>
      <c r="G41" s="42">
        <v>1</v>
      </c>
      <c r="H41" s="54" t="s">
        <v>69</v>
      </c>
      <c r="I41" s="51" t="str">
        <f>IF(J41="Y",H41,H42)</f>
        <v>BAT</v>
      </c>
      <c r="J41" s="43" t="s">
        <v>11</v>
      </c>
      <c r="K41" s="2"/>
      <c r="L41" s="37"/>
      <c r="M41" s="8"/>
      <c r="N41" s="31" t="s">
        <v>96</v>
      </c>
      <c r="O41" s="3"/>
      <c r="P41" s="2"/>
      <c r="Q41" s="28"/>
      <c r="R41" s="42">
        <v>1</v>
      </c>
      <c r="S41" s="54" t="s">
        <v>98</v>
      </c>
      <c r="T41" s="51" t="s">
        <v>100</v>
      </c>
      <c r="U41" s="43" t="str">
        <f>IF(S41=T41,"y","n")</f>
        <v>n</v>
      </c>
      <c r="V41" s="3"/>
      <c r="W41" s="3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</row>
    <row r="42" spans="1:52" x14ac:dyDescent="0.35">
      <c r="A42" s="2"/>
      <c r="C42" s="55" t="s">
        <v>94</v>
      </c>
      <c r="D42" s="55"/>
      <c r="E42" s="2"/>
      <c r="F42" s="28"/>
      <c r="G42" s="42">
        <f>1+G41</f>
        <v>2</v>
      </c>
      <c r="H42" s="54" t="s">
        <v>70</v>
      </c>
      <c r="I42" s="51" t="str">
        <f t="shared" ref="I42:I59" si="16">IF(J42="Y",H42,H43)</f>
        <v>BIT</v>
      </c>
      <c r="J42" s="44" t="s">
        <v>46</v>
      </c>
      <c r="K42" s="2"/>
      <c r="L42" s="38"/>
      <c r="M42" s="8"/>
      <c r="N42" s="30" t="s">
        <v>97</v>
      </c>
      <c r="O42" s="56"/>
      <c r="P42" s="2"/>
      <c r="Q42" s="28"/>
      <c r="R42" s="42">
        <f>1+R41</f>
        <v>2</v>
      </c>
      <c r="S42" s="54" t="s">
        <v>99</v>
      </c>
      <c r="T42" s="51" t="s">
        <v>99</v>
      </c>
      <c r="U42" s="43" t="str">
        <f t="shared" ref="U42:U60" si="17">IF(S42=T42,"y","n")</f>
        <v>y</v>
      </c>
      <c r="V42" s="3"/>
      <c r="W42" s="3"/>
      <c r="X42" s="2" t="s">
        <v>51</v>
      </c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</row>
    <row r="43" spans="1:52" x14ac:dyDescent="0.35">
      <c r="A43" s="2"/>
      <c r="B43" s="8"/>
      <c r="C43" s="31" t="s">
        <v>89</v>
      </c>
      <c r="D43" s="3"/>
      <c r="E43" s="2"/>
      <c r="F43" s="28"/>
      <c r="G43" s="42">
        <f t="shared" ref="G43:G60" si="18">1+G42</f>
        <v>3</v>
      </c>
      <c r="H43" s="54" t="s">
        <v>71</v>
      </c>
      <c r="I43" s="51" t="str">
        <f t="shared" si="16"/>
        <v>BOT</v>
      </c>
      <c r="J43" s="44" t="s">
        <v>46</v>
      </c>
      <c r="K43" s="2"/>
      <c r="L43" s="38"/>
      <c r="M43" s="8"/>
      <c r="N43" s="31"/>
      <c r="O43" s="3"/>
      <c r="P43" s="2"/>
      <c r="Q43" s="28"/>
      <c r="R43" s="42">
        <f t="shared" ref="R43:R60" si="19">1+R42</f>
        <v>3</v>
      </c>
      <c r="S43" s="54" t="s">
        <v>31</v>
      </c>
      <c r="T43" s="51" t="s">
        <v>99</v>
      </c>
      <c r="U43" s="43" t="str">
        <f t="shared" si="17"/>
        <v>n</v>
      </c>
      <c r="V43" s="3"/>
      <c r="W43" s="3"/>
      <c r="X43" s="2" t="s">
        <v>52</v>
      </c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</row>
    <row r="44" spans="1:52" x14ac:dyDescent="0.35">
      <c r="A44" s="2"/>
      <c r="B44" s="8"/>
      <c r="C44" s="31" t="s">
        <v>90</v>
      </c>
      <c r="D44" s="3"/>
      <c r="E44" s="2"/>
      <c r="F44" s="28"/>
      <c r="G44" s="42">
        <f t="shared" si="18"/>
        <v>4</v>
      </c>
      <c r="H44" s="54" t="s">
        <v>72</v>
      </c>
      <c r="I44" s="51" t="str">
        <f t="shared" si="16"/>
        <v>BUT</v>
      </c>
      <c r="J44" s="44"/>
      <c r="K44" s="2"/>
      <c r="L44" s="38"/>
      <c r="M44" s="8"/>
      <c r="N44" s="31"/>
      <c r="O44" s="3"/>
      <c r="P44" s="2"/>
      <c r="Q44" s="28"/>
      <c r="R44" s="42">
        <f t="shared" si="19"/>
        <v>4</v>
      </c>
      <c r="S44" s="54" t="s">
        <v>100</v>
      </c>
      <c r="T44" s="51" t="s">
        <v>98</v>
      </c>
      <c r="U44" s="43" t="str">
        <f t="shared" si="17"/>
        <v>n</v>
      </c>
      <c r="V44" s="3"/>
      <c r="W44" s="3"/>
      <c r="X44" s="2" t="s">
        <v>53</v>
      </c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</row>
    <row r="45" spans="1:52" x14ac:dyDescent="0.35">
      <c r="A45" s="2"/>
      <c r="B45" s="8"/>
      <c r="C45" s="31" t="s">
        <v>91</v>
      </c>
      <c r="D45" s="3"/>
      <c r="E45" s="2"/>
      <c r="F45" s="28"/>
      <c r="G45" s="42">
        <f t="shared" si="18"/>
        <v>5</v>
      </c>
      <c r="H45" s="54" t="s">
        <v>73</v>
      </c>
      <c r="I45" s="51" t="str">
        <f>IF(J45="Y",H45,H41)</f>
        <v>BUT</v>
      </c>
      <c r="J45" s="44" t="s">
        <v>11</v>
      </c>
      <c r="K45" s="2"/>
      <c r="L45" s="38"/>
      <c r="M45" s="8"/>
      <c r="N45" s="31"/>
      <c r="O45" s="3"/>
      <c r="P45" s="2"/>
      <c r="Q45" s="28"/>
      <c r="R45" s="42">
        <f t="shared" si="19"/>
        <v>5</v>
      </c>
      <c r="S45" s="54" t="s">
        <v>101</v>
      </c>
      <c r="T45" s="51" t="s">
        <v>101</v>
      </c>
      <c r="U45" s="43" t="str">
        <f t="shared" si="17"/>
        <v>y</v>
      </c>
      <c r="V45" s="3"/>
      <c r="W45" s="3"/>
      <c r="X45" s="2" t="s">
        <v>54</v>
      </c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</row>
    <row r="46" spans="1:52" x14ac:dyDescent="0.35">
      <c r="A46" s="2"/>
      <c r="B46" s="8"/>
      <c r="C46" s="31"/>
      <c r="D46" s="3"/>
      <c r="E46" s="2"/>
      <c r="F46" s="28"/>
      <c r="G46" s="42">
        <f t="shared" si="18"/>
        <v>6</v>
      </c>
      <c r="H46" s="54" t="s">
        <v>74</v>
      </c>
      <c r="I46" s="51" t="str">
        <f>IF(J46="Y",H46,H47)</f>
        <v>DEN</v>
      </c>
      <c r="J46" s="44" t="s">
        <v>46</v>
      </c>
      <c r="K46" s="2"/>
      <c r="L46" s="38"/>
      <c r="M46" s="8"/>
      <c r="N46" s="31"/>
      <c r="O46" s="3"/>
      <c r="P46" s="2"/>
      <c r="Q46" s="28"/>
      <c r="R46" s="42">
        <f t="shared" si="19"/>
        <v>6</v>
      </c>
      <c r="S46" s="54" t="s">
        <v>102</v>
      </c>
      <c r="T46" s="51" t="s">
        <v>103</v>
      </c>
      <c r="U46" s="43" t="str">
        <f t="shared" si="17"/>
        <v>n</v>
      </c>
      <c r="V46" s="3"/>
      <c r="W46" s="3"/>
      <c r="X46" s="2" t="s">
        <v>55</v>
      </c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</row>
    <row r="47" spans="1:52" x14ac:dyDescent="0.35">
      <c r="A47" s="2"/>
      <c r="B47" s="8"/>
      <c r="C47" s="3"/>
      <c r="D47" s="3"/>
      <c r="E47" s="2"/>
      <c r="F47" s="28"/>
      <c r="G47" s="42">
        <f t="shared" si="18"/>
        <v>7</v>
      </c>
      <c r="H47" s="54" t="s">
        <v>75</v>
      </c>
      <c r="I47" s="51" t="str">
        <f t="shared" si="16"/>
        <v>DEN</v>
      </c>
      <c r="J47" s="44" t="s">
        <v>11</v>
      </c>
      <c r="K47" s="2"/>
      <c r="L47" s="38"/>
      <c r="M47" s="8"/>
      <c r="N47" s="3"/>
      <c r="O47" s="3"/>
      <c r="P47" s="2"/>
      <c r="Q47" s="28"/>
      <c r="R47" s="42">
        <f t="shared" si="19"/>
        <v>7</v>
      </c>
      <c r="S47" s="54" t="s">
        <v>103</v>
      </c>
      <c r="T47" s="51" t="s">
        <v>103</v>
      </c>
      <c r="U47" s="43" t="str">
        <f t="shared" si="17"/>
        <v>y</v>
      </c>
      <c r="V47" s="3"/>
      <c r="W47" s="3"/>
      <c r="X47" s="2" t="s">
        <v>53</v>
      </c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</row>
    <row r="48" spans="1:52" x14ac:dyDescent="0.35">
      <c r="A48" s="2"/>
      <c r="B48" s="8"/>
      <c r="C48" s="3"/>
      <c r="D48" s="3"/>
      <c r="E48" s="2"/>
      <c r="F48" s="28"/>
      <c r="G48" s="42">
        <f t="shared" si="18"/>
        <v>8</v>
      </c>
      <c r="H48" s="54" t="s">
        <v>76</v>
      </c>
      <c r="I48" s="51" t="str">
        <f t="shared" si="16"/>
        <v>DON</v>
      </c>
      <c r="J48" s="44" t="s">
        <v>46</v>
      </c>
      <c r="K48" s="2"/>
      <c r="L48" s="38"/>
      <c r="M48" s="8"/>
      <c r="N48" s="3"/>
      <c r="O48" s="3"/>
      <c r="P48" s="2"/>
      <c r="Q48" s="28"/>
      <c r="R48" s="42">
        <f t="shared" si="19"/>
        <v>8</v>
      </c>
      <c r="S48" s="54" t="s">
        <v>104</v>
      </c>
      <c r="T48" s="51" t="s">
        <v>104</v>
      </c>
      <c r="U48" s="43" t="str">
        <f t="shared" si="17"/>
        <v>y</v>
      </c>
      <c r="V48" s="3"/>
      <c r="W48" s="3"/>
      <c r="X48" s="2" t="s">
        <v>56</v>
      </c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</row>
    <row r="49" spans="1:52" x14ac:dyDescent="0.35">
      <c r="A49" s="2"/>
      <c r="B49" s="8"/>
      <c r="C49" s="3"/>
      <c r="D49" s="3"/>
      <c r="E49" s="2"/>
      <c r="F49" s="28"/>
      <c r="G49" s="42">
        <f t="shared" si="18"/>
        <v>9</v>
      </c>
      <c r="H49" s="54" t="s">
        <v>77</v>
      </c>
      <c r="I49" s="51" t="str">
        <f t="shared" si="16"/>
        <v>DUN</v>
      </c>
      <c r="J49" s="44" t="s">
        <v>46</v>
      </c>
      <c r="K49" s="2"/>
      <c r="L49" s="38"/>
      <c r="M49" s="8"/>
      <c r="N49" s="3"/>
      <c r="O49" s="3"/>
      <c r="P49" s="2"/>
      <c r="Q49" s="28"/>
      <c r="R49" s="42">
        <f t="shared" si="19"/>
        <v>9</v>
      </c>
      <c r="S49" s="54" t="s">
        <v>105</v>
      </c>
      <c r="T49" s="51" t="s">
        <v>106</v>
      </c>
      <c r="U49" s="43" t="str">
        <f t="shared" si="17"/>
        <v>n</v>
      </c>
      <c r="V49" s="3"/>
      <c r="W49" s="3"/>
      <c r="X49" s="2" t="s">
        <v>57</v>
      </c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</row>
    <row r="50" spans="1:52" x14ac:dyDescent="0.35">
      <c r="A50" s="2"/>
      <c r="B50" s="8"/>
      <c r="C50" s="3"/>
      <c r="D50" s="3"/>
      <c r="E50" s="2"/>
      <c r="F50" s="28"/>
      <c r="G50" s="42">
        <f t="shared" si="18"/>
        <v>10</v>
      </c>
      <c r="H50" s="54" t="s">
        <v>78</v>
      </c>
      <c r="I50" s="51" t="str">
        <f>IF(J50="Y",H50,H46)</f>
        <v>DUN</v>
      </c>
      <c r="J50" s="44" t="s">
        <v>11</v>
      </c>
      <c r="K50" s="2"/>
      <c r="L50" s="38"/>
      <c r="M50" s="8"/>
      <c r="N50" s="3"/>
      <c r="O50" s="3"/>
      <c r="P50" s="2"/>
      <c r="Q50" s="28"/>
      <c r="R50" s="42">
        <f t="shared" si="19"/>
        <v>10</v>
      </c>
      <c r="S50" s="54" t="s">
        <v>106</v>
      </c>
      <c r="T50" s="51" t="s">
        <v>106</v>
      </c>
      <c r="U50" s="43" t="str">
        <f t="shared" si="17"/>
        <v>y</v>
      </c>
      <c r="V50" s="3"/>
      <c r="W50" s="3"/>
      <c r="X50" s="2" t="s">
        <v>58</v>
      </c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</row>
    <row r="51" spans="1:52" x14ac:dyDescent="0.35">
      <c r="A51" s="2"/>
      <c r="B51" s="8"/>
      <c r="C51" s="3"/>
      <c r="D51" s="3"/>
      <c r="E51" s="2"/>
      <c r="F51" s="28"/>
      <c r="G51" s="42">
        <f t="shared" si="18"/>
        <v>11</v>
      </c>
      <c r="H51" s="54" t="s">
        <v>79</v>
      </c>
      <c r="I51" s="51" t="str">
        <f>IF(J51="Y",H51,H52)</f>
        <v>MAD</v>
      </c>
      <c r="J51" s="44" t="s">
        <v>11</v>
      </c>
      <c r="K51" s="2"/>
      <c r="L51" s="38"/>
      <c r="M51" s="8"/>
      <c r="N51" s="3"/>
      <c r="O51" s="3"/>
      <c r="P51" s="2"/>
      <c r="Q51" s="28"/>
      <c r="R51" s="42">
        <f t="shared" si="19"/>
        <v>11</v>
      </c>
      <c r="S51" s="54" t="s">
        <v>107</v>
      </c>
      <c r="T51" s="51" t="s">
        <v>50</v>
      </c>
      <c r="U51" s="43" t="str">
        <f t="shared" si="17"/>
        <v>n</v>
      </c>
      <c r="V51" s="3"/>
      <c r="W51" s="3"/>
      <c r="X51" s="2" t="s">
        <v>59</v>
      </c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</row>
    <row r="52" spans="1:52" x14ac:dyDescent="0.35">
      <c r="A52" s="2"/>
      <c r="B52" s="8"/>
      <c r="C52" s="3"/>
      <c r="D52" s="3"/>
      <c r="E52" s="2"/>
      <c r="F52" s="28"/>
      <c r="G52" s="42">
        <f t="shared" si="18"/>
        <v>12</v>
      </c>
      <c r="H52" s="54" t="s">
        <v>80</v>
      </c>
      <c r="I52" s="51" t="str">
        <f t="shared" si="16"/>
        <v>MID</v>
      </c>
      <c r="J52" s="44" t="s">
        <v>46</v>
      </c>
      <c r="K52" s="2"/>
      <c r="L52" s="38"/>
      <c r="M52" s="8"/>
      <c r="N52" s="3"/>
      <c r="O52" s="3"/>
      <c r="P52" s="2"/>
      <c r="Q52" s="28"/>
      <c r="R52" s="42">
        <f t="shared" si="19"/>
        <v>12</v>
      </c>
      <c r="S52" s="54" t="s">
        <v>50</v>
      </c>
      <c r="T52" s="51" t="s">
        <v>50</v>
      </c>
      <c r="U52" s="43" t="str">
        <f t="shared" si="17"/>
        <v>y</v>
      </c>
      <c r="V52" s="3"/>
      <c r="W52" s="3"/>
      <c r="X52" s="2" t="s">
        <v>60</v>
      </c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</row>
    <row r="53" spans="1:52" x14ac:dyDescent="0.35">
      <c r="A53" s="2"/>
      <c r="B53" s="8"/>
      <c r="C53" s="3"/>
      <c r="D53" s="3"/>
      <c r="E53" s="2"/>
      <c r="F53" s="28"/>
      <c r="G53" s="42">
        <f t="shared" si="18"/>
        <v>13</v>
      </c>
      <c r="H53" s="54" t="s">
        <v>81</v>
      </c>
      <c r="I53" s="51" t="str">
        <f t="shared" si="16"/>
        <v>MOD</v>
      </c>
      <c r="J53" s="44" t="s">
        <v>46</v>
      </c>
      <c r="K53" s="2"/>
      <c r="L53" s="38"/>
      <c r="M53" s="8"/>
      <c r="N53" s="3"/>
      <c r="O53" s="3"/>
      <c r="P53" s="2"/>
      <c r="Q53" s="28"/>
      <c r="R53" s="42">
        <f t="shared" si="19"/>
        <v>13</v>
      </c>
      <c r="S53" s="54" t="s">
        <v>108</v>
      </c>
      <c r="T53" s="51" t="s">
        <v>109</v>
      </c>
      <c r="U53" s="43" t="str">
        <f t="shared" si="17"/>
        <v>n</v>
      </c>
      <c r="V53" s="3"/>
      <c r="W53" s="3"/>
      <c r="X53" s="2" t="s">
        <v>61</v>
      </c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</row>
    <row r="54" spans="1:52" x14ac:dyDescent="0.35">
      <c r="A54" s="2"/>
      <c r="B54" s="8"/>
      <c r="C54" s="3"/>
      <c r="D54" s="3"/>
      <c r="E54" s="2"/>
      <c r="F54" s="28"/>
      <c r="G54" s="42">
        <f t="shared" si="18"/>
        <v>14</v>
      </c>
      <c r="H54" s="54" t="s">
        <v>82</v>
      </c>
      <c r="I54" s="51" t="str">
        <f t="shared" si="16"/>
        <v>MOD</v>
      </c>
      <c r="J54" s="44" t="s">
        <v>11</v>
      </c>
      <c r="K54" s="2"/>
      <c r="L54" s="38"/>
      <c r="M54" s="8"/>
      <c r="N54" s="3"/>
      <c r="O54" s="3"/>
      <c r="P54" s="2"/>
      <c r="Q54" s="28"/>
      <c r="R54" s="42">
        <f t="shared" si="19"/>
        <v>14</v>
      </c>
      <c r="S54" s="54" t="s">
        <v>109</v>
      </c>
      <c r="T54" s="51" t="s">
        <v>110</v>
      </c>
      <c r="U54" s="43" t="str">
        <f t="shared" si="17"/>
        <v>n</v>
      </c>
      <c r="V54" s="3"/>
      <c r="W54" s="3"/>
      <c r="X54" s="2" t="s">
        <v>62</v>
      </c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</row>
    <row r="55" spans="1:52" x14ac:dyDescent="0.35">
      <c r="A55" s="2"/>
      <c r="B55" s="8"/>
      <c r="C55" s="3"/>
      <c r="D55" s="3"/>
      <c r="E55" s="2"/>
      <c r="F55" s="28"/>
      <c r="G55" s="42">
        <f t="shared" si="18"/>
        <v>15</v>
      </c>
      <c r="H55" s="54" t="s">
        <v>83</v>
      </c>
      <c r="I55" s="51" t="str">
        <f>IF(J55="Y",H55,H51)</f>
        <v>MUD</v>
      </c>
      <c r="J55" s="44" t="s">
        <v>11</v>
      </c>
      <c r="K55" s="2"/>
      <c r="L55" s="38"/>
      <c r="M55" s="8"/>
      <c r="N55" s="3"/>
      <c r="O55" s="3"/>
      <c r="P55" s="2"/>
      <c r="Q55" s="28"/>
      <c r="R55" s="42">
        <f t="shared" si="19"/>
        <v>15</v>
      </c>
      <c r="S55" s="54" t="s">
        <v>110</v>
      </c>
      <c r="T55" s="51" t="s">
        <v>109</v>
      </c>
      <c r="U55" s="43" t="str">
        <f t="shared" si="17"/>
        <v>n</v>
      </c>
      <c r="V55" s="3"/>
      <c r="W55" s="3"/>
      <c r="X55" s="2" t="s">
        <v>63</v>
      </c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</row>
    <row r="56" spans="1:52" x14ac:dyDescent="0.35">
      <c r="A56" s="2"/>
      <c r="B56" s="8"/>
      <c r="C56" s="3"/>
      <c r="D56" s="3"/>
      <c r="E56" s="2"/>
      <c r="F56" s="28"/>
      <c r="G56" s="42">
        <f t="shared" si="18"/>
        <v>16</v>
      </c>
      <c r="H56" s="54" t="s">
        <v>84</v>
      </c>
      <c r="I56" s="51" t="str">
        <f>IF(J56="Y",H56,H57)</f>
        <v>SET</v>
      </c>
      <c r="J56" s="44" t="s">
        <v>46</v>
      </c>
      <c r="K56" s="2"/>
      <c r="L56" s="38"/>
      <c r="M56" s="8"/>
      <c r="N56" s="3"/>
      <c r="O56" s="3"/>
      <c r="P56" s="2"/>
      <c r="Q56" s="28"/>
      <c r="R56" s="42">
        <f t="shared" si="19"/>
        <v>16</v>
      </c>
      <c r="S56" s="54" t="s">
        <v>111</v>
      </c>
      <c r="T56" s="51" t="s">
        <v>112</v>
      </c>
      <c r="U56" s="43" t="str">
        <f t="shared" si="17"/>
        <v>n</v>
      </c>
      <c r="V56" s="3"/>
      <c r="W56" s="3"/>
      <c r="X56" s="2" t="s">
        <v>64</v>
      </c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</row>
    <row r="57" spans="1:52" x14ac:dyDescent="0.35">
      <c r="A57" s="2"/>
      <c r="B57" s="8"/>
      <c r="C57" s="3"/>
      <c r="D57" s="3"/>
      <c r="E57" s="2"/>
      <c r="F57" s="28"/>
      <c r="G57" s="42">
        <f t="shared" si="18"/>
        <v>17</v>
      </c>
      <c r="H57" s="54" t="s">
        <v>85</v>
      </c>
      <c r="I57" s="51" t="str">
        <f t="shared" si="16"/>
        <v>SET</v>
      </c>
      <c r="J57" s="44" t="s">
        <v>11</v>
      </c>
      <c r="K57" s="2"/>
      <c r="L57" s="38"/>
      <c r="M57" s="8"/>
      <c r="N57" s="3"/>
      <c r="O57" s="3"/>
      <c r="P57" s="2"/>
      <c r="Q57" s="28"/>
      <c r="R57" s="42">
        <f t="shared" si="19"/>
        <v>17</v>
      </c>
      <c r="S57" s="54" t="s">
        <v>112</v>
      </c>
      <c r="T57" s="51" t="s">
        <v>112</v>
      </c>
      <c r="U57" s="43" t="str">
        <f t="shared" si="17"/>
        <v>y</v>
      </c>
      <c r="V57" s="3"/>
      <c r="W57" s="3"/>
      <c r="X57" s="2" t="s">
        <v>65</v>
      </c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</row>
    <row r="58" spans="1:52" x14ac:dyDescent="0.35">
      <c r="A58" s="2"/>
      <c r="B58" s="8"/>
      <c r="C58" s="3"/>
      <c r="D58" s="3"/>
      <c r="E58" s="2"/>
      <c r="F58" s="28"/>
      <c r="G58" s="42">
        <f t="shared" si="18"/>
        <v>18</v>
      </c>
      <c r="H58" s="54" t="s">
        <v>86</v>
      </c>
      <c r="I58" s="51" t="str">
        <f t="shared" si="16"/>
        <v>SIT</v>
      </c>
      <c r="J58" s="44" t="s">
        <v>11</v>
      </c>
      <c r="K58" s="2"/>
      <c r="L58" s="38"/>
      <c r="M58" s="8"/>
      <c r="N58" s="3"/>
      <c r="O58" s="3"/>
      <c r="P58" s="2"/>
      <c r="Q58" s="28"/>
      <c r="R58" s="42">
        <f t="shared" si="19"/>
        <v>18</v>
      </c>
      <c r="S58" s="54" t="s">
        <v>113</v>
      </c>
      <c r="T58" s="51" t="s">
        <v>114</v>
      </c>
      <c r="U58" s="43" t="str">
        <f t="shared" si="17"/>
        <v>n</v>
      </c>
      <c r="V58" s="3"/>
      <c r="W58" s="3"/>
      <c r="X58" s="2" t="s">
        <v>66</v>
      </c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</row>
    <row r="59" spans="1:52" x14ac:dyDescent="0.35">
      <c r="A59" s="2"/>
      <c r="B59" s="8"/>
      <c r="C59" s="3"/>
      <c r="D59" s="3"/>
      <c r="E59" s="2"/>
      <c r="F59" s="28"/>
      <c r="G59" s="42">
        <f t="shared" si="18"/>
        <v>19</v>
      </c>
      <c r="H59" s="54" t="s">
        <v>87</v>
      </c>
      <c r="I59" s="51" t="str">
        <f t="shared" si="16"/>
        <v>SOOT</v>
      </c>
      <c r="J59" s="44" t="s">
        <v>46</v>
      </c>
      <c r="K59" s="2"/>
      <c r="L59" s="38"/>
      <c r="M59" s="8"/>
      <c r="N59" s="3"/>
      <c r="O59" s="3"/>
      <c r="P59" s="2"/>
      <c r="Q59" s="28"/>
      <c r="R59" s="42">
        <f t="shared" si="19"/>
        <v>19</v>
      </c>
      <c r="S59" s="54" t="s">
        <v>114</v>
      </c>
      <c r="T59" s="51" t="s">
        <v>114</v>
      </c>
      <c r="U59" s="43" t="str">
        <f t="shared" si="17"/>
        <v>y</v>
      </c>
      <c r="V59" s="3"/>
      <c r="W59" s="3"/>
      <c r="X59" s="2" t="s">
        <v>67</v>
      </c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</row>
    <row r="60" spans="1:52" x14ac:dyDescent="0.35">
      <c r="A60" s="2"/>
      <c r="B60" s="8"/>
      <c r="C60" s="3"/>
      <c r="D60" s="3"/>
      <c r="E60" s="2"/>
      <c r="F60" s="28"/>
      <c r="G60" s="42">
        <f t="shared" si="18"/>
        <v>20</v>
      </c>
      <c r="H60" s="54" t="s">
        <v>88</v>
      </c>
      <c r="I60" s="51" t="str">
        <f>IF(J60="Y",H60,H56)</f>
        <v>SAT</v>
      </c>
      <c r="J60" s="44" t="s">
        <v>46</v>
      </c>
      <c r="K60" s="2"/>
      <c r="L60" s="38"/>
      <c r="M60" s="8"/>
      <c r="N60" s="3"/>
      <c r="O60" s="3"/>
      <c r="P60" s="2"/>
      <c r="Q60" s="28"/>
      <c r="R60" s="42">
        <f t="shared" si="19"/>
        <v>20</v>
      </c>
      <c r="S60" s="54" t="s">
        <v>115</v>
      </c>
      <c r="T60" s="51" t="s">
        <v>115</v>
      </c>
      <c r="U60" s="43" t="str">
        <f t="shared" si="17"/>
        <v>y</v>
      </c>
      <c r="V60" s="3"/>
      <c r="W60" s="3"/>
      <c r="X60" s="2" t="s">
        <v>68</v>
      </c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</row>
    <row r="61" spans="1:52" x14ac:dyDescent="0.35">
      <c r="A61" s="2"/>
      <c r="B61" s="8"/>
      <c r="C61" s="3"/>
      <c r="D61" s="3"/>
      <c r="E61" s="2"/>
      <c r="F61" s="28"/>
      <c r="G61" s="28"/>
      <c r="H61" s="50"/>
      <c r="I61" s="20"/>
      <c r="J61" s="20"/>
      <c r="K61" s="20"/>
      <c r="L61" s="36"/>
      <c r="M61" s="20"/>
      <c r="N61" s="20"/>
      <c r="O61" s="20"/>
      <c r="P61" s="20"/>
      <c r="Q61" s="20"/>
      <c r="R61" s="20"/>
      <c r="S61" s="20"/>
      <c r="T61" s="20"/>
      <c r="U61" s="2"/>
      <c r="V61" s="3"/>
      <c r="W61" s="3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</row>
    <row r="62" spans="1:52" x14ac:dyDescent="0.35">
      <c r="A62" s="2"/>
      <c r="B62" s="8"/>
      <c r="C62" s="3"/>
      <c r="D62" s="3"/>
      <c r="E62" s="2"/>
      <c r="F62" s="28"/>
      <c r="G62" s="28"/>
      <c r="I62" s="11"/>
      <c r="J62" s="11"/>
      <c r="K62" s="2"/>
      <c r="L62" s="3"/>
      <c r="M62" s="2"/>
      <c r="N62" s="3"/>
      <c r="O62" s="3"/>
      <c r="P62" s="2"/>
      <c r="Q62" s="31"/>
      <c r="R62" s="31"/>
      <c r="S62" s="2"/>
      <c r="T62" s="2"/>
      <c r="U62" s="2"/>
      <c r="V62" s="3"/>
      <c r="W62" s="3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</row>
    <row r="63" spans="1:52" x14ac:dyDescent="0.35">
      <c r="A63" s="2"/>
      <c r="B63" s="8"/>
      <c r="C63" s="3"/>
      <c r="D63" s="3"/>
      <c r="E63" s="2"/>
      <c r="F63" s="28"/>
      <c r="G63" s="28"/>
      <c r="I63" s="11"/>
      <c r="J63" s="11"/>
      <c r="K63" s="2"/>
      <c r="L63" s="3"/>
      <c r="M63" s="2"/>
      <c r="N63" s="3"/>
      <c r="O63" s="3"/>
      <c r="P63" s="2"/>
      <c r="Q63" s="31"/>
      <c r="R63" s="31"/>
      <c r="S63" s="2"/>
      <c r="T63" s="2"/>
      <c r="U63" s="2"/>
      <c r="V63" s="3"/>
      <c r="W63" s="3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</row>
    <row r="64" spans="1:52" x14ac:dyDescent="0.35">
      <c r="A64" s="2"/>
      <c r="B64" s="8"/>
      <c r="C64" s="3"/>
      <c r="D64" s="3"/>
      <c r="E64" s="2"/>
      <c r="F64" s="28"/>
      <c r="G64" s="28"/>
      <c r="I64" s="11"/>
      <c r="J64" s="11"/>
      <c r="K64" s="2"/>
      <c r="L64" s="3"/>
      <c r="M64" s="2"/>
      <c r="N64" s="3"/>
      <c r="O64" s="3"/>
      <c r="P64" s="2"/>
      <c r="Q64" s="31"/>
      <c r="R64" s="31"/>
      <c r="S64" s="2"/>
      <c r="T64" s="2"/>
      <c r="U64" s="2"/>
      <c r="V64" s="3"/>
      <c r="W64" s="3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</row>
    <row r="65" spans="1:52" x14ac:dyDescent="0.35">
      <c r="A65" s="2"/>
      <c r="B65" s="8"/>
      <c r="C65" s="3"/>
      <c r="D65" s="3"/>
      <c r="E65" s="2"/>
      <c r="F65" s="28"/>
      <c r="G65" s="28"/>
      <c r="I65" s="11"/>
      <c r="J65" s="11"/>
      <c r="K65" s="2"/>
      <c r="L65" s="3"/>
      <c r="M65" s="2"/>
      <c r="N65" s="3"/>
      <c r="O65" s="3"/>
      <c r="P65" s="2"/>
      <c r="Q65" s="31"/>
      <c r="R65" s="31"/>
      <c r="S65" s="2"/>
      <c r="T65" s="2"/>
      <c r="U65" s="2"/>
      <c r="V65" s="3"/>
      <c r="W65" s="3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</row>
    <row r="66" spans="1:52" x14ac:dyDescent="0.35">
      <c r="A66" s="2"/>
      <c r="B66" s="8"/>
      <c r="C66" s="3"/>
      <c r="D66" s="3"/>
      <c r="E66" s="2"/>
      <c r="F66" s="28"/>
      <c r="G66" s="28"/>
      <c r="I66" s="11"/>
      <c r="J66" s="11"/>
      <c r="K66" s="2"/>
      <c r="L66" s="3"/>
      <c r="M66" s="2"/>
      <c r="N66" s="3"/>
      <c r="O66" s="3"/>
      <c r="P66" s="2"/>
      <c r="Q66" s="31"/>
      <c r="R66" s="31"/>
      <c r="S66" s="2"/>
      <c r="T66" s="2"/>
      <c r="U66" s="2"/>
      <c r="V66" s="3"/>
      <c r="W66" s="3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</row>
    <row r="67" spans="1:52" x14ac:dyDescent="0.35">
      <c r="A67" s="2"/>
      <c r="B67" s="8"/>
      <c r="C67" s="3"/>
      <c r="D67" s="3"/>
      <c r="E67" s="2"/>
      <c r="F67" s="28"/>
      <c r="G67" s="28"/>
      <c r="I67" s="11"/>
      <c r="J67" s="11"/>
      <c r="K67" s="2"/>
      <c r="L67" s="3"/>
      <c r="M67" s="2"/>
      <c r="N67" s="3"/>
      <c r="O67" s="3"/>
      <c r="P67" s="2"/>
      <c r="Q67" s="31"/>
      <c r="R67" s="31"/>
      <c r="S67" s="2"/>
      <c r="T67" s="2"/>
      <c r="U67" s="2"/>
      <c r="V67" s="3"/>
      <c r="W67" s="3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</row>
    <row r="68" spans="1:52" x14ac:dyDescent="0.35">
      <c r="A68" s="2"/>
      <c r="B68" s="8"/>
      <c r="C68" s="3"/>
      <c r="D68" s="3"/>
      <c r="E68" s="2"/>
      <c r="F68" s="28"/>
      <c r="G68" s="28"/>
      <c r="I68" s="11"/>
      <c r="J68" s="11"/>
      <c r="K68" s="2"/>
      <c r="L68" s="3"/>
      <c r="M68" s="2"/>
      <c r="N68" s="3"/>
      <c r="O68" s="3"/>
      <c r="P68" s="2"/>
      <c r="Q68" s="31"/>
      <c r="R68" s="31"/>
      <c r="S68" s="2"/>
      <c r="T68" s="2"/>
      <c r="U68" s="2"/>
      <c r="V68" s="3"/>
      <c r="W68" s="3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</row>
    <row r="69" spans="1:52" x14ac:dyDescent="0.35">
      <c r="A69" s="2"/>
      <c r="B69" s="8"/>
      <c r="C69" s="3"/>
      <c r="D69" s="3"/>
      <c r="E69" s="2"/>
      <c r="F69" s="28"/>
      <c r="G69" s="28"/>
      <c r="I69" s="11"/>
      <c r="J69" s="11"/>
      <c r="K69" s="2"/>
      <c r="L69" s="3"/>
      <c r="M69" s="2"/>
      <c r="N69" s="3"/>
      <c r="O69" s="3"/>
      <c r="P69" s="2"/>
      <c r="Q69" s="31"/>
      <c r="R69" s="31"/>
      <c r="S69" s="2"/>
      <c r="T69" s="2"/>
      <c r="U69" s="2"/>
      <c r="V69" s="3"/>
      <c r="W69" s="3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</row>
    <row r="70" spans="1:52" x14ac:dyDescent="0.35">
      <c r="A70" s="2"/>
      <c r="B70" s="8"/>
      <c r="C70" s="3"/>
      <c r="D70" s="3"/>
      <c r="E70" s="2"/>
      <c r="F70" s="28"/>
      <c r="G70" s="28"/>
      <c r="I70" s="11"/>
      <c r="J70" s="11"/>
      <c r="K70" s="2"/>
      <c r="L70" s="3"/>
      <c r="M70" s="2"/>
      <c r="N70" s="3"/>
      <c r="O70" s="3"/>
      <c r="P70" s="2"/>
      <c r="Q70" s="31"/>
      <c r="R70" s="31"/>
      <c r="S70" s="2"/>
      <c r="T70" s="2"/>
      <c r="U70" s="2"/>
      <c r="V70" s="3"/>
      <c r="W70" s="3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</row>
    <row r="71" spans="1:52" x14ac:dyDescent="0.35">
      <c r="A71" s="2"/>
      <c r="B71" s="8"/>
      <c r="C71" s="3"/>
      <c r="D71" s="3"/>
      <c r="E71" s="2"/>
      <c r="F71" s="28"/>
      <c r="G71" s="28"/>
      <c r="I71" s="11"/>
      <c r="J71" s="11"/>
      <c r="K71" s="2"/>
      <c r="L71" s="3"/>
      <c r="M71" s="2"/>
      <c r="N71" s="3"/>
      <c r="O71" s="3"/>
      <c r="P71" s="2"/>
      <c r="Q71" s="31"/>
      <c r="R71" s="31"/>
      <c r="S71" s="2"/>
      <c r="T71" s="2"/>
      <c r="U71" s="2"/>
      <c r="V71" s="3"/>
      <c r="W71" s="3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</row>
    <row r="72" spans="1:52" x14ac:dyDescent="0.35">
      <c r="A72" s="2"/>
      <c r="B72" s="8"/>
      <c r="C72" s="3"/>
      <c r="D72" s="3"/>
      <c r="E72" s="2"/>
      <c r="F72" s="28"/>
      <c r="G72" s="28"/>
      <c r="I72" s="11"/>
      <c r="J72" s="11"/>
      <c r="K72" s="2"/>
      <c r="L72" s="3"/>
      <c r="M72" s="2"/>
      <c r="N72" s="3"/>
      <c r="O72" s="3"/>
      <c r="P72" s="2"/>
      <c r="Q72" s="31"/>
      <c r="R72" s="31"/>
      <c r="S72" s="2"/>
      <c r="T72" s="2"/>
      <c r="U72" s="2"/>
      <c r="V72" s="3"/>
      <c r="W72" s="3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</row>
    <row r="73" spans="1:52" x14ac:dyDescent="0.35">
      <c r="A73" s="2"/>
      <c r="B73" s="8"/>
      <c r="C73" s="3"/>
      <c r="D73" s="3"/>
      <c r="E73" s="2"/>
      <c r="F73" s="28"/>
      <c r="G73" s="28"/>
      <c r="I73" s="11"/>
      <c r="J73" s="11"/>
      <c r="K73" s="2"/>
      <c r="L73" s="3"/>
      <c r="M73" s="2"/>
      <c r="N73" s="3"/>
      <c r="O73" s="3"/>
      <c r="P73" s="2"/>
      <c r="Q73" s="31"/>
      <c r="R73" s="31"/>
      <c r="S73" s="2"/>
      <c r="T73" s="2"/>
      <c r="U73" s="2"/>
      <c r="V73" s="3"/>
      <c r="W73" s="3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</row>
    <row r="74" spans="1:52" x14ac:dyDescent="0.35">
      <c r="A74" s="2"/>
      <c r="B74" s="8"/>
      <c r="C74" s="3"/>
      <c r="D74" s="3"/>
      <c r="E74" s="2"/>
      <c r="F74" s="28"/>
      <c r="G74" s="28"/>
      <c r="I74" s="11"/>
      <c r="J74" s="11"/>
      <c r="K74" s="2"/>
      <c r="L74" s="3"/>
      <c r="M74" s="2"/>
      <c r="N74" s="3"/>
      <c r="O74" s="3"/>
      <c r="P74" s="2"/>
      <c r="Q74" s="31"/>
      <c r="R74" s="31"/>
      <c r="S74" s="2"/>
      <c r="T74" s="2"/>
      <c r="U74" s="2"/>
      <c r="V74" s="3"/>
      <c r="W74" s="3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</row>
    <row r="75" spans="1:52" x14ac:dyDescent="0.35">
      <c r="A75" s="2"/>
      <c r="B75" s="8"/>
      <c r="C75" s="3"/>
      <c r="D75" s="3"/>
      <c r="E75" s="2"/>
      <c r="F75" s="28"/>
      <c r="G75" s="28"/>
      <c r="I75" s="11"/>
      <c r="J75" s="11"/>
      <c r="K75" s="2"/>
      <c r="L75" s="3"/>
      <c r="M75" s="2"/>
      <c r="N75" s="3"/>
      <c r="O75" s="3"/>
      <c r="P75" s="2"/>
      <c r="Q75" s="31"/>
      <c r="R75" s="31"/>
      <c r="S75" s="2"/>
      <c r="T75" s="2"/>
      <c r="U75" s="2"/>
      <c r="V75" s="3"/>
      <c r="W75" s="3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</row>
    <row r="76" spans="1:52" x14ac:dyDescent="0.35">
      <c r="A76" s="2"/>
      <c r="B76" s="8"/>
      <c r="C76" s="3"/>
      <c r="D76" s="3"/>
      <c r="E76" s="2"/>
      <c r="F76" s="28"/>
      <c r="G76" s="28"/>
      <c r="I76" s="11"/>
      <c r="J76" s="11"/>
      <c r="K76" s="2"/>
      <c r="L76" s="3"/>
      <c r="M76" s="2"/>
      <c r="N76" s="3"/>
      <c r="O76" s="3"/>
      <c r="P76" s="2"/>
      <c r="Q76" s="31"/>
      <c r="R76" s="31"/>
      <c r="S76" s="2"/>
      <c r="T76" s="2"/>
      <c r="U76" s="2"/>
      <c r="V76" s="3"/>
      <c r="W76" s="3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</row>
    <row r="77" spans="1:52" x14ac:dyDescent="0.35">
      <c r="A77" s="2"/>
      <c r="B77" s="8"/>
      <c r="C77" s="3"/>
      <c r="D77" s="3"/>
      <c r="E77" s="2"/>
      <c r="F77" s="28"/>
      <c r="G77" s="28"/>
      <c r="I77" s="11"/>
      <c r="J77" s="11"/>
      <c r="K77" s="2"/>
      <c r="L77" s="3"/>
      <c r="M77" s="2"/>
      <c r="N77" s="3"/>
      <c r="O77" s="3"/>
      <c r="P77" s="2"/>
      <c r="Q77" s="31"/>
      <c r="R77" s="31"/>
      <c r="S77" s="2"/>
      <c r="T77" s="2"/>
      <c r="U77" s="2"/>
      <c r="V77" s="3"/>
      <c r="W77" s="3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</row>
    <row r="78" spans="1:52" x14ac:dyDescent="0.35">
      <c r="A78" s="2"/>
      <c r="B78" s="8"/>
      <c r="C78" s="3"/>
      <c r="D78" s="3"/>
      <c r="E78" s="2"/>
      <c r="F78" s="28"/>
      <c r="G78" s="28"/>
      <c r="I78" s="11"/>
      <c r="J78" s="11"/>
      <c r="K78" s="2"/>
      <c r="L78" s="3"/>
      <c r="M78" s="2"/>
      <c r="N78" s="3"/>
      <c r="O78" s="3"/>
      <c r="P78" s="2"/>
      <c r="Q78" s="31"/>
      <c r="R78" s="31"/>
      <c r="S78" s="2"/>
      <c r="T78" s="2"/>
      <c r="U78" s="2"/>
      <c r="V78" s="3"/>
      <c r="W78" s="3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</row>
    <row r="79" spans="1:52" x14ac:dyDescent="0.35">
      <c r="A79" s="2"/>
      <c r="B79" s="8"/>
      <c r="C79" s="3"/>
      <c r="D79" s="3"/>
      <c r="E79" s="2"/>
      <c r="F79" s="28"/>
      <c r="G79" s="28"/>
      <c r="I79" s="11"/>
      <c r="J79" s="11"/>
      <c r="K79" s="2"/>
      <c r="L79" s="3"/>
      <c r="M79" s="2"/>
      <c r="N79" s="3"/>
      <c r="O79" s="3"/>
      <c r="P79" s="2"/>
      <c r="Q79" s="31"/>
      <c r="R79" s="31"/>
      <c r="S79" s="2"/>
      <c r="T79" s="2"/>
      <c r="U79" s="2"/>
      <c r="V79" s="3"/>
      <c r="W79" s="3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</row>
    <row r="80" spans="1:52" x14ac:dyDescent="0.35">
      <c r="A80" s="2"/>
      <c r="B80" s="8"/>
      <c r="C80" s="3"/>
      <c r="D80" s="3"/>
      <c r="E80" s="2"/>
      <c r="F80" s="28"/>
      <c r="G80" s="28"/>
      <c r="I80" s="11"/>
      <c r="J80" s="11"/>
      <c r="K80" s="2"/>
      <c r="L80" s="3"/>
      <c r="M80" s="2"/>
      <c r="N80" s="3"/>
      <c r="O80" s="3"/>
      <c r="P80" s="2"/>
      <c r="Q80" s="31"/>
      <c r="R80" s="31"/>
      <c r="S80" s="2"/>
      <c r="T80" s="2"/>
      <c r="U80" s="2"/>
      <c r="V80" s="3"/>
      <c r="W80" s="3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</row>
    <row r="81" spans="1:52" x14ac:dyDescent="0.35">
      <c r="A81" s="2"/>
      <c r="B81" s="8"/>
      <c r="C81" s="3"/>
      <c r="D81" s="3"/>
      <c r="E81" s="2"/>
      <c r="F81" s="28"/>
      <c r="G81" s="28"/>
      <c r="I81" s="11"/>
      <c r="J81" s="11"/>
      <c r="K81" s="2"/>
      <c r="L81" s="3"/>
      <c r="M81" s="2"/>
      <c r="N81" s="3"/>
      <c r="O81" s="3"/>
      <c r="P81" s="2"/>
      <c r="Q81" s="31"/>
      <c r="R81" s="31"/>
      <c r="S81" s="2"/>
      <c r="T81" s="2"/>
      <c r="U81" s="2"/>
      <c r="V81" s="3"/>
      <c r="W81" s="3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</row>
    <row r="82" spans="1:52" x14ac:dyDescent="0.35">
      <c r="A82" s="2"/>
      <c r="B82" s="8"/>
      <c r="C82" s="3"/>
      <c r="D82" s="3"/>
      <c r="E82" s="2"/>
      <c r="F82" s="28"/>
      <c r="G82" s="28"/>
      <c r="I82" s="11"/>
      <c r="J82" s="11"/>
      <c r="K82" s="2"/>
      <c r="L82" s="3"/>
      <c r="M82" s="2"/>
      <c r="N82" s="3"/>
      <c r="O82" s="3"/>
      <c r="P82" s="2"/>
      <c r="Q82" s="31"/>
      <c r="R82" s="31"/>
      <c r="S82" s="2"/>
      <c r="T82" s="2"/>
      <c r="U82" s="2"/>
      <c r="V82" s="3"/>
      <c r="W82" s="3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</row>
    <row r="83" spans="1:52" x14ac:dyDescent="0.35">
      <c r="A83" s="2"/>
      <c r="B83" s="8"/>
      <c r="C83" s="3"/>
      <c r="D83" s="3"/>
      <c r="E83" s="2"/>
      <c r="F83" s="28"/>
      <c r="G83" s="28"/>
      <c r="I83" s="11"/>
      <c r="J83" s="11"/>
      <c r="K83" s="2"/>
      <c r="L83" s="3"/>
      <c r="M83" s="2"/>
      <c r="N83" s="3"/>
      <c r="O83" s="3"/>
      <c r="P83" s="2"/>
      <c r="Q83" s="31"/>
      <c r="R83" s="31"/>
      <c r="S83" s="2"/>
      <c r="T83" s="2"/>
      <c r="U83" s="2"/>
      <c r="V83" s="3"/>
      <c r="W83" s="3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</row>
    <row r="84" spans="1:52" x14ac:dyDescent="0.35">
      <c r="A84" s="2"/>
      <c r="B84" s="8"/>
      <c r="C84" s="3"/>
      <c r="D84" s="3"/>
      <c r="E84" s="2"/>
      <c r="F84" s="28"/>
      <c r="G84" s="28"/>
      <c r="I84" s="11"/>
      <c r="J84" s="11"/>
      <c r="K84" s="2"/>
      <c r="L84" s="3"/>
      <c r="M84" s="2"/>
      <c r="N84" s="3"/>
      <c r="O84" s="3"/>
      <c r="P84" s="2"/>
      <c r="Q84" s="31"/>
      <c r="R84" s="31"/>
      <c r="S84" s="2"/>
      <c r="T84" s="2"/>
      <c r="U84" s="2"/>
      <c r="V84" s="3"/>
      <c r="W84" s="3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</row>
    <row r="85" spans="1:52" x14ac:dyDescent="0.35">
      <c r="A85" s="2"/>
      <c r="B85" s="8"/>
      <c r="C85" s="3"/>
      <c r="D85" s="3"/>
      <c r="E85" s="2"/>
      <c r="F85" s="28"/>
      <c r="G85" s="28"/>
      <c r="I85" s="11"/>
      <c r="J85" s="11"/>
      <c r="K85" s="2"/>
      <c r="L85" s="3"/>
      <c r="M85" s="2"/>
      <c r="N85" s="3"/>
      <c r="O85" s="3"/>
      <c r="P85" s="2"/>
      <c r="Q85" s="31"/>
      <c r="R85" s="31"/>
      <c r="S85" s="2"/>
      <c r="T85" s="2"/>
      <c r="U85" s="2"/>
      <c r="V85" s="3"/>
      <c r="W85" s="3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</row>
    <row r="86" spans="1:52" x14ac:dyDescent="0.35">
      <c r="A86" s="2"/>
      <c r="B86" s="8"/>
      <c r="C86" s="3"/>
      <c r="D86" s="3"/>
      <c r="E86" s="2"/>
      <c r="F86" s="28"/>
      <c r="G86" s="28"/>
      <c r="I86" s="11"/>
      <c r="J86" s="11"/>
      <c r="K86" s="2"/>
      <c r="L86" s="3"/>
      <c r="M86" s="2"/>
      <c r="N86" s="3"/>
      <c r="O86" s="3"/>
      <c r="P86" s="2"/>
      <c r="Q86" s="31"/>
      <c r="R86" s="31"/>
      <c r="S86" s="2"/>
      <c r="T86" s="2"/>
      <c r="U86" s="2"/>
      <c r="V86" s="3"/>
      <c r="W86" s="3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</row>
    <row r="87" spans="1:52" x14ac:dyDescent="0.35">
      <c r="A87" s="2"/>
      <c r="B87" s="8"/>
      <c r="C87" s="3"/>
      <c r="D87" s="3"/>
      <c r="E87" s="2"/>
      <c r="F87" s="28"/>
      <c r="G87" s="28"/>
      <c r="I87" s="11"/>
      <c r="J87" s="11"/>
      <c r="K87" s="2"/>
      <c r="L87" s="3"/>
      <c r="M87" s="2"/>
      <c r="N87" s="3"/>
      <c r="O87" s="3"/>
      <c r="P87" s="2"/>
      <c r="Q87" s="31"/>
      <c r="R87" s="31"/>
      <c r="S87" s="2"/>
      <c r="T87" s="2"/>
      <c r="U87" s="2"/>
      <c r="V87" s="3"/>
      <c r="W87" s="3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</row>
    <row r="88" spans="1:52" x14ac:dyDescent="0.35">
      <c r="A88" s="2"/>
      <c r="B88" s="8"/>
      <c r="C88" s="3"/>
      <c r="D88" s="3"/>
      <c r="E88" s="2"/>
      <c r="F88" s="28"/>
      <c r="G88" s="28"/>
      <c r="I88" s="11"/>
      <c r="J88" s="11"/>
      <c r="K88" s="2"/>
      <c r="L88" s="3"/>
      <c r="M88" s="2"/>
      <c r="N88" s="3"/>
      <c r="O88" s="3"/>
      <c r="P88" s="2"/>
      <c r="Q88" s="31"/>
      <c r="R88" s="31"/>
      <c r="S88" s="2"/>
      <c r="T88" s="2"/>
      <c r="U88" s="2"/>
      <c r="V88" s="3"/>
      <c r="W88" s="3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</row>
    <row r="89" spans="1:52" x14ac:dyDescent="0.35">
      <c r="A89" s="2"/>
      <c r="B89" s="8"/>
      <c r="C89" s="3"/>
      <c r="D89" s="3"/>
      <c r="E89" s="2"/>
      <c r="F89" s="28"/>
      <c r="G89" s="28"/>
      <c r="I89" s="11"/>
      <c r="J89" s="11"/>
      <c r="K89" s="2"/>
      <c r="L89" s="3"/>
      <c r="M89" s="2"/>
      <c r="N89" s="3"/>
      <c r="O89" s="3"/>
      <c r="P89" s="2"/>
      <c r="Q89" s="31"/>
      <c r="R89" s="31"/>
      <c r="S89" s="2"/>
      <c r="T89" s="2"/>
      <c r="U89" s="2"/>
      <c r="V89" s="3"/>
      <c r="W89" s="3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</row>
    <row r="90" spans="1:52" x14ac:dyDescent="0.35">
      <c r="A90" s="2"/>
      <c r="B90" s="8"/>
      <c r="C90" s="3"/>
      <c r="D90" s="3"/>
      <c r="E90" s="2"/>
      <c r="F90" s="28"/>
      <c r="G90" s="28"/>
      <c r="I90" s="11"/>
      <c r="J90" s="11"/>
      <c r="K90" s="2"/>
      <c r="L90" s="3"/>
      <c r="M90" s="2"/>
      <c r="N90" s="3"/>
      <c r="O90" s="3"/>
      <c r="P90" s="2"/>
      <c r="Q90" s="31"/>
      <c r="R90" s="31"/>
      <c r="S90" s="2"/>
      <c r="T90" s="2"/>
      <c r="U90" s="2"/>
      <c r="V90" s="3"/>
      <c r="W90" s="3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</row>
    <row r="91" spans="1:52" x14ac:dyDescent="0.35">
      <c r="A91" s="2"/>
      <c r="B91" s="8"/>
      <c r="C91" s="3"/>
      <c r="D91" s="3"/>
      <c r="E91" s="2"/>
      <c r="F91" s="28"/>
      <c r="G91" s="28"/>
      <c r="I91" s="11"/>
      <c r="J91" s="11"/>
      <c r="K91" s="2"/>
      <c r="L91" s="3"/>
      <c r="M91" s="2"/>
      <c r="N91" s="3"/>
      <c r="O91" s="3"/>
      <c r="P91" s="2"/>
      <c r="Q91" s="31"/>
      <c r="R91" s="31"/>
      <c r="S91" s="2"/>
      <c r="T91" s="2"/>
      <c r="U91" s="2"/>
      <c r="V91" s="3"/>
      <c r="W91" s="3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</row>
    <row r="92" spans="1:52" x14ac:dyDescent="0.35">
      <c r="A92" s="2"/>
      <c r="B92" s="8"/>
      <c r="C92" s="3"/>
      <c r="D92" s="3"/>
      <c r="E92" s="2"/>
      <c r="F92" s="28"/>
      <c r="G92" s="28"/>
      <c r="I92" s="11"/>
      <c r="J92" s="11"/>
      <c r="K92" s="2"/>
      <c r="L92" s="3"/>
      <c r="M92" s="2"/>
      <c r="N92" s="3"/>
      <c r="O92" s="3"/>
      <c r="P92" s="2"/>
      <c r="Q92" s="31"/>
      <c r="R92" s="31"/>
      <c r="S92" s="2"/>
      <c r="T92" s="2"/>
      <c r="U92" s="2"/>
      <c r="V92" s="3"/>
      <c r="W92" s="3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</row>
    <row r="93" spans="1:52" x14ac:dyDescent="0.35">
      <c r="A93" s="2"/>
      <c r="B93" s="8"/>
      <c r="C93" s="3"/>
      <c r="D93" s="3"/>
      <c r="E93" s="2"/>
      <c r="F93" s="28"/>
      <c r="G93" s="28"/>
      <c r="I93" s="11"/>
      <c r="J93" s="11"/>
      <c r="K93" s="2"/>
      <c r="L93" s="3"/>
      <c r="M93" s="2"/>
      <c r="N93" s="3"/>
      <c r="O93" s="3"/>
      <c r="P93" s="2"/>
      <c r="Q93" s="31"/>
      <c r="R93" s="31"/>
      <c r="S93" s="2"/>
      <c r="T93" s="2"/>
      <c r="U93" s="2"/>
      <c r="V93" s="3"/>
      <c r="W93" s="3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</row>
    <row r="94" spans="1:52" x14ac:dyDescent="0.35">
      <c r="A94" s="2"/>
      <c r="B94" s="8"/>
      <c r="C94" s="3"/>
      <c r="D94" s="3"/>
      <c r="E94" s="2"/>
      <c r="F94" s="28"/>
      <c r="G94" s="28"/>
      <c r="I94" s="11"/>
      <c r="J94" s="11"/>
      <c r="K94" s="2"/>
      <c r="L94" s="3"/>
      <c r="M94" s="2"/>
      <c r="N94" s="3"/>
      <c r="O94" s="3"/>
      <c r="P94" s="2"/>
      <c r="Q94" s="31"/>
      <c r="R94" s="31"/>
      <c r="S94" s="2"/>
      <c r="T94" s="2"/>
      <c r="U94" s="2"/>
      <c r="V94" s="3"/>
      <c r="W94" s="3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</row>
    <row r="95" spans="1:52" x14ac:dyDescent="0.35">
      <c r="A95" s="2"/>
      <c r="B95" s="8"/>
      <c r="C95" s="3"/>
      <c r="D95" s="3"/>
      <c r="E95" s="2"/>
      <c r="F95" s="28"/>
      <c r="G95" s="28"/>
      <c r="I95" s="11"/>
      <c r="J95" s="11"/>
      <c r="K95" s="2"/>
      <c r="L95" s="3"/>
      <c r="M95" s="2"/>
      <c r="N95" s="3"/>
      <c r="O95" s="3"/>
      <c r="P95" s="2"/>
      <c r="Q95" s="31"/>
      <c r="R95" s="31"/>
      <c r="S95" s="2"/>
      <c r="T95" s="2"/>
      <c r="U95" s="2"/>
      <c r="V95" s="3"/>
      <c r="W95" s="3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</row>
    <row r="96" spans="1:52" x14ac:dyDescent="0.35">
      <c r="A96" s="2"/>
      <c r="B96" s="8"/>
      <c r="C96" s="3"/>
      <c r="D96" s="3"/>
      <c r="E96" s="2"/>
      <c r="F96" s="28"/>
      <c r="G96" s="28"/>
      <c r="I96" s="11"/>
      <c r="J96" s="11"/>
      <c r="K96" s="2"/>
      <c r="L96" s="3"/>
      <c r="M96" s="2"/>
      <c r="N96" s="3"/>
      <c r="O96" s="3"/>
      <c r="P96" s="2"/>
      <c r="Q96" s="31"/>
      <c r="R96" s="31"/>
      <c r="S96" s="2"/>
      <c r="T96" s="2"/>
      <c r="U96" s="2"/>
      <c r="V96" s="3"/>
      <c r="W96" s="3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</row>
    <row r="97" spans="1:52" x14ac:dyDescent="0.35">
      <c r="A97" s="2"/>
      <c r="B97" s="8"/>
      <c r="C97" s="3"/>
      <c r="D97" s="3"/>
      <c r="E97" s="2"/>
      <c r="F97" s="28"/>
      <c r="G97" s="28"/>
      <c r="I97" s="11"/>
      <c r="J97" s="11"/>
      <c r="K97" s="2"/>
      <c r="L97" s="3"/>
      <c r="M97" s="2"/>
      <c r="N97" s="3"/>
      <c r="O97" s="3"/>
      <c r="P97" s="2"/>
      <c r="Q97" s="31"/>
      <c r="R97" s="31"/>
      <c r="S97" s="2"/>
      <c r="T97" s="2"/>
      <c r="U97" s="2"/>
      <c r="V97" s="3"/>
      <c r="W97" s="3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</row>
    <row r="98" spans="1:52" x14ac:dyDescent="0.35">
      <c r="A98" s="2"/>
      <c r="B98" s="8"/>
      <c r="C98" s="3"/>
      <c r="D98" s="3"/>
      <c r="E98" s="2"/>
      <c r="F98" s="28"/>
      <c r="G98" s="28"/>
      <c r="I98" s="11"/>
      <c r="J98" s="11"/>
      <c r="K98" s="2"/>
      <c r="L98" s="3"/>
      <c r="M98" s="2"/>
      <c r="N98" s="3"/>
      <c r="O98" s="3"/>
      <c r="P98" s="2"/>
      <c r="Q98" s="31"/>
      <c r="R98" s="31"/>
      <c r="S98" s="2"/>
      <c r="T98" s="2"/>
      <c r="U98" s="2"/>
      <c r="V98" s="3"/>
      <c r="W98" s="3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</row>
    <row r="99" spans="1:52" x14ac:dyDescent="0.35">
      <c r="A99" s="2"/>
      <c r="B99" s="8"/>
      <c r="C99" s="3"/>
      <c r="D99" s="3"/>
      <c r="E99" s="2"/>
      <c r="F99" s="28"/>
      <c r="G99" s="28"/>
      <c r="I99" s="11"/>
      <c r="J99" s="11"/>
      <c r="K99" s="2"/>
      <c r="L99" s="3"/>
      <c r="M99" s="2"/>
      <c r="N99" s="3"/>
      <c r="O99" s="3"/>
      <c r="P99" s="2"/>
      <c r="Q99" s="31"/>
      <c r="R99" s="31"/>
      <c r="S99" s="2"/>
      <c r="T99" s="2"/>
      <c r="U99" s="2"/>
      <c r="V99" s="3"/>
      <c r="W99" s="3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</row>
    <row r="100" spans="1:52" x14ac:dyDescent="0.35">
      <c r="A100" s="2"/>
      <c r="B100" s="8"/>
      <c r="C100" s="3"/>
      <c r="D100" s="3"/>
      <c r="E100" s="2"/>
      <c r="F100" s="28"/>
      <c r="G100" s="28"/>
      <c r="I100" s="11"/>
      <c r="J100" s="11"/>
      <c r="K100" s="2"/>
      <c r="L100" s="3"/>
      <c r="M100" s="2"/>
      <c r="N100" s="3"/>
      <c r="O100" s="3"/>
      <c r="P100" s="2"/>
      <c r="Q100" s="31"/>
      <c r="R100" s="31"/>
      <c r="S100" s="2"/>
      <c r="T100" s="2"/>
      <c r="U100" s="2"/>
      <c r="V100" s="3"/>
      <c r="W100" s="3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</row>
    <row r="101" spans="1:52" x14ac:dyDescent="0.35">
      <c r="A101" s="2"/>
      <c r="B101" s="8"/>
      <c r="C101" s="3"/>
      <c r="D101" s="3"/>
      <c r="E101" s="2"/>
      <c r="F101" s="28"/>
      <c r="G101" s="28"/>
      <c r="I101" s="11"/>
      <c r="J101" s="11"/>
      <c r="K101" s="2"/>
      <c r="L101" s="3"/>
      <c r="M101" s="2"/>
      <c r="N101" s="3"/>
      <c r="O101" s="3"/>
      <c r="P101" s="2"/>
      <c r="Q101" s="31"/>
      <c r="R101" s="31"/>
      <c r="S101" s="2"/>
      <c r="T101" s="2"/>
      <c r="U101" s="2"/>
      <c r="V101" s="3"/>
      <c r="W101" s="3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spans="1:52" x14ac:dyDescent="0.35">
      <c r="A102" s="2"/>
      <c r="B102" s="8"/>
      <c r="C102" s="3"/>
      <c r="D102" s="3"/>
      <c r="E102" s="2"/>
      <c r="F102" s="28"/>
      <c r="G102" s="28"/>
      <c r="I102" s="11"/>
      <c r="J102" s="11"/>
      <c r="K102" s="2"/>
      <c r="L102" s="3"/>
      <c r="M102" s="2"/>
      <c r="N102" s="3"/>
      <c r="O102" s="3"/>
      <c r="P102" s="2"/>
      <c r="Q102" s="31"/>
      <c r="R102" s="31"/>
      <c r="S102" s="2"/>
      <c r="T102" s="2"/>
      <c r="U102" s="2"/>
      <c r="V102" s="3"/>
      <c r="W102" s="3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spans="1:52" x14ac:dyDescent="0.35">
      <c r="A103" s="2"/>
      <c r="B103" s="8"/>
      <c r="C103" s="3"/>
      <c r="D103" s="3"/>
      <c r="E103" s="2"/>
      <c r="F103" s="28"/>
      <c r="G103" s="28"/>
      <c r="I103" s="11"/>
      <c r="J103" s="11"/>
      <c r="K103" s="2"/>
      <c r="L103" s="3"/>
      <c r="M103" s="2"/>
      <c r="N103" s="3"/>
      <c r="O103" s="3"/>
      <c r="P103" s="2"/>
      <c r="Q103" s="31"/>
      <c r="R103" s="31"/>
      <c r="S103" s="2"/>
      <c r="T103" s="2"/>
      <c r="U103" s="2"/>
      <c r="V103" s="3"/>
      <c r="W103" s="3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</row>
    <row r="104" spans="1:52" x14ac:dyDescent="0.35">
      <c r="A104" s="2"/>
      <c r="B104" s="8"/>
      <c r="C104" s="3"/>
      <c r="D104" s="3"/>
      <c r="E104" s="2"/>
      <c r="F104" s="28"/>
      <c r="G104" s="28"/>
      <c r="I104" s="11"/>
      <c r="J104" s="11"/>
      <c r="K104" s="2"/>
      <c r="L104" s="3"/>
      <c r="M104" s="2"/>
      <c r="N104" s="3"/>
      <c r="O104" s="3"/>
      <c r="P104" s="2"/>
      <c r="Q104" s="31"/>
      <c r="R104" s="31"/>
      <c r="S104" s="2"/>
      <c r="T104" s="2"/>
      <c r="U104" s="2"/>
      <c r="V104" s="3"/>
      <c r="W104" s="3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</row>
    <row r="105" spans="1:52" x14ac:dyDescent="0.35">
      <c r="A105" s="2"/>
      <c r="B105" s="8"/>
      <c r="C105" s="3"/>
      <c r="D105" s="3"/>
      <c r="E105" s="2"/>
      <c r="F105" s="28"/>
      <c r="G105" s="28"/>
      <c r="I105" s="11"/>
      <c r="J105" s="11"/>
      <c r="K105" s="2"/>
      <c r="L105" s="3"/>
      <c r="M105" s="2"/>
      <c r="N105" s="3"/>
      <c r="O105" s="3"/>
      <c r="P105" s="2"/>
      <c r="Q105" s="31"/>
      <c r="R105" s="31"/>
      <c r="S105" s="2"/>
      <c r="T105" s="2"/>
      <c r="U105" s="2"/>
      <c r="V105" s="3"/>
      <c r="W105" s="3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</row>
    <row r="106" spans="1:52" x14ac:dyDescent="0.35">
      <c r="A106" s="2"/>
      <c r="B106" s="8"/>
      <c r="C106" s="3"/>
      <c r="D106" s="3"/>
      <c r="E106" s="2"/>
      <c r="F106" s="28"/>
      <c r="G106" s="28"/>
      <c r="I106" s="11"/>
      <c r="J106" s="11"/>
      <c r="K106" s="2"/>
      <c r="L106" s="3"/>
      <c r="M106" s="2"/>
      <c r="N106" s="3"/>
      <c r="O106" s="3"/>
      <c r="P106" s="2"/>
      <c r="Q106" s="31"/>
      <c r="R106" s="31"/>
      <c r="S106" s="2"/>
      <c r="T106" s="2"/>
      <c r="U106" s="2"/>
      <c r="V106" s="3"/>
      <c r="W106" s="3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</row>
    <row r="107" spans="1:52" x14ac:dyDescent="0.35">
      <c r="A107" s="2"/>
      <c r="B107" s="8"/>
      <c r="C107" s="3"/>
      <c r="D107" s="3"/>
      <c r="E107" s="2"/>
      <c r="F107" s="28"/>
      <c r="G107" s="28"/>
      <c r="I107" s="11"/>
      <c r="J107" s="11"/>
      <c r="K107" s="2"/>
      <c r="L107" s="3"/>
      <c r="M107" s="2"/>
      <c r="N107" s="3"/>
      <c r="O107" s="3"/>
      <c r="P107" s="2"/>
      <c r="Q107" s="31"/>
      <c r="R107" s="31"/>
      <c r="S107" s="2"/>
      <c r="T107" s="2"/>
      <c r="U107" s="2"/>
      <c r="V107" s="3"/>
      <c r="W107" s="3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</row>
    <row r="108" spans="1:52" x14ac:dyDescent="0.35">
      <c r="A108" s="2"/>
      <c r="B108" s="8"/>
      <c r="C108" s="3"/>
      <c r="D108" s="3"/>
      <c r="E108" s="2"/>
      <c r="F108" s="28"/>
      <c r="G108" s="28"/>
      <c r="I108" s="11"/>
      <c r="J108" s="11"/>
      <c r="K108" s="2"/>
      <c r="L108" s="3"/>
      <c r="M108" s="2"/>
      <c r="N108" s="3"/>
      <c r="O108" s="3"/>
      <c r="P108" s="2"/>
      <c r="Q108" s="31"/>
      <c r="R108" s="31"/>
      <c r="S108" s="2"/>
      <c r="T108" s="2"/>
      <c r="U108" s="2"/>
      <c r="V108" s="3"/>
      <c r="W108" s="3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</row>
    <row r="109" spans="1:52" x14ac:dyDescent="0.35">
      <c r="A109" s="2"/>
      <c r="B109" s="8"/>
      <c r="C109" s="3"/>
      <c r="D109" s="3"/>
      <c r="E109" s="2"/>
      <c r="F109" s="28"/>
      <c r="G109" s="28"/>
      <c r="I109" s="11"/>
      <c r="J109" s="11"/>
      <c r="K109" s="2"/>
      <c r="L109" s="3"/>
      <c r="M109" s="2"/>
      <c r="N109" s="3"/>
      <c r="O109" s="3"/>
      <c r="P109" s="2"/>
      <c r="Q109" s="31"/>
      <c r="R109" s="31"/>
      <c r="S109" s="2"/>
      <c r="T109" s="2"/>
      <c r="U109" s="2"/>
      <c r="V109" s="3"/>
      <c r="W109" s="3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spans="1:52" x14ac:dyDescent="0.35">
      <c r="A110" s="2"/>
      <c r="B110" s="8"/>
      <c r="C110" s="3"/>
      <c r="D110" s="3"/>
      <c r="E110" s="2"/>
      <c r="F110" s="28"/>
      <c r="G110" s="28"/>
      <c r="I110" s="11"/>
      <c r="J110" s="11"/>
      <c r="K110" s="2"/>
      <c r="L110" s="3"/>
      <c r="M110" s="2"/>
      <c r="N110" s="3"/>
      <c r="O110" s="3"/>
      <c r="P110" s="2"/>
      <c r="Q110" s="31"/>
      <c r="R110" s="31"/>
      <c r="S110" s="2"/>
      <c r="T110" s="2"/>
      <c r="U110" s="2"/>
      <c r="V110" s="3"/>
      <c r="W110" s="3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spans="1:52" x14ac:dyDescent="0.35">
      <c r="A111" s="2"/>
      <c r="B111" s="8"/>
      <c r="C111" s="3"/>
      <c r="D111" s="3"/>
      <c r="E111" s="2"/>
      <c r="F111" s="28"/>
      <c r="G111" s="28"/>
      <c r="I111" s="11"/>
      <c r="J111" s="11"/>
      <c r="K111" s="2"/>
      <c r="L111" s="3"/>
      <c r="M111" s="2"/>
      <c r="N111" s="3"/>
      <c r="O111" s="3"/>
      <c r="P111" s="2"/>
      <c r="Q111" s="31"/>
      <c r="R111" s="31"/>
      <c r="S111" s="2"/>
      <c r="T111" s="2"/>
      <c r="U111" s="2"/>
      <c r="V111" s="3"/>
      <c r="W111" s="3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</row>
    <row r="112" spans="1:52" x14ac:dyDescent="0.35">
      <c r="A112" s="2"/>
      <c r="B112" s="8"/>
      <c r="C112" s="3"/>
      <c r="D112" s="3"/>
      <c r="E112" s="2"/>
      <c r="F112" s="28"/>
      <c r="G112" s="28"/>
      <c r="I112" s="11"/>
      <c r="J112" s="11"/>
      <c r="K112" s="2"/>
      <c r="L112" s="3"/>
      <c r="M112" s="2"/>
      <c r="N112" s="3"/>
      <c r="O112" s="3"/>
      <c r="P112" s="2"/>
      <c r="Q112" s="31"/>
      <c r="R112" s="31"/>
      <c r="S112" s="2"/>
      <c r="T112" s="2"/>
      <c r="U112" s="2"/>
      <c r="V112" s="3"/>
      <c r="W112" s="3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</row>
    <row r="113" spans="1:46" x14ac:dyDescent="0.35">
      <c r="A113" s="2"/>
      <c r="B113" s="8"/>
      <c r="C113" s="3"/>
      <c r="D113" s="3"/>
      <c r="E113" s="2"/>
      <c r="F113" s="28"/>
      <c r="G113" s="28"/>
      <c r="I113" s="11"/>
      <c r="J113" s="11"/>
      <c r="K113" s="2"/>
      <c r="L113" s="3"/>
      <c r="M113" s="2"/>
      <c r="N113" s="3"/>
      <c r="O113" s="3"/>
      <c r="P113" s="2"/>
      <c r="Q113" s="31"/>
      <c r="R113" s="31"/>
      <c r="S113" s="2"/>
      <c r="T113" s="2"/>
      <c r="U113" s="2"/>
      <c r="V113" s="3"/>
      <c r="W113" s="3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</row>
    <row r="114" spans="1:46" x14ac:dyDescent="0.35">
      <c r="A114" s="2"/>
      <c r="B114" s="8"/>
      <c r="C114" s="3"/>
      <c r="D114" s="3"/>
      <c r="E114" s="2"/>
      <c r="F114" s="28"/>
      <c r="G114" s="28"/>
      <c r="I114" s="11"/>
      <c r="J114" s="11"/>
      <c r="K114" s="2"/>
      <c r="L114" s="3"/>
      <c r="M114" s="2"/>
      <c r="N114" s="3"/>
      <c r="O114" s="3"/>
      <c r="P114" s="2"/>
      <c r="Q114" s="31"/>
      <c r="R114" s="31"/>
      <c r="S114" s="2"/>
      <c r="T114" s="2"/>
      <c r="U114" s="2"/>
      <c r="V114" s="3"/>
      <c r="W114" s="3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</row>
    <row r="115" spans="1:46" x14ac:dyDescent="0.35">
      <c r="A115" s="2"/>
      <c r="B115" s="8"/>
      <c r="C115" s="3"/>
      <c r="D115" s="3"/>
      <c r="E115" s="2"/>
      <c r="F115" s="28"/>
      <c r="G115" s="28"/>
      <c r="I115" s="11"/>
      <c r="J115" s="11"/>
      <c r="K115" s="2"/>
      <c r="L115" s="3"/>
      <c r="M115" s="2"/>
      <c r="N115" s="3"/>
      <c r="O115" s="3"/>
      <c r="P115" s="2"/>
      <c r="Q115" s="31"/>
      <c r="R115" s="31"/>
      <c r="S115" s="2"/>
      <c r="T115" s="2"/>
      <c r="U115" s="2"/>
      <c r="V115" s="3"/>
      <c r="W115" s="3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spans="1:46" x14ac:dyDescent="0.35">
      <c r="A116" s="2"/>
      <c r="B116" s="8"/>
      <c r="C116" s="3"/>
      <c r="D116" s="3"/>
      <c r="E116" s="2"/>
      <c r="F116" s="28"/>
      <c r="G116" s="28"/>
      <c r="I116" s="11"/>
      <c r="J116" s="11"/>
      <c r="K116" s="2"/>
      <c r="L116" s="3"/>
      <c r="M116" s="2"/>
      <c r="N116" s="3"/>
      <c r="O116" s="3"/>
      <c r="P116" s="2"/>
      <c r="Q116" s="31"/>
      <c r="R116" s="31"/>
      <c r="S116" s="2"/>
      <c r="T116" s="2"/>
      <c r="U116" s="2"/>
      <c r="V116" s="3"/>
      <c r="W116" s="3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spans="1:46" x14ac:dyDescent="0.35">
      <c r="A117" s="2"/>
      <c r="B117" s="8"/>
      <c r="C117" s="3"/>
      <c r="D117" s="3"/>
      <c r="E117" s="2"/>
      <c r="F117" s="28"/>
      <c r="G117" s="28"/>
      <c r="I117" s="11"/>
      <c r="J117" s="11"/>
      <c r="K117" s="2"/>
      <c r="L117" s="3"/>
      <c r="M117" s="2"/>
      <c r="N117" s="3"/>
      <c r="O117" s="3"/>
      <c r="P117" s="2"/>
      <c r="Q117" s="31"/>
      <c r="R117" s="31"/>
      <c r="S117" s="2"/>
      <c r="T117" s="2"/>
      <c r="U117" s="2"/>
      <c r="V117" s="3"/>
      <c r="W117" s="3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</row>
    <row r="118" spans="1:46" x14ac:dyDescent="0.35">
      <c r="A118" s="2"/>
      <c r="B118" s="8"/>
      <c r="C118" s="3"/>
      <c r="D118" s="3"/>
      <c r="E118" s="2"/>
      <c r="F118" s="28"/>
      <c r="G118" s="28"/>
      <c r="I118" s="11"/>
      <c r="J118" s="11"/>
      <c r="K118" s="2"/>
      <c r="L118" s="3"/>
      <c r="M118" s="2"/>
      <c r="N118" s="3"/>
      <c r="O118" s="3"/>
      <c r="P118" s="2"/>
      <c r="Q118" s="31"/>
      <c r="R118" s="31"/>
      <c r="S118" s="2"/>
      <c r="T118" s="2"/>
      <c r="U118" s="2"/>
      <c r="V118" s="3"/>
      <c r="W118" s="3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</row>
    <row r="119" spans="1:46" x14ac:dyDescent="0.35">
      <c r="A119" s="2"/>
      <c r="B119" s="8"/>
      <c r="C119" s="3"/>
      <c r="D119" s="3"/>
      <c r="E119" s="2"/>
      <c r="F119" s="28"/>
      <c r="G119" s="28"/>
      <c r="I119" s="11"/>
      <c r="J119" s="11"/>
      <c r="K119" s="2"/>
      <c r="L119" s="3"/>
      <c r="M119" s="2"/>
      <c r="N119" s="3"/>
      <c r="O119" s="3"/>
      <c r="P119" s="2"/>
      <c r="Q119" s="31"/>
      <c r="R119" s="31"/>
      <c r="S119" s="2"/>
      <c r="T119" s="2"/>
      <c r="U119" s="2"/>
      <c r="V119" s="3"/>
      <c r="W119" s="3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</row>
    <row r="120" spans="1:46" x14ac:dyDescent="0.35">
      <c r="A120" s="2"/>
      <c r="B120" s="8"/>
      <c r="C120" s="3"/>
      <c r="D120" s="3"/>
      <c r="E120" s="2"/>
      <c r="F120" s="28"/>
      <c r="G120" s="28"/>
      <c r="I120" s="11"/>
      <c r="J120" s="11"/>
      <c r="K120" s="2"/>
      <c r="L120" s="3"/>
      <c r="M120" s="2"/>
      <c r="N120" s="3"/>
      <c r="O120" s="3"/>
      <c r="P120" s="2"/>
      <c r="Q120" s="31"/>
      <c r="R120" s="31"/>
      <c r="S120" s="2"/>
      <c r="T120" s="2"/>
      <c r="U120" s="2"/>
      <c r="V120" s="3"/>
      <c r="W120" s="3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</row>
    <row r="121" spans="1:46" x14ac:dyDescent="0.35">
      <c r="A121" s="2"/>
      <c r="B121" s="8"/>
      <c r="C121" s="3"/>
      <c r="D121" s="3"/>
      <c r="E121" s="2"/>
      <c r="F121" s="28"/>
      <c r="G121" s="28"/>
      <c r="I121" s="11"/>
      <c r="J121" s="11"/>
      <c r="K121" s="2"/>
      <c r="L121" s="3"/>
      <c r="M121" s="2"/>
      <c r="N121" s="3"/>
      <c r="O121" s="3"/>
      <c r="P121" s="2"/>
      <c r="Q121" s="31"/>
      <c r="R121" s="31"/>
      <c r="S121" s="2"/>
      <c r="T121" s="2"/>
      <c r="U121" s="2"/>
      <c r="V121" s="3"/>
      <c r="W121" s="3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</row>
    <row r="122" spans="1:46" x14ac:dyDescent="0.35">
      <c r="A122" s="2"/>
      <c r="B122" s="8"/>
      <c r="C122" s="3"/>
      <c r="D122" s="3"/>
      <c r="E122" s="2"/>
      <c r="F122" s="28"/>
      <c r="G122" s="28"/>
      <c r="I122" s="11"/>
      <c r="J122" s="11"/>
      <c r="K122" s="2"/>
      <c r="L122" s="3"/>
      <c r="M122" s="2"/>
      <c r="N122" s="3"/>
      <c r="O122" s="3"/>
      <c r="P122" s="2"/>
      <c r="Q122" s="31"/>
      <c r="R122" s="31"/>
      <c r="S122" s="2"/>
      <c r="T122" s="2"/>
      <c r="U122" s="2"/>
      <c r="V122" s="3"/>
      <c r="W122" s="3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</row>
    <row r="123" spans="1:46" x14ac:dyDescent="0.35">
      <c r="A123" s="2"/>
      <c r="B123" s="8"/>
      <c r="C123" s="3"/>
      <c r="D123" s="3"/>
      <c r="E123" s="2"/>
      <c r="F123" s="28"/>
      <c r="G123" s="28"/>
      <c r="I123" s="11"/>
      <c r="J123" s="11"/>
      <c r="K123" s="2"/>
      <c r="L123" s="3"/>
      <c r="M123" s="2"/>
      <c r="N123" s="3"/>
      <c r="O123" s="3"/>
      <c r="P123" s="2"/>
      <c r="Q123" s="31"/>
      <c r="R123" s="31"/>
      <c r="S123" s="2"/>
      <c r="T123" s="2"/>
      <c r="U123" s="2"/>
      <c r="V123" s="3"/>
      <c r="W123" s="3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</row>
    <row r="124" spans="1:46" x14ac:dyDescent="0.35">
      <c r="A124" s="2"/>
      <c r="B124" s="8"/>
      <c r="C124" s="3"/>
      <c r="D124" s="3"/>
      <c r="E124" s="2"/>
      <c r="F124" s="28"/>
      <c r="G124" s="28"/>
      <c r="I124" s="11"/>
      <c r="J124" s="11"/>
      <c r="K124" s="2"/>
      <c r="L124" s="3"/>
      <c r="M124" s="2"/>
      <c r="N124" s="3"/>
      <c r="O124" s="3"/>
      <c r="P124" s="2"/>
      <c r="Q124" s="31"/>
      <c r="R124" s="31"/>
      <c r="S124" s="2"/>
      <c r="T124" s="2"/>
      <c r="U124" s="2"/>
      <c r="V124" s="3"/>
      <c r="W124" s="3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</row>
    <row r="125" spans="1:46" x14ac:dyDescent="0.35">
      <c r="A125" s="2"/>
      <c r="B125" s="8"/>
      <c r="C125" s="3"/>
      <c r="D125" s="3"/>
      <c r="E125" s="2"/>
      <c r="F125" s="28"/>
      <c r="G125" s="28"/>
      <c r="I125" s="11"/>
      <c r="J125" s="11"/>
      <c r="K125" s="2"/>
      <c r="L125" s="3"/>
      <c r="M125" s="2"/>
      <c r="N125" s="3"/>
      <c r="O125" s="3"/>
      <c r="P125" s="2"/>
      <c r="Q125" s="31"/>
      <c r="R125" s="31"/>
      <c r="S125" s="2"/>
      <c r="T125" s="2"/>
      <c r="U125" s="2"/>
      <c r="V125" s="3"/>
      <c r="W125" s="3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</row>
    <row r="126" spans="1:46" x14ac:dyDescent="0.35">
      <c r="A126" s="2"/>
      <c r="B126" s="8"/>
      <c r="C126" s="3"/>
      <c r="D126" s="3"/>
      <c r="E126" s="2"/>
      <c r="F126" s="28"/>
      <c r="G126" s="28"/>
      <c r="I126" s="11"/>
      <c r="J126" s="11"/>
      <c r="K126" s="2"/>
      <c r="L126" s="3"/>
      <c r="M126" s="2"/>
      <c r="N126" s="3"/>
      <c r="O126" s="3"/>
      <c r="P126" s="2"/>
      <c r="Q126" s="31"/>
      <c r="R126" s="31"/>
      <c r="S126" s="2"/>
      <c r="T126" s="2"/>
      <c r="U126" s="2"/>
      <c r="V126" s="3"/>
      <c r="W126" s="3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</row>
    <row r="127" spans="1:46" x14ac:dyDescent="0.35">
      <c r="A127" s="2"/>
      <c r="B127" s="8"/>
      <c r="C127" s="3"/>
      <c r="D127" s="3"/>
      <c r="E127" s="2"/>
      <c r="F127" s="28"/>
      <c r="G127" s="28"/>
      <c r="I127" s="11"/>
      <c r="J127" s="11"/>
      <c r="K127" s="2"/>
      <c r="L127" s="3"/>
      <c r="M127" s="2"/>
      <c r="N127" s="3"/>
      <c r="O127" s="3"/>
      <c r="P127" s="2"/>
      <c r="Q127" s="31"/>
      <c r="R127" s="31"/>
      <c r="S127" s="2"/>
      <c r="T127" s="2"/>
      <c r="U127" s="2"/>
      <c r="V127" s="3"/>
      <c r="W127" s="3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</row>
    <row r="128" spans="1:46" x14ac:dyDescent="0.35">
      <c r="A128" s="2"/>
      <c r="B128" s="8"/>
      <c r="C128" s="3"/>
      <c r="D128" s="3"/>
      <c r="E128" s="2"/>
      <c r="F128" s="28"/>
      <c r="G128" s="28"/>
      <c r="I128" s="11"/>
      <c r="J128" s="11"/>
      <c r="K128" s="2"/>
      <c r="L128" s="3"/>
      <c r="M128" s="2"/>
      <c r="N128" s="3"/>
      <c r="O128" s="3"/>
      <c r="P128" s="2"/>
      <c r="Q128" s="31"/>
      <c r="R128" s="31"/>
      <c r="S128" s="2"/>
      <c r="T128" s="2"/>
      <c r="U128" s="2"/>
      <c r="V128" s="3"/>
      <c r="W128" s="3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</row>
    <row r="129" spans="1:46" x14ac:dyDescent="0.35">
      <c r="A129" s="2"/>
      <c r="B129" s="8"/>
      <c r="C129" s="3"/>
      <c r="D129" s="3"/>
      <c r="E129" s="2"/>
      <c r="F129" s="28"/>
      <c r="G129" s="28"/>
      <c r="I129" s="11"/>
      <c r="J129" s="11"/>
      <c r="K129" s="2"/>
      <c r="L129" s="3"/>
      <c r="M129" s="2"/>
      <c r="N129" s="3"/>
      <c r="O129" s="3"/>
      <c r="P129" s="2"/>
      <c r="Q129" s="31"/>
      <c r="R129" s="31"/>
      <c r="S129" s="2"/>
      <c r="T129" s="2"/>
      <c r="U129" s="2"/>
      <c r="V129" s="3"/>
      <c r="W129" s="3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</row>
    <row r="130" spans="1:46" x14ac:dyDescent="0.35">
      <c r="A130" s="2"/>
      <c r="B130" s="8"/>
      <c r="C130" s="3"/>
      <c r="D130" s="3"/>
      <c r="E130" s="2"/>
      <c r="F130" s="28"/>
      <c r="G130" s="28"/>
      <c r="I130" s="11"/>
      <c r="J130" s="11"/>
      <c r="K130" s="2"/>
      <c r="L130" s="3"/>
      <c r="M130" s="2"/>
      <c r="N130" s="3"/>
      <c r="O130" s="3"/>
      <c r="P130" s="2"/>
      <c r="Q130" s="31"/>
      <c r="R130" s="31"/>
      <c r="S130" s="2"/>
      <c r="T130" s="2"/>
      <c r="U130" s="2"/>
      <c r="V130" s="3"/>
      <c r="W130" s="3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</row>
    <row r="131" spans="1:46" x14ac:dyDescent="0.35">
      <c r="A131" s="2"/>
      <c r="B131" s="8"/>
      <c r="C131" s="3"/>
      <c r="D131" s="3"/>
      <c r="E131" s="2"/>
      <c r="F131" s="28"/>
      <c r="G131" s="28"/>
      <c r="I131" s="11"/>
      <c r="J131" s="11"/>
      <c r="K131" s="2"/>
      <c r="L131" s="3"/>
      <c r="M131" s="2"/>
      <c r="N131" s="3"/>
      <c r="O131" s="3"/>
      <c r="P131" s="2"/>
      <c r="Q131" s="31"/>
      <c r="R131" s="31"/>
      <c r="S131" s="2"/>
      <c r="T131" s="2"/>
      <c r="U131" s="2"/>
      <c r="V131" s="3"/>
      <c r="W131" s="3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</row>
    <row r="132" spans="1:46" x14ac:dyDescent="0.35">
      <c r="A132" s="2"/>
      <c r="B132" s="8"/>
      <c r="C132" s="3"/>
      <c r="D132" s="3"/>
      <c r="E132" s="2"/>
      <c r="F132" s="28"/>
      <c r="G132" s="28"/>
      <c r="I132" s="11"/>
      <c r="J132" s="11"/>
      <c r="K132" s="2"/>
      <c r="L132" s="3"/>
      <c r="M132" s="2"/>
      <c r="N132" s="3"/>
      <c r="O132" s="3"/>
      <c r="P132" s="2"/>
      <c r="Q132" s="31"/>
      <c r="R132" s="31"/>
      <c r="S132" s="2"/>
      <c r="T132" s="2"/>
      <c r="U132" s="2"/>
      <c r="V132" s="3"/>
      <c r="W132" s="3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</row>
    <row r="133" spans="1:46" x14ac:dyDescent="0.35">
      <c r="A133" s="2"/>
      <c r="B133" s="8"/>
      <c r="C133" s="3"/>
      <c r="D133" s="3"/>
      <c r="E133" s="2"/>
      <c r="F133" s="28"/>
      <c r="G133" s="28"/>
      <c r="I133" s="11"/>
      <c r="J133" s="11"/>
      <c r="K133" s="2"/>
      <c r="L133" s="3"/>
      <c r="M133" s="2"/>
      <c r="N133" s="3"/>
      <c r="O133" s="3"/>
      <c r="P133" s="2"/>
      <c r="Q133" s="31"/>
      <c r="R133" s="31"/>
      <c r="S133" s="2"/>
      <c r="T133" s="2"/>
      <c r="U133" s="2"/>
      <c r="V133" s="3"/>
      <c r="W133" s="3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</row>
    <row r="134" spans="1:46" x14ac:dyDescent="0.35">
      <c r="A134" s="2"/>
      <c r="B134" s="8"/>
      <c r="C134" s="3"/>
      <c r="D134" s="3"/>
      <c r="E134" s="2"/>
      <c r="F134" s="28"/>
      <c r="G134" s="28"/>
      <c r="I134" s="11"/>
      <c r="J134" s="11"/>
      <c r="K134" s="2"/>
      <c r="L134" s="3"/>
      <c r="M134" s="2"/>
      <c r="N134" s="3"/>
      <c r="O134" s="3"/>
      <c r="P134" s="2"/>
      <c r="Q134" s="31"/>
      <c r="R134" s="31"/>
      <c r="S134" s="2"/>
      <c r="T134" s="2"/>
      <c r="U134" s="2"/>
      <c r="V134" s="3"/>
      <c r="W134" s="3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</row>
    <row r="135" spans="1:46" x14ac:dyDescent="0.35">
      <c r="A135" s="2"/>
      <c r="B135" s="8"/>
      <c r="C135" s="3"/>
      <c r="D135" s="3"/>
      <c r="E135" s="2"/>
      <c r="F135" s="28"/>
      <c r="G135" s="28"/>
      <c r="I135" s="11"/>
      <c r="J135" s="11"/>
      <c r="K135" s="2"/>
      <c r="L135" s="3"/>
      <c r="M135" s="2"/>
      <c r="N135" s="3"/>
      <c r="O135" s="3"/>
      <c r="P135" s="2"/>
      <c r="Q135" s="31"/>
      <c r="R135" s="31"/>
      <c r="S135" s="2"/>
      <c r="T135" s="2"/>
      <c r="U135" s="2"/>
      <c r="V135" s="3"/>
      <c r="W135" s="3"/>
      <c r="X135" s="2"/>
    </row>
  </sheetData>
  <sheetProtection sheet="1" selectLockedCells="1"/>
  <conditionalFormatting sqref="F7:G7">
    <cfRule type="expression" dxfId="34" priority="73">
      <formula>"if($J7=1)"</formula>
    </cfRule>
  </conditionalFormatting>
  <conditionalFormatting sqref="Y7:Y9">
    <cfRule type="expression" dxfId="33" priority="72">
      <formula>"if($J7=1)"</formula>
    </cfRule>
  </conditionalFormatting>
  <conditionalFormatting sqref="G7">
    <cfRule type="expression" dxfId="32" priority="69">
      <formula>"if($J7=1)"</formula>
    </cfRule>
  </conditionalFormatting>
  <conditionalFormatting sqref="R7">
    <cfRule type="expression" dxfId="31" priority="53">
      <formula>"if($J7=1)"</formula>
    </cfRule>
  </conditionalFormatting>
  <conditionalFormatting sqref="R7">
    <cfRule type="expression" dxfId="30" priority="54">
      <formula>"if($J7=1)"</formula>
    </cfRule>
  </conditionalFormatting>
  <conditionalFormatting sqref="S7:T26">
    <cfRule type="expression" dxfId="29" priority="55">
      <formula>AND($T$6="X",$Q7="X")</formula>
    </cfRule>
  </conditionalFormatting>
  <conditionalFormatting sqref="F7:G26">
    <cfRule type="expression" dxfId="28" priority="49">
      <formula>"if($J7=1)"</formula>
    </cfRule>
  </conditionalFormatting>
  <conditionalFormatting sqref="G7:G26">
    <cfRule type="expression" dxfId="27" priority="48">
      <formula>"if($J7=1)"</formula>
    </cfRule>
  </conditionalFormatting>
  <conditionalFormatting sqref="R8:R26">
    <cfRule type="expression" dxfId="26" priority="44">
      <formula>"if($J7=1)"</formula>
    </cfRule>
  </conditionalFormatting>
  <conditionalFormatting sqref="R8:R26">
    <cfRule type="expression" dxfId="25" priority="45">
      <formula>"if($J7=1)"</formula>
    </cfRule>
  </conditionalFormatting>
  <conditionalFormatting sqref="F7:F26">
    <cfRule type="expression" dxfId="24" priority="41">
      <formula>"if($J7=1)"</formula>
    </cfRule>
  </conditionalFormatting>
  <conditionalFormatting sqref="I27">
    <cfRule type="expression" dxfId="23" priority="213">
      <formula>#REF!="X"</formula>
    </cfRule>
  </conditionalFormatting>
  <conditionalFormatting sqref="I7">
    <cfRule type="expression" dxfId="22" priority="224">
      <formula>AND($T$6="X",$F7="X")</formula>
    </cfRule>
  </conditionalFormatting>
  <conditionalFormatting sqref="H7:I26">
    <cfRule type="expression" dxfId="21" priority="14">
      <formula>AND($I$6="X",$F7="X")</formula>
    </cfRule>
  </conditionalFormatting>
  <conditionalFormatting sqref="I8:I26">
    <cfRule type="expression" dxfId="20" priority="13">
      <formula>AND($T$6="X",$F8="X")</formula>
    </cfRule>
  </conditionalFormatting>
  <conditionalFormatting sqref="H8:H26">
    <cfRule type="expression" dxfId="19" priority="12">
      <formula>AND($T$6="X",$F8="X")</formula>
    </cfRule>
  </conditionalFormatting>
  <conditionalFormatting sqref="E7:E26">
    <cfRule type="expression" dxfId="18" priority="10" stopIfTrue="1">
      <formula>OR(E7=" ",E7=I7)</formula>
    </cfRule>
    <cfRule type="expression" dxfId="17" priority="11">
      <formula>AND(AND(E7&gt;"",E7&lt;&gt;I7),$I$6&lt;&gt;"x")</formula>
    </cfRule>
  </conditionalFormatting>
  <conditionalFormatting sqref="Q7:Q26">
    <cfRule type="expression" dxfId="16" priority="9">
      <formula>"if($J7=1)"</formula>
    </cfRule>
  </conditionalFormatting>
  <conditionalFormatting sqref="Q7:Q26">
    <cfRule type="expression" dxfId="15" priority="8">
      <formula>"if($J7=1)"</formula>
    </cfRule>
  </conditionalFormatting>
  <conditionalFormatting sqref="P7:P26">
    <cfRule type="expression" dxfId="14" priority="6" stopIfTrue="1">
      <formula>OR(P7=" ",P7=T7)</formula>
    </cfRule>
    <cfRule type="expression" dxfId="13" priority="7">
      <formula>AND(AND(P7&gt;"",P7&lt;&gt;T7),$T$6&lt;&gt;"x")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68FB2-6530-4AF9-9F71-CA27AFF95FCF}">
  <sheetPr codeName="Sheet2"/>
  <dimension ref="A1:U60"/>
  <sheetViews>
    <sheetView showGridLines="0" workbookViewId="0">
      <selection activeCell="E7" sqref="E7"/>
    </sheetView>
  </sheetViews>
  <sheetFormatPr defaultRowHeight="14.4" x14ac:dyDescent="0.3"/>
  <cols>
    <col min="3" max="3" width="1.44140625" customWidth="1"/>
    <col min="4" max="4" width="2.33203125" customWidth="1"/>
    <col min="7" max="7" width="9.88671875" customWidth="1"/>
    <col min="9" max="9" width="21.109375" customWidth="1"/>
    <col min="11" max="11" width="1.109375" customWidth="1"/>
    <col min="12" max="12" width="2" customWidth="1"/>
    <col min="14" max="14" width="10.109375" customWidth="1"/>
  </cols>
  <sheetData>
    <row r="1" spans="1:20" ht="19.95" customHeight="1" x14ac:dyDescent="0.35">
      <c r="A1" s="2"/>
      <c r="B1" s="8"/>
      <c r="C1" s="3"/>
      <c r="D1" s="3"/>
      <c r="E1" s="3"/>
      <c r="F1" s="28"/>
      <c r="G1" s="22"/>
      <c r="H1" s="23" t="s">
        <v>0</v>
      </c>
      <c r="I1" s="24"/>
      <c r="J1" s="24"/>
      <c r="K1" s="23" t="s">
        <v>1</v>
      </c>
      <c r="L1" s="3"/>
      <c r="M1" s="3"/>
      <c r="N1" s="3"/>
      <c r="O1" s="28"/>
      <c r="P1" s="5"/>
      <c r="Q1" s="10"/>
      <c r="R1" s="2"/>
      <c r="S1" s="2"/>
      <c r="T1" s="2"/>
    </row>
    <row r="2" spans="1:20" ht="19.95" customHeight="1" x14ac:dyDescent="0.35">
      <c r="A2" s="2"/>
      <c r="B2" s="8"/>
      <c r="C2" s="3"/>
      <c r="D2" s="3"/>
      <c r="E2" s="3"/>
      <c r="F2" s="28"/>
      <c r="G2" s="22"/>
      <c r="H2" s="25"/>
      <c r="I2" s="24" t="s">
        <v>2</v>
      </c>
      <c r="J2" s="24"/>
      <c r="K2" s="26"/>
      <c r="L2" s="3"/>
      <c r="M2" s="3"/>
      <c r="N2" s="3"/>
      <c r="O2" s="28"/>
      <c r="P2" s="5"/>
      <c r="Q2" s="10"/>
      <c r="R2" s="2"/>
      <c r="S2" s="2"/>
      <c r="T2" s="2"/>
    </row>
    <row r="3" spans="1:20" ht="19.95" customHeight="1" x14ac:dyDescent="0.35">
      <c r="A3" s="2"/>
      <c r="B3" s="8"/>
      <c r="C3" s="3"/>
      <c r="D3" s="3"/>
      <c r="E3" s="3" t="s">
        <v>3</v>
      </c>
      <c r="F3" s="28"/>
      <c r="G3" s="5"/>
      <c r="H3" s="10"/>
      <c r="I3" s="2"/>
      <c r="J3" s="2"/>
      <c r="K3" s="8"/>
      <c r="L3" s="3"/>
      <c r="M3" s="3"/>
      <c r="N3" s="3"/>
      <c r="O3" s="28"/>
      <c r="P3" s="5"/>
      <c r="Q3" s="10"/>
      <c r="R3" s="2"/>
      <c r="S3" s="2"/>
      <c r="T3" s="2"/>
    </row>
    <row r="4" spans="1:20" ht="19.95" customHeight="1" x14ac:dyDescent="0.35">
      <c r="A4" s="2"/>
      <c r="B4" s="8"/>
      <c r="C4" s="7" t="s">
        <v>4</v>
      </c>
      <c r="D4" s="3"/>
      <c r="E4" s="7"/>
      <c r="F4" s="28"/>
      <c r="G4" s="5"/>
      <c r="H4" s="10"/>
      <c r="I4" s="2"/>
      <c r="J4" s="2"/>
      <c r="K4" s="8"/>
      <c r="L4" s="7" t="s">
        <v>5</v>
      </c>
      <c r="M4" s="3"/>
      <c r="N4" s="3"/>
      <c r="O4" s="28"/>
      <c r="P4" s="5"/>
      <c r="Q4" s="10"/>
      <c r="R4" s="2"/>
      <c r="S4" s="2"/>
      <c r="T4" s="2"/>
    </row>
    <row r="5" spans="1:20" ht="19.95" customHeight="1" x14ac:dyDescent="0.35">
      <c r="A5" s="2"/>
      <c r="B5" s="7" t="s">
        <v>6</v>
      </c>
      <c r="C5" s="3"/>
      <c r="D5" s="14"/>
      <c r="E5" s="3"/>
      <c r="F5" s="28"/>
      <c r="G5" s="13">
        <f>SUM(J7:J26)*5</f>
        <v>0</v>
      </c>
      <c r="H5" s="7" t="str">
        <f>"% correct"</f>
        <v>% correct</v>
      </c>
      <c r="I5" s="2"/>
      <c r="J5" s="2"/>
      <c r="K5" s="7" t="s">
        <v>7</v>
      </c>
      <c r="L5" s="3"/>
      <c r="M5" s="14"/>
      <c r="N5" s="3"/>
      <c r="O5" s="31"/>
      <c r="P5" s="13">
        <f>SUM(S7:S26)*5</f>
        <v>0</v>
      </c>
      <c r="Q5" s="7" t="str">
        <f>"% correct"</f>
        <v>% correct</v>
      </c>
      <c r="R5" s="2"/>
      <c r="S5" s="2"/>
      <c r="T5" s="2"/>
    </row>
    <row r="6" spans="1:20" ht="19.95" customHeight="1" x14ac:dyDescent="0.35">
      <c r="A6" s="2"/>
      <c r="B6" s="8"/>
      <c r="C6" s="3"/>
      <c r="D6" s="3"/>
      <c r="E6" s="4" t="s">
        <v>8</v>
      </c>
      <c r="F6" s="28"/>
      <c r="G6" s="19" t="s">
        <v>9</v>
      </c>
      <c r="H6" s="18"/>
      <c r="I6" s="2"/>
      <c r="J6" s="2"/>
      <c r="K6" s="8"/>
      <c r="L6" s="3"/>
      <c r="M6" s="3"/>
      <c r="N6" s="4" t="s">
        <v>8</v>
      </c>
      <c r="O6" s="28"/>
      <c r="P6" s="19" t="s">
        <v>9</v>
      </c>
      <c r="Q6" s="18"/>
      <c r="R6" s="2"/>
      <c r="S6" s="2"/>
      <c r="T6" s="2"/>
    </row>
    <row r="7" spans="1:20" ht="19.95" customHeight="1" x14ac:dyDescent="0.35">
      <c r="A7" s="2" t="str">
        <f>IF(G5=25,"Y","")</f>
        <v/>
      </c>
      <c r="B7" s="8">
        <v>1</v>
      </c>
      <c r="C7" s="15" t="s">
        <v>10</v>
      </c>
      <c r="D7" s="16" t="s">
        <v>10</v>
      </c>
      <c r="E7" s="6" t="str">
        <f>[1]!wwsInput()</f>
        <v/>
      </c>
      <c r="F7" s="27" t="str">
        <f>IF($E7&lt;&gt;"",IF($I41="y","SAME","DIFF"),"")</f>
        <v/>
      </c>
      <c r="G7" s="17" t="str">
        <f>G41</f>
        <v>RIB</v>
      </c>
      <c r="H7" s="17" t="str">
        <f t="shared" ref="H7:I22" si="0">H41</f>
        <v>RIB</v>
      </c>
      <c r="I7" s="33" t="str">
        <f>I41</f>
        <v>y</v>
      </c>
      <c r="J7" s="34">
        <f>IF(E7=I41,1,0)</f>
        <v>0</v>
      </c>
      <c r="K7" s="8">
        <v>1</v>
      </c>
      <c r="L7" s="15" t="s">
        <v>12</v>
      </c>
      <c r="M7" s="16" t="s">
        <v>13</v>
      </c>
      <c r="N7" s="6" t="str">
        <f>[1]!wwsInput()</f>
        <v/>
      </c>
      <c r="O7" s="27" t="str">
        <f t="shared" ref="O7:O26" si="1">IF($E7&lt;&gt;"",IF($I41="y","SAME","DIFF"),"")</f>
        <v/>
      </c>
      <c r="P7" s="17" t="s">
        <v>12</v>
      </c>
      <c r="Q7" s="17" t="s">
        <v>13</v>
      </c>
      <c r="R7" s="33" t="e">
        <f>#REF!</f>
        <v>#REF!</v>
      </c>
      <c r="S7" s="34">
        <f>IF(N7=R41,1,0)</f>
        <v>0</v>
      </c>
      <c r="T7" s="2"/>
    </row>
    <row r="8" spans="1:20" ht="19.95" customHeight="1" x14ac:dyDescent="0.35">
      <c r="A8" s="2"/>
      <c r="B8" s="8">
        <f>1+B7</f>
        <v>2</v>
      </c>
      <c r="C8" s="15" t="s">
        <v>14</v>
      </c>
      <c r="D8" s="16" t="s">
        <v>15</v>
      </c>
      <c r="E8" s="6" t="str">
        <f>[1]!wwsInput()</f>
        <v/>
      </c>
      <c r="F8" s="27" t="str">
        <f t="shared" ref="F8:F26" si="2">IF($E8&lt;&gt;"",IF($I42="y","SAME","DIFF"),"")</f>
        <v/>
      </c>
      <c r="G8" s="17" t="str">
        <f t="shared" ref="G8:I23" si="3">G42</f>
        <v>DOSE  </v>
      </c>
      <c r="H8" s="17" t="str">
        <f t="shared" si="0"/>
        <v>DOZE</v>
      </c>
      <c r="I8" s="33" t="str">
        <f t="shared" si="0"/>
        <v>n</v>
      </c>
      <c r="J8" s="34">
        <f t="shared" ref="J8:J26" si="4">IF(E8=I42,1,0)</f>
        <v>0</v>
      </c>
      <c r="K8" s="8">
        <f>1+K7</f>
        <v>2</v>
      </c>
      <c r="L8" s="15" t="s">
        <v>47</v>
      </c>
      <c r="M8" s="16" t="s">
        <v>35</v>
      </c>
      <c r="N8" s="6" t="str">
        <f>[1]!wwsInput()</f>
        <v/>
      </c>
      <c r="O8" s="27" t="str">
        <f t="shared" si="1"/>
        <v/>
      </c>
      <c r="P8" s="17" t="s">
        <v>47</v>
      </c>
      <c r="Q8" s="17" t="s">
        <v>35</v>
      </c>
      <c r="R8" s="33" t="e">
        <f>#REF!</f>
        <v>#REF!</v>
      </c>
      <c r="S8" s="34">
        <f t="shared" ref="S8:S26" si="5">IF(N8=R42,1,0)</f>
        <v>0</v>
      </c>
      <c r="T8" s="2"/>
    </row>
    <row r="9" spans="1:20" ht="19.95" customHeight="1" x14ac:dyDescent="0.35">
      <c r="A9" s="2"/>
      <c r="B9" s="8">
        <f t="shared" ref="B9:B26" si="6">1+B8</f>
        <v>3</v>
      </c>
      <c r="C9" s="15" t="s">
        <v>16</v>
      </c>
      <c r="D9" s="16" t="s">
        <v>17</v>
      </c>
      <c r="E9" s="6" t="str">
        <f>[1]!wwsInput()</f>
        <v/>
      </c>
      <c r="F9" s="27" t="str">
        <f t="shared" si="2"/>
        <v/>
      </c>
      <c r="G9" s="17" t="str">
        <f t="shared" si="3"/>
        <v>TO  </v>
      </c>
      <c r="H9" s="17" t="str">
        <f t="shared" si="0"/>
        <v>DO</v>
      </c>
      <c r="I9" s="33" t="str">
        <f t="shared" si="0"/>
        <v>n</v>
      </c>
      <c r="J9" s="34">
        <f t="shared" si="4"/>
        <v>0</v>
      </c>
      <c r="K9" s="8">
        <f t="shared" ref="K9:K26" si="7">1+K8</f>
        <v>3</v>
      </c>
      <c r="L9" s="15" t="s">
        <v>31</v>
      </c>
      <c r="M9" s="16" t="s">
        <v>31</v>
      </c>
      <c r="N9" s="6" t="str">
        <f>[1]!wwsInput()</f>
        <v/>
      </c>
      <c r="O9" s="27" t="str">
        <f t="shared" si="1"/>
        <v/>
      </c>
      <c r="P9" s="17" t="s">
        <v>31</v>
      </c>
      <c r="Q9" s="17" t="s">
        <v>31</v>
      </c>
      <c r="R9" s="33" t="e">
        <f>#REF!</f>
        <v>#REF!</v>
      </c>
      <c r="S9" s="34">
        <f t="shared" si="5"/>
        <v>0</v>
      </c>
      <c r="T9" s="2"/>
    </row>
    <row r="10" spans="1:20" ht="19.95" customHeight="1" x14ac:dyDescent="0.35">
      <c r="A10" s="2"/>
      <c r="B10" s="8">
        <f t="shared" si="6"/>
        <v>4</v>
      </c>
      <c r="C10" s="15" t="s">
        <v>18</v>
      </c>
      <c r="D10" s="16" t="s">
        <v>19</v>
      </c>
      <c r="E10" s="6" t="str">
        <f>[1]!wwsInput()</f>
        <v/>
      </c>
      <c r="F10" s="27" t="str">
        <f t="shared" si="2"/>
        <v/>
      </c>
      <c r="G10" s="17" t="str">
        <f t="shared" si="3"/>
        <v>WAFER  </v>
      </c>
      <c r="H10" s="17" t="str">
        <f t="shared" si="0"/>
        <v>WAFER</v>
      </c>
      <c r="I10" s="33" t="str">
        <f t="shared" si="0"/>
        <v>y</v>
      </c>
      <c r="J10" s="34">
        <f t="shared" si="4"/>
        <v>0</v>
      </c>
      <c r="K10" s="8">
        <f t="shared" si="7"/>
        <v>4</v>
      </c>
      <c r="L10" s="15" t="s">
        <v>38</v>
      </c>
      <c r="M10" s="16" t="s">
        <v>38</v>
      </c>
      <c r="N10" s="6" t="str">
        <f>[1]!wwsInput()</f>
        <v/>
      </c>
      <c r="O10" s="27" t="str">
        <f t="shared" si="1"/>
        <v/>
      </c>
      <c r="P10" s="17" t="s">
        <v>38</v>
      </c>
      <c r="Q10" s="17" t="s">
        <v>38</v>
      </c>
      <c r="R10" s="33" t="e">
        <f>#REF!</f>
        <v>#REF!</v>
      </c>
      <c r="S10" s="34">
        <f t="shared" si="5"/>
        <v>0</v>
      </c>
      <c r="T10" s="2"/>
    </row>
    <row r="11" spans="1:20" ht="19.95" customHeight="1" x14ac:dyDescent="0.35">
      <c r="A11" s="2"/>
      <c r="B11" s="8">
        <f t="shared" si="6"/>
        <v>5</v>
      </c>
      <c r="C11" s="15" t="s">
        <v>20</v>
      </c>
      <c r="D11" s="16" t="s">
        <v>21</v>
      </c>
      <c r="E11" s="6" t="str">
        <f>[1]!wwsInput()</f>
        <v/>
      </c>
      <c r="F11" s="27" t="str">
        <f t="shared" si="2"/>
        <v/>
      </c>
      <c r="G11" s="17" t="str">
        <f t="shared" si="3"/>
        <v>VAT  </v>
      </c>
      <c r="H11" s="17" t="str">
        <f t="shared" si="0"/>
        <v>VAT</v>
      </c>
      <c r="I11" s="33" t="str">
        <f t="shared" si="0"/>
        <v>y</v>
      </c>
      <c r="J11" s="34">
        <f t="shared" si="4"/>
        <v>0</v>
      </c>
      <c r="K11" s="8">
        <f t="shared" si="7"/>
        <v>5</v>
      </c>
      <c r="L11" s="15" t="s">
        <v>10</v>
      </c>
      <c r="M11" s="16" t="s">
        <v>37</v>
      </c>
      <c r="N11" s="6" t="str">
        <f>[1]!wwsInput()</f>
        <v/>
      </c>
      <c r="O11" s="27" t="str">
        <f t="shared" si="1"/>
        <v/>
      </c>
      <c r="P11" s="17" t="s">
        <v>10</v>
      </c>
      <c r="Q11" s="17" t="s">
        <v>37</v>
      </c>
      <c r="R11" s="33" t="e">
        <f>#REF!</f>
        <v>#REF!</v>
      </c>
      <c r="S11" s="34">
        <f t="shared" si="5"/>
        <v>0</v>
      </c>
      <c r="T11" s="2"/>
    </row>
    <row r="12" spans="1:20" ht="19.95" customHeight="1" x14ac:dyDescent="0.35">
      <c r="A12" s="2"/>
      <c r="B12" s="8">
        <f t="shared" si="6"/>
        <v>6</v>
      </c>
      <c r="C12" s="15" t="s">
        <v>22</v>
      </c>
      <c r="D12" s="16" t="s">
        <v>23</v>
      </c>
      <c r="E12" s="6" t="str">
        <f>[1]!wwsInput()</f>
        <v/>
      </c>
      <c r="F12" s="27" t="str">
        <f t="shared" si="2"/>
        <v/>
      </c>
      <c r="G12" s="17" t="str">
        <f t="shared" si="3"/>
        <v>ZAP  </v>
      </c>
      <c r="H12" s="17" t="str">
        <f t="shared" si="0"/>
        <v>SAP</v>
      </c>
      <c r="I12" s="33" t="str">
        <f t="shared" si="0"/>
        <v>n</v>
      </c>
      <c r="J12" s="34">
        <f t="shared" si="4"/>
        <v>0</v>
      </c>
      <c r="K12" s="8">
        <f t="shared" si="7"/>
        <v>6</v>
      </c>
      <c r="L12" s="15" t="s">
        <v>35</v>
      </c>
      <c r="M12" s="16" t="s">
        <v>35</v>
      </c>
      <c r="N12" s="6" t="str">
        <f>[1]!wwsInput()</f>
        <v/>
      </c>
      <c r="O12" s="27" t="str">
        <f t="shared" si="1"/>
        <v/>
      </c>
      <c r="P12" s="17" t="s">
        <v>35</v>
      </c>
      <c r="Q12" s="17" t="s">
        <v>35</v>
      </c>
      <c r="R12" s="33" t="e">
        <f>#REF!</f>
        <v>#REF!</v>
      </c>
      <c r="S12" s="34">
        <f t="shared" si="5"/>
        <v>0</v>
      </c>
      <c r="T12" s="2"/>
    </row>
    <row r="13" spans="1:20" ht="19.95" customHeight="1" x14ac:dyDescent="0.35">
      <c r="A13" s="2"/>
      <c r="B13" s="8">
        <f t="shared" si="6"/>
        <v>7</v>
      </c>
      <c r="C13" s="15" t="s">
        <v>24</v>
      </c>
      <c r="D13" s="16" t="s">
        <v>13</v>
      </c>
      <c r="E13" s="6" t="str">
        <f>[1]!wwsInput()</f>
        <v/>
      </c>
      <c r="F13" s="27" t="str">
        <f t="shared" si="2"/>
        <v/>
      </c>
      <c r="G13" s="17" t="str">
        <f t="shared" si="3"/>
        <v>HAD  </v>
      </c>
      <c r="H13" s="17" t="str">
        <f t="shared" si="0"/>
        <v>HAD</v>
      </c>
      <c r="I13" s="33" t="str">
        <f t="shared" si="0"/>
        <v>y</v>
      </c>
      <c r="J13" s="34">
        <f t="shared" si="4"/>
        <v>0</v>
      </c>
      <c r="K13" s="8">
        <f t="shared" si="7"/>
        <v>7</v>
      </c>
      <c r="L13" s="15" t="s">
        <v>33</v>
      </c>
      <c r="M13" s="16" t="s">
        <v>33</v>
      </c>
      <c r="N13" s="6" t="str">
        <f>[1]!wwsInput()</f>
        <v/>
      </c>
      <c r="O13" s="27" t="str">
        <f t="shared" si="1"/>
        <v/>
      </c>
      <c r="P13" s="17" t="s">
        <v>33</v>
      </c>
      <c r="Q13" s="17" t="s">
        <v>33</v>
      </c>
      <c r="R13" s="33" t="e">
        <f>#REF!</f>
        <v>#REF!</v>
      </c>
      <c r="S13" s="34">
        <f t="shared" si="5"/>
        <v>0</v>
      </c>
      <c r="T13" s="2"/>
    </row>
    <row r="14" spans="1:20" ht="19.95" customHeight="1" x14ac:dyDescent="0.35">
      <c r="A14" s="2"/>
      <c r="B14" s="8">
        <f t="shared" si="6"/>
        <v>8</v>
      </c>
      <c r="C14" s="15" t="s">
        <v>25</v>
      </c>
      <c r="D14" s="16" t="s">
        <v>26</v>
      </c>
      <c r="E14" s="6" t="str">
        <f>[1]!wwsInput()</f>
        <v/>
      </c>
      <c r="F14" s="27" t="str">
        <f t="shared" si="2"/>
        <v/>
      </c>
      <c r="G14" s="17" t="str">
        <f t="shared" si="3"/>
        <v>GALE  </v>
      </c>
      <c r="H14" s="17" t="str">
        <f t="shared" si="0"/>
        <v>KALE</v>
      </c>
      <c r="I14" s="33" t="str">
        <f t="shared" si="0"/>
        <v>n</v>
      </c>
      <c r="J14" s="34">
        <f t="shared" si="4"/>
        <v>0</v>
      </c>
      <c r="K14" s="8">
        <f t="shared" si="7"/>
        <v>8</v>
      </c>
      <c r="L14" s="15" t="s">
        <v>48</v>
      </c>
      <c r="M14" s="16" t="s">
        <v>19</v>
      </c>
      <c r="N14" s="6" t="str">
        <f>[1]!wwsInput()</f>
        <v/>
      </c>
      <c r="O14" s="27" t="str">
        <f t="shared" si="1"/>
        <v/>
      </c>
      <c r="P14" s="17" t="s">
        <v>48</v>
      </c>
      <c r="Q14" s="17" t="s">
        <v>19</v>
      </c>
      <c r="R14" s="33" t="e">
        <f>#REF!</f>
        <v>#REF!</v>
      </c>
      <c r="S14" s="34">
        <f t="shared" si="5"/>
        <v>0</v>
      </c>
      <c r="T14" s="2"/>
    </row>
    <row r="15" spans="1:20" ht="19.95" customHeight="1" x14ac:dyDescent="0.35">
      <c r="A15" s="2"/>
      <c r="B15" s="8">
        <f t="shared" si="6"/>
        <v>9</v>
      </c>
      <c r="C15" s="15" t="s">
        <v>27</v>
      </c>
      <c r="D15" s="16" t="s">
        <v>21</v>
      </c>
      <c r="E15" s="6" t="str">
        <f>[1]!wwsInput()</f>
        <v/>
      </c>
      <c r="F15" s="27" t="str">
        <f t="shared" si="2"/>
        <v/>
      </c>
      <c r="G15" s="17" t="str">
        <f t="shared" si="3"/>
        <v>FAT  </v>
      </c>
      <c r="H15" s="17" t="str">
        <f t="shared" si="0"/>
        <v>VAT</v>
      </c>
      <c r="I15" s="33" t="str">
        <f t="shared" si="0"/>
        <v>n</v>
      </c>
      <c r="J15" s="34">
        <f t="shared" si="4"/>
        <v>0</v>
      </c>
      <c r="K15" s="8">
        <f t="shared" si="7"/>
        <v>9</v>
      </c>
      <c r="L15" s="15" t="s">
        <v>49</v>
      </c>
      <c r="M15" s="16" t="s">
        <v>31</v>
      </c>
      <c r="N15" s="6" t="str">
        <f>[1]!wwsInput()</f>
        <v/>
      </c>
      <c r="O15" s="27" t="str">
        <f t="shared" si="1"/>
        <v/>
      </c>
      <c r="P15" s="17" t="s">
        <v>49</v>
      </c>
      <c r="Q15" s="17" t="s">
        <v>31</v>
      </c>
      <c r="R15" s="33" t="e">
        <f>#REF!</f>
        <v>#REF!</v>
      </c>
      <c r="S15" s="34">
        <f t="shared" si="5"/>
        <v>0</v>
      </c>
      <c r="T15" s="2"/>
    </row>
    <row r="16" spans="1:20" ht="19.95" customHeight="1" x14ac:dyDescent="0.35">
      <c r="A16" s="2"/>
      <c r="B16" s="8">
        <f t="shared" si="6"/>
        <v>10</v>
      </c>
      <c r="C16" s="15" t="s">
        <v>16</v>
      </c>
      <c r="D16" s="16" t="s">
        <v>28</v>
      </c>
      <c r="E16" s="6" t="str">
        <f>[1]!wwsInput()</f>
        <v/>
      </c>
      <c r="F16" s="27" t="str">
        <f t="shared" si="2"/>
        <v/>
      </c>
      <c r="G16" s="17" t="str">
        <f t="shared" si="3"/>
        <v>TO  </v>
      </c>
      <c r="H16" s="17" t="str">
        <f t="shared" si="0"/>
        <v>TO</v>
      </c>
      <c r="I16" s="33" t="str">
        <f t="shared" si="0"/>
        <v>y</v>
      </c>
      <c r="J16" s="34">
        <f t="shared" si="4"/>
        <v>0</v>
      </c>
      <c r="K16" s="8">
        <f t="shared" si="7"/>
        <v>10</v>
      </c>
      <c r="L16" s="15" t="s">
        <v>29</v>
      </c>
      <c r="M16" s="16" t="s">
        <v>29</v>
      </c>
      <c r="N16" s="6" t="str">
        <f>[1]!wwsInput()</f>
        <v/>
      </c>
      <c r="O16" s="27" t="str">
        <f t="shared" si="1"/>
        <v/>
      </c>
      <c r="P16" s="17" t="s">
        <v>29</v>
      </c>
      <c r="Q16" s="17" t="s">
        <v>29</v>
      </c>
      <c r="R16" s="33" t="e">
        <f>#REF!</f>
        <v>#REF!</v>
      </c>
      <c r="S16" s="34">
        <f t="shared" si="5"/>
        <v>0</v>
      </c>
      <c r="T16" s="2"/>
    </row>
    <row r="17" spans="1:21" ht="19.95" customHeight="1" x14ac:dyDescent="0.35">
      <c r="A17" s="2"/>
      <c r="B17" s="8">
        <f t="shared" si="6"/>
        <v>11</v>
      </c>
      <c r="C17" s="15" t="s">
        <v>22</v>
      </c>
      <c r="D17" s="16" t="s">
        <v>29</v>
      </c>
      <c r="E17" s="6" t="str">
        <f>[1]!wwsInput()</f>
        <v/>
      </c>
      <c r="F17" s="27" t="str">
        <f t="shared" si="2"/>
        <v/>
      </c>
      <c r="G17" s="17" t="str">
        <f t="shared" si="3"/>
        <v>ZAP  </v>
      </c>
      <c r="H17" s="17" t="str">
        <f t="shared" si="0"/>
        <v>ZAP</v>
      </c>
      <c r="I17" s="33" t="str">
        <f t="shared" si="0"/>
        <v>y</v>
      </c>
      <c r="J17" s="34">
        <f t="shared" si="4"/>
        <v>0</v>
      </c>
      <c r="K17" s="8">
        <f t="shared" si="7"/>
        <v>11</v>
      </c>
      <c r="L17" s="15" t="s">
        <v>28</v>
      </c>
      <c r="M17" s="16" t="s">
        <v>28</v>
      </c>
      <c r="N17" s="6" t="str">
        <f>[1]!wwsInput()</f>
        <v/>
      </c>
      <c r="O17" s="27" t="str">
        <f t="shared" si="1"/>
        <v/>
      </c>
      <c r="P17" s="17" t="s">
        <v>28</v>
      </c>
      <c r="Q17" s="17" t="s">
        <v>28</v>
      </c>
      <c r="R17" s="33" t="e">
        <f>#REF!</f>
        <v>#REF!</v>
      </c>
      <c r="S17" s="34">
        <f t="shared" si="5"/>
        <v>0</v>
      </c>
      <c r="T17" s="2"/>
    </row>
    <row r="18" spans="1:21" ht="19.95" customHeight="1" x14ac:dyDescent="0.35">
      <c r="A18" s="2"/>
      <c r="B18" s="8">
        <f t="shared" si="6"/>
        <v>12</v>
      </c>
      <c r="C18" s="15" t="s">
        <v>30</v>
      </c>
      <c r="D18" s="16" t="s">
        <v>31</v>
      </c>
      <c r="E18" s="6" t="str">
        <f>[1]!wwsInput()</f>
        <v/>
      </c>
      <c r="F18" s="27" t="str">
        <f t="shared" si="2"/>
        <v/>
      </c>
      <c r="G18" s="17" t="str">
        <f t="shared" si="3"/>
        <v>PILL  </v>
      </c>
      <c r="H18" s="17" t="str">
        <f t="shared" si="0"/>
        <v>BILL</v>
      </c>
      <c r="I18" s="33" t="str">
        <f t="shared" si="0"/>
        <v>n</v>
      </c>
      <c r="J18" s="34">
        <f t="shared" si="4"/>
        <v>0</v>
      </c>
      <c r="K18" s="8">
        <f t="shared" si="7"/>
        <v>12</v>
      </c>
      <c r="L18" s="15" t="s">
        <v>50</v>
      </c>
      <c r="M18" s="16" t="s">
        <v>21</v>
      </c>
      <c r="N18" s="6" t="str">
        <f>[1]!wwsInput()</f>
        <v/>
      </c>
      <c r="O18" s="27" t="str">
        <f t="shared" si="1"/>
        <v/>
      </c>
      <c r="P18" s="17" t="s">
        <v>50</v>
      </c>
      <c r="Q18" s="17" t="s">
        <v>21</v>
      </c>
      <c r="R18" s="33" t="e">
        <f>#REF!</f>
        <v>#REF!</v>
      </c>
      <c r="S18" s="34">
        <f t="shared" si="5"/>
        <v>0</v>
      </c>
      <c r="T18" s="2"/>
    </row>
    <row r="19" spans="1:21" ht="19.95" customHeight="1" x14ac:dyDescent="0.35">
      <c r="A19" s="2"/>
      <c r="B19" s="8">
        <f t="shared" si="6"/>
        <v>13</v>
      </c>
      <c r="C19" s="15" t="s">
        <v>32</v>
      </c>
      <c r="D19" s="16" t="s">
        <v>19</v>
      </c>
      <c r="E19" s="6" t="str">
        <f>[1]!wwsInput()</f>
        <v/>
      </c>
      <c r="F19" s="27" t="str">
        <f t="shared" si="2"/>
        <v/>
      </c>
      <c r="G19" s="17" t="str">
        <f t="shared" si="3"/>
        <v>WAVER  </v>
      </c>
      <c r="H19" s="17" t="str">
        <f t="shared" si="0"/>
        <v>WAFER</v>
      </c>
      <c r="I19" s="33" t="str">
        <f t="shared" si="0"/>
        <v>n</v>
      </c>
      <c r="J19" s="34">
        <f t="shared" si="4"/>
        <v>0</v>
      </c>
      <c r="K19" s="8">
        <f t="shared" si="7"/>
        <v>13</v>
      </c>
      <c r="L19" s="15" t="s">
        <v>33</v>
      </c>
      <c r="M19" s="16" t="s">
        <v>26</v>
      </c>
      <c r="N19" s="6" t="str">
        <f>[1]!wwsInput()</f>
        <v/>
      </c>
      <c r="O19" s="27" t="str">
        <f t="shared" si="1"/>
        <v/>
      </c>
      <c r="P19" s="17" t="s">
        <v>33</v>
      </c>
      <c r="Q19" s="17" t="s">
        <v>26</v>
      </c>
      <c r="R19" s="33" t="e">
        <f>#REF!</f>
        <v>#REF!</v>
      </c>
      <c r="S19" s="34">
        <f t="shared" si="5"/>
        <v>0</v>
      </c>
      <c r="T19" s="2"/>
    </row>
    <row r="20" spans="1:21" ht="19.95" customHeight="1" x14ac:dyDescent="0.35">
      <c r="A20" s="2"/>
      <c r="B20" s="8">
        <f t="shared" si="6"/>
        <v>14</v>
      </c>
      <c r="C20" s="15" t="s">
        <v>25</v>
      </c>
      <c r="D20" s="16" t="s">
        <v>33</v>
      </c>
      <c r="E20" s="6" t="str">
        <f>[1]!wwsInput()</f>
        <v/>
      </c>
      <c r="F20" s="27" t="str">
        <f t="shared" si="2"/>
        <v/>
      </c>
      <c r="G20" s="17" t="str">
        <f t="shared" si="3"/>
        <v>GALE  </v>
      </c>
      <c r="H20" s="17" t="str">
        <f t="shared" si="0"/>
        <v>GALE</v>
      </c>
      <c r="I20" s="33" t="str">
        <f t="shared" si="0"/>
        <v>y</v>
      </c>
      <c r="J20" s="34">
        <f t="shared" si="4"/>
        <v>0</v>
      </c>
      <c r="K20" s="8">
        <f t="shared" si="7"/>
        <v>14</v>
      </c>
      <c r="L20" s="15" t="s">
        <v>13</v>
      </c>
      <c r="M20" s="16" t="s">
        <v>13</v>
      </c>
      <c r="N20" s="6" t="str">
        <f>[1]!wwsInput()</f>
        <v/>
      </c>
      <c r="O20" s="27" t="str">
        <f t="shared" si="1"/>
        <v/>
      </c>
      <c r="P20" s="17" t="s">
        <v>13</v>
      </c>
      <c r="Q20" s="17" t="s">
        <v>13</v>
      </c>
      <c r="R20" s="33" t="e">
        <f>#REF!</f>
        <v>#REF!</v>
      </c>
      <c r="S20" s="34">
        <f t="shared" si="5"/>
        <v>0</v>
      </c>
      <c r="T20" s="2"/>
    </row>
    <row r="21" spans="1:21" ht="19.95" customHeight="1" x14ac:dyDescent="0.35">
      <c r="A21" s="2"/>
      <c r="B21" s="8">
        <f t="shared" si="6"/>
        <v>15</v>
      </c>
      <c r="C21" s="15" t="s">
        <v>34</v>
      </c>
      <c r="D21" s="16" t="s">
        <v>35</v>
      </c>
      <c r="E21" s="6" t="str">
        <f>[1]!wwsInput()</f>
        <v/>
      </c>
      <c r="F21" s="27" t="str">
        <f t="shared" si="2"/>
        <v/>
      </c>
      <c r="G21" s="17" t="str">
        <f t="shared" si="3"/>
        <v>TAG  </v>
      </c>
      <c r="H21" s="17" t="str">
        <f t="shared" si="0"/>
        <v>TAG</v>
      </c>
      <c r="I21" s="33" t="str">
        <f t="shared" si="0"/>
        <v>y</v>
      </c>
      <c r="J21" s="34">
        <f t="shared" si="4"/>
        <v>0</v>
      </c>
      <c r="K21" s="8">
        <f t="shared" si="7"/>
        <v>15</v>
      </c>
      <c r="L21" s="15" t="s">
        <v>29</v>
      </c>
      <c r="M21" s="16" t="s">
        <v>23</v>
      </c>
      <c r="N21" s="6" t="str">
        <f>[1]!wwsInput()</f>
        <v/>
      </c>
      <c r="O21" s="27" t="str">
        <f t="shared" si="1"/>
        <v/>
      </c>
      <c r="P21" s="17" t="s">
        <v>29</v>
      </c>
      <c r="Q21" s="17" t="s">
        <v>23</v>
      </c>
      <c r="R21" s="33" t="e">
        <f>#REF!</f>
        <v>#REF!</v>
      </c>
      <c r="S21" s="34">
        <f t="shared" si="5"/>
        <v>0</v>
      </c>
      <c r="T21" s="2"/>
    </row>
    <row r="22" spans="1:21" ht="19.95" customHeight="1" x14ac:dyDescent="0.35">
      <c r="A22" s="2"/>
      <c r="B22" s="8">
        <f t="shared" si="6"/>
        <v>16</v>
      </c>
      <c r="C22" s="15" t="s">
        <v>36</v>
      </c>
      <c r="D22" s="16" t="s">
        <v>37</v>
      </c>
      <c r="E22" s="6" t="str">
        <f>[1]!wwsInput()</f>
        <v/>
      </c>
      <c r="F22" s="27" t="str">
        <f t="shared" si="2"/>
        <v/>
      </c>
      <c r="G22" s="17" t="str">
        <f t="shared" si="3"/>
        <v>RIB  </v>
      </c>
      <c r="H22" s="17" t="str">
        <f t="shared" si="0"/>
        <v>RIP</v>
      </c>
      <c r="I22" s="33" t="str">
        <f t="shared" si="0"/>
        <v>n</v>
      </c>
      <c r="J22" s="34">
        <f t="shared" si="4"/>
        <v>0</v>
      </c>
      <c r="K22" s="8">
        <f t="shared" si="7"/>
        <v>16</v>
      </c>
      <c r="L22" s="15" t="s">
        <v>21</v>
      </c>
      <c r="M22" s="16" t="s">
        <v>21</v>
      </c>
      <c r="N22" s="6" t="str">
        <f>[1]!wwsInput()</f>
        <v/>
      </c>
      <c r="O22" s="27" t="str">
        <f t="shared" si="1"/>
        <v/>
      </c>
      <c r="P22" s="17" t="s">
        <v>21</v>
      </c>
      <c r="Q22" s="17" t="s">
        <v>21</v>
      </c>
      <c r="R22" s="33" t="e">
        <f>#REF!</f>
        <v>#REF!</v>
      </c>
      <c r="S22" s="34">
        <f t="shared" si="5"/>
        <v>0</v>
      </c>
      <c r="T22" s="2"/>
    </row>
    <row r="23" spans="1:21" ht="19.95" customHeight="1" x14ac:dyDescent="0.35">
      <c r="A23" s="2"/>
      <c r="B23" s="8">
        <f t="shared" si="6"/>
        <v>17</v>
      </c>
      <c r="C23" s="15" t="s">
        <v>14</v>
      </c>
      <c r="D23" s="16" t="s">
        <v>38</v>
      </c>
      <c r="E23" s="6" t="str">
        <f>[1]!wwsInput()</f>
        <v/>
      </c>
      <c r="F23" s="27" t="str">
        <f t="shared" si="2"/>
        <v/>
      </c>
      <c r="G23" s="17" t="str">
        <f t="shared" si="3"/>
        <v>DOSE  </v>
      </c>
      <c r="H23" s="17" t="str">
        <f t="shared" si="3"/>
        <v>DOSE</v>
      </c>
      <c r="I23" s="33" t="str">
        <f t="shared" si="3"/>
        <v>y</v>
      </c>
      <c r="J23" s="34">
        <f t="shared" si="4"/>
        <v>0</v>
      </c>
      <c r="K23" s="8">
        <f t="shared" si="7"/>
        <v>17</v>
      </c>
      <c r="L23" s="15" t="s">
        <v>19</v>
      </c>
      <c r="M23" s="16" t="s">
        <v>19</v>
      </c>
      <c r="N23" s="6" t="str">
        <f>[1]!wwsInput()</f>
        <v/>
      </c>
      <c r="O23" s="27" t="str">
        <f t="shared" si="1"/>
        <v/>
      </c>
      <c r="P23" s="17" t="s">
        <v>19</v>
      </c>
      <c r="Q23" s="17" t="s">
        <v>19</v>
      </c>
      <c r="R23" s="33" t="e">
        <f>#REF!</f>
        <v>#REF!</v>
      </c>
      <c r="S23" s="34">
        <f t="shared" si="5"/>
        <v>0</v>
      </c>
      <c r="T23" s="2"/>
    </row>
    <row r="24" spans="1:21" ht="19.95" customHeight="1" x14ac:dyDescent="0.35">
      <c r="A24" s="2"/>
      <c r="B24" s="8">
        <f t="shared" si="6"/>
        <v>18</v>
      </c>
      <c r="C24" s="15" t="s">
        <v>39</v>
      </c>
      <c r="D24" s="16" t="s">
        <v>31</v>
      </c>
      <c r="E24" s="6" t="str">
        <f>[1]!wwsInput()</f>
        <v/>
      </c>
      <c r="F24" s="27" t="str">
        <f t="shared" si="2"/>
        <v/>
      </c>
      <c r="G24" s="17" t="str">
        <f t="shared" ref="G24:I26" si="8">G58</f>
        <v>BILL  </v>
      </c>
      <c r="H24" s="17" t="str">
        <f t="shared" si="8"/>
        <v>BILL</v>
      </c>
      <c r="I24" s="33" t="str">
        <f t="shared" si="8"/>
        <v>y</v>
      </c>
      <c r="J24" s="34">
        <f t="shared" si="4"/>
        <v>0</v>
      </c>
      <c r="K24" s="8">
        <f t="shared" si="7"/>
        <v>18</v>
      </c>
      <c r="L24" s="15" t="s">
        <v>28</v>
      </c>
      <c r="M24" s="16" t="s">
        <v>17</v>
      </c>
      <c r="N24" s="6" t="str">
        <f>[1]!wwsInput()</f>
        <v/>
      </c>
      <c r="O24" s="27" t="str">
        <f t="shared" si="1"/>
        <v/>
      </c>
      <c r="P24" s="17" t="s">
        <v>28</v>
      </c>
      <c r="Q24" s="17" t="s">
        <v>17</v>
      </c>
      <c r="R24" s="33" t="e">
        <f>#REF!</f>
        <v>#REF!</v>
      </c>
      <c r="S24" s="34">
        <f t="shared" si="5"/>
        <v>0</v>
      </c>
      <c r="T24" s="2"/>
    </row>
    <row r="25" spans="1:21" ht="19.95" customHeight="1" x14ac:dyDescent="0.35">
      <c r="A25" s="2"/>
      <c r="B25" s="8">
        <f t="shared" si="6"/>
        <v>19</v>
      </c>
      <c r="C25" s="15" t="s">
        <v>40</v>
      </c>
      <c r="D25" s="16" t="s">
        <v>35</v>
      </c>
      <c r="E25" s="6" t="str">
        <f>[1]!wwsInput()</f>
        <v/>
      </c>
      <c r="F25" s="27" t="str">
        <f t="shared" si="2"/>
        <v/>
      </c>
      <c r="G25" s="17" t="str">
        <f t="shared" si="8"/>
        <v>TACK  </v>
      </c>
      <c r="H25" s="17" t="str">
        <f t="shared" si="8"/>
        <v>TAG</v>
      </c>
      <c r="I25" s="33" t="str">
        <f t="shared" si="8"/>
        <v>n</v>
      </c>
      <c r="J25" s="34">
        <f t="shared" si="4"/>
        <v>0</v>
      </c>
      <c r="K25" s="8">
        <f t="shared" si="7"/>
        <v>19</v>
      </c>
      <c r="L25" s="15" t="s">
        <v>38</v>
      </c>
      <c r="M25" s="16" t="s">
        <v>15</v>
      </c>
      <c r="N25" s="6" t="str">
        <f>[1]!wwsInput()</f>
        <v/>
      </c>
      <c r="O25" s="27" t="str">
        <f t="shared" si="1"/>
        <v/>
      </c>
      <c r="P25" s="17" t="s">
        <v>38</v>
      </c>
      <c r="Q25" s="17" t="s">
        <v>15</v>
      </c>
      <c r="R25" s="33" t="e">
        <f>#REF!</f>
        <v>#REF!</v>
      </c>
      <c r="S25" s="34">
        <f t="shared" si="5"/>
        <v>0</v>
      </c>
      <c r="T25" s="2"/>
    </row>
    <row r="26" spans="1:21" ht="19.95" customHeight="1" x14ac:dyDescent="0.35">
      <c r="A26" s="2"/>
      <c r="B26" s="8">
        <f t="shared" si="6"/>
        <v>20</v>
      </c>
      <c r="C26" s="15" t="s">
        <v>41</v>
      </c>
      <c r="D26" s="16" t="s">
        <v>13</v>
      </c>
      <c r="E26" s="6" t="str">
        <f>[1]!wwsInput()</f>
        <v/>
      </c>
      <c r="F26" s="27" t="str">
        <f t="shared" si="2"/>
        <v/>
      </c>
      <c r="G26" s="17" t="str">
        <f t="shared" si="8"/>
        <v>HAT  </v>
      </c>
      <c r="H26" s="17" t="str">
        <f t="shared" si="8"/>
        <v>HAD</v>
      </c>
      <c r="I26" s="33" t="str">
        <f t="shared" si="8"/>
        <v>n</v>
      </c>
      <c r="J26" s="34">
        <f t="shared" si="4"/>
        <v>0</v>
      </c>
      <c r="K26" s="8">
        <f t="shared" si="7"/>
        <v>20</v>
      </c>
      <c r="L26" s="15" t="s">
        <v>10</v>
      </c>
      <c r="M26" s="16" t="s">
        <v>10</v>
      </c>
      <c r="N26" s="6" t="str">
        <f>[1]!wwsInput()</f>
        <v/>
      </c>
      <c r="O26" s="27" t="str">
        <f t="shared" si="1"/>
        <v/>
      </c>
      <c r="P26" s="17" t="s">
        <v>10</v>
      </c>
      <c r="Q26" s="17" t="s">
        <v>10</v>
      </c>
      <c r="R26" s="33" t="e">
        <f>#REF!</f>
        <v>#REF!</v>
      </c>
      <c r="S26" s="34">
        <f t="shared" si="5"/>
        <v>0</v>
      </c>
      <c r="T26" s="2"/>
    </row>
    <row r="27" spans="1:21" ht="18" x14ac:dyDescent="0.35">
      <c r="A27" s="2"/>
      <c r="B27" s="8"/>
      <c r="C27" s="3"/>
      <c r="D27" s="3"/>
      <c r="E27" s="2"/>
      <c r="F27" s="28"/>
      <c r="G27" s="5" t="s">
        <v>42</v>
      </c>
      <c r="H27" s="11"/>
      <c r="I27" s="2"/>
      <c r="J27" s="2"/>
      <c r="K27" s="8"/>
      <c r="L27" s="3"/>
      <c r="M27" s="3"/>
      <c r="N27" s="2"/>
      <c r="O27" s="28"/>
      <c r="P27" s="5"/>
      <c r="Q27" s="11"/>
      <c r="R27" s="2"/>
      <c r="S27" s="2"/>
      <c r="T27" s="2"/>
    </row>
    <row r="28" spans="1:21" ht="18" x14ac:dyDescent="0.35">
      <c r="A28" s="2"/>
      <c r="B28" s="8"/>
      <c r="C28" s="3"/>
      <c r="D28" s="3"/>
      <c r="E28" s="2"/>
      <c r="F28" s="4"/>
      <c r="G28" s="5"/>
      <c r="H28" s="11"/>
      <c r="I28" s="2"/>
      <c r="J28" s="8"/>
      <c r="K28" s="3"/>
      <c r="L28" s="3"/>
      <c r="M28" s="2"/>
      <c r="N28" s="4"/>
      <c r="O28" s="5"/>
      <c r="P28" s="11"/>
      <c r="Q28" s="2"/>
      <c r="R28" s="2"/>
      <c r="U28" t="s">
        <v>43</v>
      </c>
    </row>
    <row r="29" spans="1:21" ht="18" x14ac:dyDescent="0.35">
      <c r="A29" s="2"/>
      <c r="B29" s="8"/>
      <c r="C29" s="3"/>
      <c r="D29" s="3"/>
      <c r="E29" s="2"/>
      <c r="F29" s="4"/>
      <c r="G29" s="5"/>
      <c r="H29" s="11"/>
      <c r="I29" s="2"/>
      <c r="J29" s="8"/>
      <c r="K29" s="3"/>
      <c r="L29" s="3"/>
      <c r="M29" s="2"/>
      <c r="N29" s="4"/>
      <c r="O29" s="5"/>
      <c r="P29" s="11"/>
      <c r="Q29" s="2"/>
      <c r="R29" s="2"/>
      <c r="U29" t="str">
        <f>[1]!wwsInput()</f>
        <v/>
      </c>
    </row>
    <row r="30" spans="1:21" ht="18" x14ac:dyDescent="0.35">
      <c r="A30" s="2"/>
      <c r="B30" s="8"/>
      <c r="C30" s="3"/>
      <c r="D30" s="3"/>
      <c r="E30" s="2"/>
      <c r="F30" s="4"/>
      <c r="G30" s="5"/>
      <c r="H30" s="11"/>
      <c r="I30" s="2"/>
      <c r="J30" s="2"/>
      <c r="K30" s="3"/>
      <c r="L30" s="3"/>
      <c r="M30" s="2"/>
      <c r="N30" s="2"/>
      <c r="O30" s="2"/>
      <c r="P30" s="2"/>
      <c r="Q30" s="2"/>
      <c r="R30" s="2"/>
    </row>
    <row r="31" spans="1:21" ht="18" x14ac:dyDescent="0.35">
      <c r="A31" s="2"/>
      <c r="B31" s="8"/>
      <c r="C31" s="3"/>
      <c r="D31" s="3"/>
      <c r="E31" s="2"/>
      <c r="F31" s="4"/>
      <c r="G31" s="5"/>
      <c r="H31" s="11"/>
      <c r="I31" s="2"/>
      <c r="J31" s="2"/>
      <c r="K31" s="3"/>
      <c r="L31" s="3"/>
      <c r="M31" s="2"/>
      <c r="N31" s="2"/>
      <c r="O31" s="2"/>
      <c r="P31" s="2"/>
      <c r="Q31" s="2"/>
      <c r="R31" s="2"/>
    </row>
    <row r="32" spans="1:21" ht="18" x14ac:dyDescent="0.35">
      <c r="A32" s="2"/>
      <c r="B32" s="8"/>
      <c r="C32" s="3"/>
      <c r="D32" s="3"/>
      <c r="E32" s="2"/>
      <c r="F32" s="4"/>
      <c r="G32" s="5"/>
      <c r="H32" s="11"/>
      <c r="I32" s="2"/>
      <c r="J32" s="2"/>
      <c r="K32" s="3"/>
      <c r="L32" s="3"/>
      <c r="M32" s="2"/>
      <c r="N32" s="2"/>
      <c r="O32" s="2"/>
      <c r="P32" s="2"/>
      <c r="Q32" s="2"/>
      <c r="R32" s="2"/>
    </row>
    <row r="40" spans="6:18" ht="18" x14ac:dyDescent="0.35">
      <c r="F40" s="4"/>
      <c r="G40" s="20" t="s">
        <v>44</v>
      </c>
      <c r="H40" s="20"/>
      <c r="I40" s="20"/>
      <c r="J40" s="20"/>
      <c r="K40" s="20"/>
      <c r="L40" s="20"/>
      <c r="M40" s="20"/>
      <c r="N40" s="20"/>
      <c r="P40" s="20" t="s">
        <v>45</v>
      </c>
      <c r="Q40" s="20"/>
    </row>
    <row r="41" spans="6:18" ht="18" x14ac:dyDescent="0.35">
      <c r="F41" s="4"/>
      <c r="G41" s="21" t="s">
        <v>10</v>
      </c>
      <c r="H41" s="21" t="s">
        <v>10</v>
      </c>
      <c r="I41" s="8" t="s">
        <v>11</v>
      </c>
      <c r="J41" s="8"/>
      <c r="K41" s="8"/>
      <c r="L41" s="8"/>
      <c r="M41" s="8"/>
      <c r="N41" s="8"/>
      <c r="R41" t="s">
        <v>46</v>
      </c>
    </row>
    <row r="42" spans="6:18" ht="18" x14ac:dyDescent="0.35">
      <c r="F42" s="4"/>
      <c r="G42" s="21" t="s">
        <v>14</v>
      </c>
      <c r="H42" s="21" t="s">
        <v>15</v>
      </c>
      <c r="I42" s="8" t="s">
        <v>46</v>
      </c>
      <c r="J42" s="8"/>
      <c r="K42" s="8"/>
      <c r="L42" s="8"/>
      <c r="M42" s="8"/>
      <c r="N42" s="8"/>
      <c r="R42" t="s">
        <v>46</v>
      </c>
    </row>
    <row r="43" spans="6:18" ht="18" x14ac:dyDescent="0.35">
      <c r="F43" s="4"/>
      <c r="G43" s="21" t="s">
        <v>16</v>
      </c>
      <c r="H43" s="21" t="s">
        <v>17</v>
      </c>
      <c r="I43" s="8" t="s">
        <v>46</v>
      </c>
      <c r="J43" s="8"/>
      <c r="K43" s="8"/>
      <c r="L43" s="8"/>
      <c r="M43" s="8"/>
      <c r="N43" s="8"/>
      <c r="R43" t="s">
        <v>11</v>
      </c>
    </row>
    <row r="44" spans="6:18" ht="18" x14ac:dyDescent="0.35">
      <c r="F44" s="4"/>
      <c r="G44" s="21" t="s">
        <v>18</v>
      </c>
      <c r="H44" s="21" t="s">
        <v>19</v>
      </c>
      <c r="I44" s="8" t="s">
        <v>11</v>
      </c>
      <c r="J44" s="8"/>
      <c r="K44" s="8"/>
      <c r="L44" s="8"/>
      <c r="M44" s="8"/>
      <c r="N44" s="8"/>
      <c r="R44" t="s">
        <v>11</v>
      </c>
    </row>
    <row r="45" spans="6:18" ht="18" x14ac:dyDescent="0.35">
      <c r="F45" s="4"/>
      <c r="G45" s="21" t="s">
        <v>20</v>
      </c>
      <c r="H45" s="21" t="s">
        <v>21</v>
      </c>
      <c r="I45" s="8" t="s">
        <v>11</v>
      </c>
      <c r="J45" s="8"/>
      <c r="K45" s="8"/>
      <c r="L45" s="8"/>
      <c r="M45" s="8"/>
      <c r="N45" s="8"/>
      <c r="R45" t="s">
        <v>46</v>
      </c>
    </row>
    <row r="46" spans="6:18" ht="18" x14ac:dyDescent="0.35">
      <c r="F46" s="4"/>
      <c r="G46" s="21" t="s">
        <v>22</v>
      </c>
      <c r="H46" s="21" t="s">
        <v>23</v>
      </c>
      <c r="I46" s="8" t="s">
        <v>46</v>
      </c>
      <c r="J46" s="8"/>
      <c r="K46" s="8"/>
      <c r="L46" s="8"/>
      <c r="M46" s="8"/>
      <c r="N46" s="8"/>
      <c r="R46" t="s">
        <v>11</v>
      </c>
    </row>
    <row r="47" spans="6:18" ht="18" x14ac:dyDescent="0.35">
      <c r="F47" s="4"/>
      <c r="G47" s="21" t="s">
        <v>24</v>
      </c>
      <c r="H47" s="21" t="s">
        <v>13</v>
      </c>
      <c r="I47" s="8" t="s">
        <v>11</v>
      </c>
      <c r="J47" s="8"/>
      <c r="K47" s="8"/>
      <c r="L47" s="8"/>
      <c r="M47" s="8"/>
      <c r="N47" s="8"/>
      <c r="R47" t="s">
        <v>11</v>
      </c>
    </row>
    <row r="48" spans="6:18" ht="18" x14ac:dyDescent="0.35">
      <c r="F48" s="4"/>
      <c r="G48" s="21" t="s">
        <v>25</v>
      </c>
      <c r="H48" s="21" t="s">
        <v>26</v>
      </c>
      <c r="I48" s="8" t="s">
        <v>46</v>
      </c>
      <c r="J48" s="8"/>
      <c r="K48" s="8"/>
      <c r="L48" s="8"/>
      <c r="M48" s="8"/>
      <c r="N48" s="8"/>
      <c r="R48" t="s">
        <v>46</v>
      </c>
    </row>
    <row r="49" spans="6:18" ht="18" x14ac:dyDescent="0.35">
      <c r="F49" s="4"/>
      <c r="G49" s="21" t="s">
        <v>27</v>
      </c>
      <c r="H49" s="21" t="s">
        <v>21</v>
      </c>
      <c r="I49" s="8" t="s">
        <v>46</v>
      </c>
      <c r="J49" s="8"/>
      <c r="K49" s="8"/>
      <c r="L49" s="8"/>
      <c r="M49" s="8"/>
      <c r="N49" s="8"/>
      <c r="R49" t="s">
        <v>46</v>
      </c>
    </row>
    <row r="50" spans="6:18" ht="18" x14ac:dyDescent="0.35">
      <c r="F50" s="4"/>
      <c r="G50" s="21" t="s">
        <v>16</v>
      </c>
      <c r="H50" s="21" t="s">
        <v>28</v>
      </c>
      <c r="I50" s="8" t="s">
        <v>11</v>
      </c>
      <c r="J50" s="8"/>
      <c r="K50" s="8"/>
      <c r="L50" s="8"/>
      <c r="M50" s="8"/>
      <c r="N50" s="8"/>
      <c r="R50" t="s">
        <v>11</v>
      </c>
    </row>
    <row r="51" spans="6:18" ht="18" x14ac:dyDescent="0.35">
      <c r="F51" s="4"/>
      <c r="G51" s="21" t="s">
        <v>22</v>
      </c>
      <c r="H51" s="21" t="s">
        <v>29</v>
      </c>
      <c r="I51" s="8" t="s">
        <v>11</v>
      </c>
      <c r="J51" s="8"/>
      <c r="K51" s="8"/>
      <c r="L51" s="8"/>
      <c r="M51" s="8"/>
      <c r="N51" s="8"/>
      <c r="R51" t="s">
        <v>11</v>
      </c>
    </row>
    <row r="52" spans="6:18" ht="18" x14ac:dyDescent="0.35">
      <c r="F52" s="4"/>
      <c r="G52" s="21" t="s">
        <v>30</v>
      </c>
      <c r="H52" s="21" t="s">
        <v>31</v>
      </c>
      <c r="I52" s="8" t="s">
        <v>46</v>
      </c>
      <c r="J52" s="8"/>
      <c r="K52" s="8"/>
      <c r="L52" s="8"/>
      <c r="M52" s="8"/>
      <c r="N52" s="8"/>
      <c r="R52" t="s">
        <v>46</v>
      </c>
    </row>
    <row r="53" spans="6:18" ht="18" x14ac:dyDescent="0.35">
      <c r="F53" s="4"/>
      <c r="G53" s="21" t="s">
        <v>32</v>
      </c>
      <c r="H53" s="21" t="s">
        <v>19</v>
      </c>
      <c r="I53" s="8" t="s">
        <v>46</v>
      </c>
      <c r="J53" s="8"/>
      <c r="K53" s="8"/>
      <c r="L53" s="8"/>
      <c r="M53" s="8"/>
      <c r="N53" s="8"/>
      <c r="R53" t="s">
        <v>46</v>
      </c>
    </row>
    <row r="54" spans="6:18" ht="18" x14ac:dyDescent="0.35">
      <c r="F54" s="4"/>
      <c r="G54" s="21" t="s">
        <v>25</v>
      </c>
      <c r="H54" s="21" t="s">
        <v>33</v>
      </c>
      <c r="I54" s="8" t="s">
        <v>11</v>
      </c>
      <c r="J54" s="8"/>
      <c r="K54" s="8"/>
      <c r="L54" s="8"/>
      <c r="M54" s="8"/>
      <c r="N54" s="8"/>
      <c r="R54" t="s">
        <v>11</v>
      </c>
    </row>
    <row r="55" spans="6:18" ht="18" x14ac:dyDescent="0.35">
      <c r="F55" s="4"/>
      <c r="G55" s="21" t="s">
        <v>34</v>
      </c>
      <c r="H55" s="21" t="s">
        <v>35</v>
      </c>
      <c r="I55" s="8" t="s">
        <v>11</v>
      </c>
      <c r="J55" s="8"/>
      <c r="K55" s="8"/>
      <c r="L55" s="8"/>
      <c r="M55" s="8"/>
      <c r="N55" s="8"/>
      <c r="R55" t="s">
        <v>46</v>
      </c>
    </row>
    <row r="56" spans="6:18" ht="18" x14ac:dyDescent="0.35">
      <c r="F56" s="4"/>
      <c r="G56" s="21" t="s">
        <v>36</v>
      </c>
      <c r="H56" s="21" t="s">
        <v>37</v>
      </c>
      <c r="I56" s="8" t="s">
        <v>46</v>
      </c>
      <c r="J56" s="8"/>
      <c r="K56" s="8"/>
      <c r="L56" s="8"/>
      <c r="M56" s="8"/>
      <c r="N56" s="8"/>
      <c r="R56" t="s">
        <v>11</v>
      </c>
    </row>
    <row r="57" spans="6:18" ht="18" x14ac:dyDescent="0.35">
      <c r="F57" s="4"/>
      <c r="G57" s="21" t="s">
        <v>14</v>
      </c>
      <c r="H57" s="21" t="s">
        <v>38</v>
      </c>
      <c r="I57" s="8" t="s">
        <v>11</v>
      </c>
      <c r="J57" s="8"/>
      <c r="K57" s="8"/>
      <c r="L57" s="8"/>
      <c r="M57" s="8"/>
      <c r="N57" s="8"/>
      <c r="R57" t="s">
        <v>11</v>
      </c>
    </row>
    <row r="58" spans="6:18" ht="18" x14ac:dyDescent="0.35">
      <c r="F58" s="4"/>
      <c r="G58" s="21" t="s">
        <v>39</v>
      </c>
      <c r="H58" s="21" t="s">
        <v>31</v>
      </c>
      <c r="I58" s="8" t="s">
        <v>11</v>
      </c>
      <c r="J58" s="8"/>
      <c r="K58" s="8"/>
      <c r="L58" s="8"/>
      <c r="M58" s="8"/>
      <c r="N58" s="8"/>
      <c r="R58" t="s">
        <v>46</v>
      </c>
    </row>
    <row r="59" spans="6:18" ht="18" x14ac:dyDescent="0.35">
      <c r="F59" s="4"/>
      <c r="G59" s="21" t="s">
        <v>40</v>
      </c>
      <c r="H59" s="21" t="s">
        <v>35</v>
      </c>
      <c r="I59" s="8" t="s">
        <v>46</v>
      </c>
      <c r="J59" s="8"/>
      <c r="K59" s="8"/>
      <c r="L59" s="8"/>
      <c r="M59" s="8"/>
      <c r="N59" s="8"/>
      <c r="R59" t="s">
        <v>46</v>
      </c>
    </row>
    <row r="60" spans="6:18" ht="18" x14ac:dyDescent="0.35">
      <c r="F60" s="4"/>
      <c r="G60" s="21" t="s">
        <v>41</v>
      </c>
      <c r="H60" s="21" t="s">
        <v>13</v>
      </c>
      <c r="I60" s="8" t="s">
        <v>46</v>
      </c>
      <c r="J60" s="8"/>
      <c r="K60" s="8"/>
      <c r="L60" s="8"/>
      <c r="M60" s="8"/>
      <c r="N60" s="8"/>
      <c r="R60" t="s">
        <v>11</v>
      </c>
    </row>
  </sheetData>
  <conditionalFormatting sqref="E7:E26">
    <cfRule type="expression" dxfId="12" priority="15" stopIfTrue="1">
      <formula>OR(E7=" ",E7=H7)</formula>
    </cfRule>
    <cfRule type="expression" dxfId="11" priority="16">
      <formula>AND(E7&gt;"",E7&lt;&gt;H7)</formula>
    </cfRule>
  </conditionalFormatting>
  <conditionalFormatting sqref="T7">
    <cfRule type="expression" dxfId="10" priority="14">
      <formula>"R6=""X"""</formula>
    </cfRule>
  </conditionalFormatting>
  <conditionalFormatting sqref="G7:H26">
    <cfRule type="expression" dxfId="9" priority="19">
      <formula>$H$6="X"</formula>
    </cfRule>
  </conditionalFormatting>
  <conditionalFormatting sqref="F7:F26">
    <cfRule type="expression" dxfId="8" priority="7">
      <formula>"E7="""""</formula>
    </cfRule>
    <cfRule type="expression" dxfId="7" priority="12">
      <formula>"e7=i41"</formula>
    </cfRule>
    <cfRule type="expression" dxfId="6" priority="13">
      <formula>"if($E7&lt;&gt;$I41)"</formula>
    </cfRule>
  </conditionalFormatting>
  <conditionalFormatting sqref="P7:Q26">
    <cfRule type="expression" dxfId="5" priority="6">
      <formula>$Q$6="X"</formula>
    </cfRule>
  </conditionalFormatting>
  <conditionalFormatting sqref="N7:N26">
    <cfRule type="expression" dxfId="4" priority="4" stopIfTrue="1">
      <formula>OR(N7=" ",N7=Q7)</formula>
    </cfRule>
    <cfRule type="expression" dxfId="3" priority="5">
      <formula>AND(N7&gt;"",N7&lt;&gt;Q7)</formula>
    </cfRule>
  </conditionalFormatting>
  <conditionalFormatting sqref="O7:O26">
    <cfRule type="expression" dxfId="2" priority="1">
      <formula>"E7="""""</formula>
    </cfRule>
    <cfRule type="expression" dxfId="1" priority="2">
      <formula>"e7=i41"</formula>
    </cfRule>
    <cfRule type="expression" dxfId="0" priority="3">
      <formula>"if($E7&lt;&gt;$I41)"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Comparing Sounds 1</vt:lpstr>
      <vt:lpstr>Comparing Sounds (web)</vt:lpstr>
      <vt:lpstr>Group_1_blanks</vt:lpstr>
      <vt:lpstr>Group_2_blanks</vt:lpstr>
      <vt:lpstr>'Comparing Sounds (web)'!Print_Area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2019-01-31T15:52:19Z</dcterms:created>
  <dcterms:modified xsi:type="dcterms:W3CDTF">2019-02-11T14:34:35Z</dcterms:modified>
  <cp:category/>
  <cp:contentStatus/>
</cp:coreProperties>
</file>