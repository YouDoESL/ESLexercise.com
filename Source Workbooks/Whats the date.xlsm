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13_ncr:1_{AF09915D-46DF-4199-832B-5E259BF49CD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What Day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3" i="1" l="1"/>
  <c r="F22" i="1"/>
  <c r="M19" i="1"/>
  <c r="F19" i="1"/>
  <c r="D19" i="1"/>
  <c r="C19" i="1"/>
  <c r="F6" i="1" l="1"/>
  <c r="Q29" i="1"/>
  <c r="J5" i="1"/>
  <c r="E23" i="1" l="1"/>
  <c r="M9" i="1" s="1"/>
  <c r="I8" i="1" l="1"/>
  <c r="H9" i="1" s="1"/>
  <c r="F20" i="1"/>
  <c r="F11" i="1" l="1"/>
  <c r="G11" i="1" s="1"/>
  <c r="H11" i="1" s="1"/>
  <c r="J8" i="1"/>
  <c r="M20" i="1"/>
  <c r="D20" i="1"/>
  <c r="C20" i="1"/>
  <c r="C3" i="1" s="1"/>
  <c r="I11" i="1" l="1"/>
  <c r="J11" i="1" s="1"/>
  <c r="K11" i="1" s="1"/>
  <c r="L11" i="1" s="1"/>
  <c r="D22" i="1"/>
  <c r="M3" i="1"/>
  <c r="E3" i="1"/>
  <c r="D3" i="1" s="1"/>
  <c r="F12" i="1" l="1"/>
  <c r="G12" i="1" s="1"/>
  <c r="H12" i="1" s="1"/>
  <c r="I12" i="1" s="1"/>
  <c r="J12" i="1" s="1"/>
  <c r="K12" i="1" s="1"/>
  <c r="L12" i="1" s="1"/>
  <c r="F13" i="1" s="1"/>
  <c r="G13" i="1" s="1"/>
  <c r="H13" i="1" s="1"/>
  <c r="I13" i="1" s="1"/>
  <c r="J13" i="1" s="1"/>
  <c r="K13" i="1" s="1"/>
  <c r="L13" i="1" s="1"/>
  <c r="F14" i="1" s="1"/>
  <c r="G14" i="1" s="1"/>
  <c r="H14" i="1" s="1"/>
  <c r="I14" i="1" s="1"/>
  <c r="J14" i="1" s="1"/>
  <c r="K14" i="1" s="1"/>
  <c r="L14" i="1" s="1"/>
  <c r="F15" i="1" s="1"/>
  <c r="G15" i="1" s="1"/>
  <c r="H15" i="1" s="1"/>
  <c r="I15" i="1" l="1"/>
  <c r="J15" i="1" s="1"/>
  <c r="K15" i="1" s="1"/>
  <c r="L15" i="1" s="1"/>
</calcChain>
</file>

<file path=xl/sharedStrings.xml><?xml version="1.0" encoding="utf-8"?>
<sst xmlns="http://schemas.openxmlformats.org/spreadsheetml/2006/main" count="49" uniqueCount="47">
  <si>
    <t>What day</t>
  </si>
  <si>
    <t>What month</t>
  </si>
  <si>
    <t>What year</t>
  </si>
  <si>
    <t>is today?</t>
  </si>
  <si>
    <t>are we in?</t>
  </si>
  <si>
    <t>is it?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</si>
  <si>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</si>
  <si>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</si>
  <si>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</si>
  <si>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</si>
  <si>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</si>
  <si>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</si>
  <si>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</si>
  <si>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</si>
  <si>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</si>
  <si>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</si>
  <si>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</si>
  <si>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</si>
  <si>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Monday</t>
  </si>
  <si>
    <t>Tuesday</t>
  </si>
  <si>
    <t>Wednesday</t>
  </si>
  <si>
    <t>Thursday</t>
  </si>
  <si>
    <t>Friday</t>
  </si>
  <si>
    <t>Saturday</t>
  </si>
  <si>
    <t>Sunday</t>
  </si>
  <si>
    <t>What date in</t>
  </si>
  <si>
    <t xml:space="preserve"> the month?</t>
  </si>
  <si>
    <t>#end</t>
  </si>
  <si>
    <t>check</t>
  </si>
  <si>
    <t>January is month 1</t>
  </si>
  <si>
    <t>February is month 2</t>
  </si>
  <si>
    <t>March is month 3</t>
  </si>
  <si>
    <t>April is month 4</t>
  </si>
  <si>
    <t>May is month 5</t>
  </si>
  <si>
    <t>June is month 6</t>
  </si>
  <si>
    <t>July is month 7</t>
  </si>
  <si>
    <t>August is month 8</t>
  </si>
  <si>
    <t>September is month 9</t>
  </si>
  <si>
    <t>October is month 10</t>
  </si>
  <si>
    <t>November is month 11</t>
  </si>
  <si>
    <t>December is month 12</t>
  </si>
  <si>
    <t>S</t>
  </si>
  <si>
    <t>M</t>
  </si>
  <si>
    <t>T</t>
  </si>
  <si>
    <t>W</t>
  </si>
  <si>
    <t>F</t>
  </si>
  <si>
    <t>--/--/----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</si>
</sst>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sz val="6"/>
      <name val="Calibri"/>
      <family val="2"/>
      <scheme val="minor"/>
    </font>
    <font>
      <sz val="8"/>
      <name val="Calibri"/>
      <family val="2"/>
      <scheme val="minor"/>
    </font>
    <font>
      <sz val="11"/>
      <color theme="8"/>
      <name val="Calibri"/>
      <family val="2"/>
      <scheme val="minor"/>
    </font>
    <font>
      <sz val="7"/>
      <color theme="0"/>
      <name val="Calibri"/>
      <family val="2"/>
      <scheme val="minor"/>
    </font>
    <font>
      <sz val="5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/>
      <name val="Arial"/>
      <family val="2"/>
    </font>
    <font>
      <sz val="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1" fillId="3" borderId="0" xfId="0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2" fillId="0" borderId="0" xfId="0" applyFont="1"/>
    <xf numFmtId="0" fontId="2" fillId="0" borderId="0" xfId="0" applyFont="1" applyProtection="1"/>
    <xf numFmtId="0" fontId="2" fillId="3" borderId="0" xfId="0" applyFont="1" applyFill="1"/>
    <xf numFmtId="0" fontId="6" fillId="3" borderId="0" xfId="0" applyFont="1" applyFill="1" applyBorder="1"/>
    <xf numFmtId="0" fontId="2" fillId="0" borderId="3" xfId="0" applyFont="1" applyBorder="1"/>
    <xf numFmtId="0" fontId="2" fillId="0" borderId="3" xfId="0" applyFont="1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5" xfId="0" applyBorder="1" applyProtection="1"/>
    <xf numFmtId="0" fontId="7" fillId="0" borderId="0" xfId="0" applyFont="1" applyProtection="1"/>
    <xf numFmtId="0" fontId="8" fillId="0" borderId="0" xfId="0" applyFont="1" applyBorder="1" applyAlignment="1" applyProtection="1">
      <alignment horizontal="right"/>
    </xf>
    <xf numFmtId="0" fontId="7" fillId="0" borderId="2" xfId="0" applyFont="1" applyBorder="1" applyProtection="1"/>
    <xf numFmtId="0" fontId="7" fillId="0" borderId="0" xfId="0" applyFont="1" applyBorder="1" applyAlignment="1" applyProtection="1">
      <alignment horizontal="center"/>
    </xf>
    <xf numFmtId="0" fontId="7" fillId="0" borderId="3" xfId="0" applyFont="1" applyBorder="1" applyProtection="1"/>
    <xf numFmtId="0" fontId="7" fillId="0" borderId="5" xfId="0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right"/>
    </xf>
    <xf numFmtId="0" fontId="7" fillId="0" borderId="0" xfId="0" applyFont="1" applyBorder="1" applyProtection="1"/>
    <xf numFmtId="0" fontId="7" fillId="0" borderId="0" xfId="0" applyFont="1" applyAlignment="1" applyProtection="1">
      <alignment horizontal="center"/>
    </xf>
    <xf numFmtId="0" fontId="1" fillId="3" borderId="0" xfId="0" applyFont="1" applyFill="1" applyProtection="1"/>
    <xf numFmtId="0" fontId="1" fillId="3" borderId="2" xfId="0" applyFont="1" applyFill="1" applyBorder="1" applyProtection="1"/>
    <xf numFmtId="0" fontId="0" fillId="0" borderId="0" xfId="0" applyAlignment="1" applyProtection="1"/>
    <xf numFmtId="0" fontId="0" fillId="0" borderId="3" xfId="0" applyBorder="1" applyAlignment="1" applyProtection="1"/>
    <xf numFmtId="0" fontId="0" fillId="0" borderId="2" xfId="0" applyBorder="1" applyAlignment="1" applyProtection="1"/>
    <xf numFmtId="0" fontId="0" fillId="0" borderId="0" xfId="0" applyAlignment="1"/>
    <xf numFmtId="0" fontId="0" fillId="0" borderId="0" xfId="0" applyAlignment="1" applyProtection="1">
      <alignment vertical="top"/>
    </xf>
    <xf numFmtId="0" fontId="0" fillId="0" borderId="3" xfId="0" applyBorder="1" applyAlignment="1" applyProtection="1">
      <alignment vertical="top"/>
    </xf>
    <xf numFmtId="0" fontId="0" fillId="0" borderId="2" xfId="0" applyBorder="1" applyAlignment="1" applyProtection="1">
      <alignment vertical="top"/>
    </xf>
    <xf numFmtId="0" fontId="0" fillId="0" borderId="0" xfId="0" applyAlignment="1">
      <alignment vertical="top"/>
    </xf>
    <xf numFmtId="0" fontId="0" fillId="0" borderId="0" xfId="0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2" xfId="0" applyBorder="1" applyAlignment="1" applyProtection="1">
      <alignment vertical="center"/>
    </xf>
    <xf numFmtId="0" fontId="0" fillId="0" borderId="0" xfId="0" applyAlignment="1">
      <alignment vertical="center"/>
    </xf>
    <xf numFmtId="0" fontId="4" fillId="3" borderId="0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vertical="center"/>
    </xf>
    <xf numFmtId="0" fontId="4" fillId="3" borderId="2" xfId="0" applyFont="1" applyFill="1" applyBorder="1" applyAlignment="1" applyProtection="1">
      <alignment horizontal="center" vertical="center"/>
      <protection locked="0"/>
    </xf>
    <xf numFmtId="0" fontId="0" fillId="3" borderId="2" xfId="0" applyFill="1" applyBorder="1" applyProtection="1"/>
    <xf numFmtId="0" fontId="10" fillId="0" borderId="2" xfId="0" applyFont="1" applyBorder="1" applyProtection="1"/>
    <xf numFmtId="0" fontId="10" fillId="0" borderId="3" xfId="0" applyFont="1" applyBorder="1" applyProtection="1"/>
    <xf numFmtId="0" fontId="10" fillId="0" borderId="0" xfId="0" applyFont="1" applyBorder="1" applyAlignment="1">
      <alignment horizontal="center"/>
    </xf>
    <xf numFmtId="0" fontId="10" fillId="0" borderId="0" xfId="0" applyFont="1" applyBorder="1"/>
    <xf numFmtId="0" fontId="0" fillId="0" borderId="0" xfId="0" applyFont="1" applyProtection="1"/>
    <xf numFmtId="0" fontId="0" fillId="0" borderId="3" xfId="0" applyFont="1" applyBorder="1" applyProtection="1"/>
    <xf numFmtId="0" fontId="0" fillId="0" borderId="0" xfId="0" applyFont="1"/>
    <xf numFmtId="0" fontId="0" fillId="3" borderId="2" xfId="0" applyFill="1" applyBorder="1" applyAlignment="1" applyProtection="1"/>
    <xf numFmtId="0" fontId="0" fillId="3" borderId="0" xfId="0" applyFill="1" applyBorder="1" applyAlignment="1" applyProtection="1"/>
    <xf numFmtId="0" fontId="5" fillId="0" borderId="0" xfId="0" applyFont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 vertical="top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3" fillId="0" borderId="2" xfId="0" applyFont="1" applyBorder="1" applyProtection="1"/>
    <xf numFmtId="0" fontId="11" fillId="3" borderId="8" xfId="0" applyFont="1" applyFill="1" applyBorder="1"/>
    <xf numFmtId="0" fontId="11" fillId="3" borderId="5" xfId="0" applyFont="1" applyFill="1" applyBorder="1" applyAlignment="1">
      <alignment horizontal="center"/>
    </xf>
    <xf numFmtId="0" fontId="11" fillId="3" borderId="5" xfId="0" applyFont="1" applyFill="1" applyBorder="1"/>
    <xf numFmtId="0" fontId="2" fillId="3" borderId="9" xfId="0" applyFont="1" applyFill="1" applyBorder="1"/>
    <xf numFmtId="0" fontId="4" fillId="3" borderId="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0" fontId="12" fillId="3" borderId="7" xfId="0" applyFont="1" applyFill="1" applyBorder="1" applyAlignment="1" applyProtection="1">
      <alignment horizontal="right"/>
    </xf>
    <xf numFmtId="0" fontId="12" fillId="3" borderId="4" xfId="0" applyFont="1" applyFill="1" applyBorder="1" applyAlignment="1" applyProtection="1">
      <alignment horizontal="right"/>
    </xf>
    <xf numFmtId="0" fontId="12" fillId="3" borderId="6" xfId="0" applyFont="1" applyFill="1" applyBorder="1" applyAlignment="1" applyProtection="1">
      <alignment horizontal="right"/>
    </xf>
    <xf numFmtId="0" fontId="5" fillId="0" borderId="0" xfId="0" applyFont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 vertical="top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>
      <alignment horizontal="center" vertical="top"/>
    </xf>
    <xf numFmtId="0" fontId="2" fillId="0" borderId="0" xfId="0" applyFont="1" applyBorder="1" applyAlignment="1" applyProtection="1">
      <alignment horizontal="center" vertical="top"/>
    </xf>
    <xf numFmtId="0" fontId="6" fillId="3" borderId="0" xfId="0" applyFont="1" applyFill="1" applyBorder="1" applyAlignment="1">
      <alignment horizontal="center"/>
    </xf>
    <xf numFmtId="0" fontId="9" fillId="3" borderId="0" xfId="0" applyFont="1" applyFill="1" applyBorder="1"/>
    <xf numFmtId="0" fontId="6" fillId="0" borderId="0" xfId="0" applyFont="1" applyBorder="1" applyAlignment="1" applyProtection="1">
      <alignment horizontal="center" vertical="top"/>
    </xf>
    <xf numFmtId="0" fontId="2" fillId="3" borderId="0" xfId="0" applyFont="1" applyFill="1" applyBorder="1" applyAlignment="1" applyProtection="1">
      <alignment horizontal="center" vertical="top"/>
    </xf>
    <xf numFmtId="14" fontId="1" fillId="0" borderId="0" xfId="0" applyNumberFormat="1" applyFont="1" applyBorder="1" applyAlignment="1" applyProtection="1">
      <alignment horizontal="center"/>
    </xf>
    <xf numFmtId="0" fontId="14" fillId="0" borderId="0" xfId="0" applyFont="1" applyBorder="1"/>
    <xf numFmtId="0" fontId="9" fillId="0" borderId="10" xfId="0" applyFont="1" applyBorder="1" applyAlignment="1" applyProtection="1">
      <alignment horizontal="center" vertical="top"/>
    </xf>
    <xf numFmtId="0" fontId="9" fillId="0" borderId="11" xfId="0" applyFont="1" applyBorder="1" applyAlignment="1" applyProtection="1">
      <alignment horizontal="center" vertical="top"/>
    </xf>
    <xf numFmtId="0" fontId="9" fillId="0" borderId="12" xfId="0" applyFont="1" applyBorder="1" applyAlignment="1" applyProtection="1">
      <alignment horizontal="center" vertical="top"/>
    </xf>
    <xf numFmtId="0" fontId="2" fillId="3" borderId="13" xfId="0" applyFont="1" applyFill="1" applyBorder="1" applyAlignment="1" applyProtection="1">
      <alignment horizontal="center" vertical="top"/>
    </xf>
    <xf numFmtId="0" fontId="2" fillId="3" borderId="14" xfId="0" applyFont="1" applyFill="1" applyBorder="1" applyAlignment="1" applyProtection="1">
      <alignment horizontal="center" vertical="top"/>
    </xf>
    <xf numFmtId="0" fontId="2" fillId="3" borderId="15" xfId="0" applyFont="1" applyFill="1" applyBorder="1" applyAlignment="1" applyProtection="1">
      <alignment horizontal="center" vertical="top"/>
    </xf>
    <xf numFmtId="0" fontId="2" fillId="3" borderId="16" xfId="0" applyFont="1" applyFill="1" applyBorder="1" applyAlignment="1" applyProtection="1">
      <alignment horizontal="center" vertical="top"/>
    </xf>
    <xf numFmtId="0" fontId="2" fillId="3" borderId="17" xfId="0" applyFont="1" applyFill="1" applyBorder="1" applyAlignment="1" applyProtection="1">
      <alignment horizontal="center" vertical="top"/>
    </xf>
    <xf numFmtId="0" fontId="2" fillId="0" borderId="0" xfId="0" applyFont="1" applyBorder="1"/>
    <xf numFmtId="0" fontId="2" fillId="3" borderId="0" xfId="0" applyFont="1" applyFill="1" applyBorder="1"/>
    <xf numFmtId="14" fontId="6" fillId="0" borderId="0" xfId="0" applyNumberFormat="1" applyFont="1" applyBorder="1"/>
    <xf numFmtId="0" fontId="5" fillId="0" borderId="0" xfId="0" quotePrefix="1" applyFont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4" fillId="2" borderId="18" xfId="0" applyFont="1" applyFill="1" applyBorder="1" applyAlignment="1" applyProtection="1">
      <alignment horizontal="center" vertical="center"/>
      <protection locked="0"/>
    </xf>
    <xf numFmtId="0" fontId="4" fillId="2" borderId="19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vertical="top"/>
    </xf>
    <xf numFmtId="0" fontId="5" fillId="0" borderId="4" xfId="0" applyFont="1" applyBorder="1" applyAlignment="1" applyProtection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 applyAlignment="1" applyProtection="1">
      <alignment horizontal="center"/>
    </xf>
    <xf numFmtId="0" fontId="9" fillId="0" borderId="0" xfId="0" applyFont="1" applyBorder="1" applyAlignment="1">
      <alignment horizontal="center" vertical="top"/>
    </xf>
    <xf numFmtId="0" fontId="9" fillId="0" borderId="0" xfId="0" applyFont="1" applyBorder="1" applyAlignment="1">
      <alignment vertical="top"/>
    </xf>
    <xf numFmtId="0" fontId="6" fillId="0" borderId="0" xfId="0" applyFont="1" applyBorder="1" applyAlignment="1">
      <alignment horizontal="center" vertical="top"/>
    </xf>
    <xf numFmtId="0" fontId="6" fillId="3" borderId="0" xfId="0" applyFont="1" applyFill="1" applyBorder="1" applyAlignment="1" applyProtection="1">
      <alignment horizontal="center" vertical="top"/>
    </xf>
    <xf numFmtId="0" fontId="1" fillId="0" borderId="0" xfId="0" applyFont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Border="1" applyAlignment="1" applyProtection="1">
      <alignment horizontal="center" vertical="top"/>
    </xf>
    <xf numFmtId="0" fontId="1" fillId="3" borderId="5" xfId="0" applyFont="1" applyFill="1" applyBorder="1" applyAlignment="1" applyProtection="1">
      <alignment horizontal="center"/>
    </xf>
    <xf numFmtId="0" fontId="2" fillId="0" borderId="0" xfId="0" applyNumberFormat="1" applyFont="1" applyBorder="1" applyAlignment="1">
      <alignment horizontal="left" vertical="top"/>
    </xf>
    <xf numFmtId="0" fontId="2" fillId="0" borderId="14" xfId="0" applyFont="1" applyBorder="1" applyAlignment="1">
      <alignment horizontal="center" vertical="top"/>
    </xf>
    <xf numFmtId="0" fontId="13" fillId="0" borderId="0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14" fontId="0" fillId="3" borderId="0" xfId="0" applyNumberFormat="1" applyFill="1" applyBorder="1" applyProtection="1"/>
    <xf numFmtId="14" fontId="15" fillId="0" borderId="5" xfId="0" applyNumberFormat="1" applyFont="1" applyBorder="1" applyAlignment="1" applyProtection="1">
      <alignment horizontal="center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72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64"/>
  <sheetViews>
    <sheetView showGridLines="0" tabSelected="1" zoomScale="150" zoomScaleNormal="150" zoomScaleSheetLayoutView="288" workbookViewId="0">
      <selection activeCell="F22" sqref="F22:L22"/>
    </sheetView>
  </sheetViews>
  <sheetFormatPr defaultRowHeight="14.4" x14ac:dyDescent="0.3"/>
  <cols>
    <col min="1" max="1" width="5.21875" customWidth="1"/>
    <col min="2" max="2" width="8.21875" customWidth="1"/>
    <col min="3" max="3" width="15.77734375" style="1" customWidth="1"/>
    <col min="4" max="4" width="2.77734375" style="1" customWidth="1"/>
    <col min="5" max="5" width="13.77734375" style="1" customWidth="1"/>
    <col min="6" max="12" width="2.33203125" customWidth="1"/>
    <col min="13" max="13" width="15.77734375" style="1" customWidth="1"/>
    <col min="14" max="14" width="7.77734375" customWidth="1"/>
    <col min="15" max="15" width="5.21875" customWidth="1"/>
    <col min="16" max="16" width="10.77734375" bestFit="1" customWidth="1"/>
  </cols>
  <sheetData>
    <row r="1" spans="1:26" s="10" customFormat="1" ht="7.95" customHeight="1" x14ac:dyDescent="0.2">
      <c r="C1" s="71"/>
      <c r="D1" s="71"/>
      <c r="E1" s="71"/>
      <c r="I1" s="71"/>
      <c r="M1" s="71"/>
      <c r="N1" s="72"/>
    </row>
    <row r="2" spans="1:26" s="10" customFormat="1" ht="7.95" customHeight="1" x14ac:dyDescent="0.2">
      <c r="C2" s="71"/>
      <c r="D2" s="71"/>
      <c r="E2" s="71"/>
      <c r="I2" s="71"/>
      <c r="M2" s="71"/>
      <c r="N2" s="72"/>
    </row>
    <row r="3" spans="1:26" s="9" customFormat="1" ht="10.050000000000001" customHeight="1" x14ac:dyDescent="0.2">
      <c r="B3" s="57" t="s">
        <v>28</v>
      </c>
      <c r="C3" s="58">
        <f ca="1">IF(PROPER(C19)=C20,1,0)</f>
        <v>0</v>
      </c>
      <c r="D3" s="58">
        <f ca="1">E3</f>
        <v>0</v>
      </c>
      <c r="E3" s="58">
        <f ca="1">IF(PROPER(D19)=D20,1,0)</f>
        <v>0</v>
      </c>
      <c r="F3" s="59"/>
      <c r="G3" s="59"/>
      <c r="H3" s="59"/>
      <c r="I3" s="58"/>
      <c r="J3" s="59"/>
      <c r="K3" s="59"/>
      <c r="L3" s="59"/>
      <c r="M3" s="58">
        <f ca="1">IF(M19=M20,1,0)</f>
        <v>0</v>
      </c>
      <c r="N3" s="60"/>
      <c r="O3" s="86"/>
      <c r="P3" s="74"/>
    </row>
    <row r="4" spans="1:26" s="7" customFormat="1" ht="10.35" customHeight="1" x14ac:dyDescent="0.2">
      <c r="B4" s="55"/>
      <c r="C4" s="69"/>
      <c r="D4" s="105">
        <v>1</v>
      </c>
      <c r="E4" s="104" t="s">
        <v>6</v>
      </c>
      <c r="F4" s="96"/>
      <c r="G4" s="96"/>
      <c r="H4" s="97"/>
      <c r="I4" s="97"/>
      <c r="J4" s="96"/>
      <c r="K4" s="96"/>
      <c r="L4" s="96"/>
      <c r="M4" s="69"/>
      <c r="N4" s="11"/>
      <c r="O4" s="85"/>
      <c r="P4" s="85"/>
    </row>
    <row r="5" spans="1:26" s="7" customFormat="1" ht="10.35" customHeight="1" x14ac:dyDescent="0.2">
      <c r="B5" s="55"/>
      <c r="C5" s="69"/>
      <c r="D5" s="105">
        <v>2</v>
      </c>
      <c r="E5" s="104" t="s">
        <v>7</v>
      </c>
      <c r="F5" s="98"/>
      <c r="G5" s="98"/>
      <c r="H5" s="98"/>
      <c r="I5" s="98"/>
      <c r="J5" s="99" t="str">
        <f>IF(I5="","",IF(I5&lt;$M$9,I5+1,""))</f>
        <v/>
      </c>
      <c r="K5" s="98"/>
      <c r="L5" s="98"/>
      <c r="M5" s="69"/>
      <c r="N5" s="11"/>
      <c r="O5" s="85"/>
      <c r="P5" s="85"/>
    </row>
    <row r="6" spans="1:26" s="7" customFormat="1" ht="10.35" customHeight="1" x14ac:dyDescent="0.2">
      <c r="B6" s="55"/>
      <c r="C6" s="69"/>
      <c r="D6" s="105">
        <v>3</v>
      </c>
      <c r="E6" s="104" t="s">
        <v>8</v>
      </c>
      <c r="F6" s="73">
        <f ca="1">IF(F22=F23,1,0)</f>
        <v>0</v>
      </c>
      <c r="G6" s="73"/>
      <c r="H6" s="73"/>
      <c r="I6" s="73"/>
      <c r="J6" s="73"/>
      <c r="K6" s="73"/>
      <c r="L6" s="73"/>
      <c r="M6" s="69"/>
      <c r="N6" s="11"/>
    </row>
    <row r="7" spans="1:26" s="7" customFormat="1" ht="10.35" customHeight="1" x14ac:dyDescent="0.2">
      <c r="B7" s="55"/>
      <c r="C7" s="69"/>
      <c r="D7" s="105">
        <v>4</v>
      </c>
      <c r="E7" s="104" t="s">
        <v>9</v>
      </c>
      <c r="F7" s="73"/>
      <c r="G7" s="73"/>
      <c r="H7" s="73"/>
      <c r="I7" s="73"/>
      <c r="J7" s="73"/>
      <c r="K7" s="73"/>
      <c r="L7" s="73"/>
      <c r="M7" s="69"/>
      <c r="N7" s="11"/>
    </row>
    <row r="8" spans="1:26" s="7" customFormat="1" ht="10.35" customHeight="1" x14ac:dyDescent="0.3">
      <c r="B8" s="55"/>
      <c r="C8" s="70" t="s">
        <v>24</v>
      </c>
      <c r="D8" s="105">
        <v>5</v>
      </c>
      <c r="E8" s="104" t="s">
        <v>10</v>
      </c>
      <c r="F8" s="100"/>
      <c r="G8" s="101"/>
      <c r="H8" s="87"/>
      <c r="I8" s="87">
        <f ca="1">E23-DAY(E23)+1</f>
        <v>43739</v>
      </c>
      <c r="J8" s="73">
        <f ca="1">DAY(I8)</f>
        <v>1</v>
      </c>
      <c r="K8" s="73"/>
      <c r="L8" s="73"/>
      <c r="M8" s="73"/>
      <c r="N8" s="11"/>
    </row>
    <row r="9" spans="1:26" s="7" customFormat="1" ht="10.35" customHeight="1" thickBot="1" x14ac:dyDescent="0.25">
      <c r="B9" s="55"/>
      <c r="C9" s="70" t="s">
        <v>18</v>
      </c>
      <c r="D9" s="105">
        <v>6</v>
      </c>
      <c r="E9" s="104" t="s">
        <v>11</v>
      </c>
      <c r="F9" s="73"/>
      <c r="G9" s="102"/>
      <c r="H9" s="73">
        <f ca="1">WEEKDAY(I8)</f>
        <v>3</v>
      </c>
      <c r="I9" s="73"/>
      <c r="J9" s="73"/>
      <c r="K9" s="73"/>
      <c r="L9" s="73"/>
      <c r="M9" s="76">
        <f ca="1">DAY(DATE(YEAR(E23),MONTH(E23)+1,1)-1)</f>
        <v>31</v>
      </c>
      <c r="N9" s="11"/>
    </row>
    <row r="10" spans="1:26" s="7" customFormat="1" ht="10.35" customHeight="1" x14ac:dyDescent="0.2">
      <c r="B10" s="55"/>
      <c r="C10" s="70" t="s">
        <v>19</v>
      </c>
      <c r="D10" s="105">
        <v>7</v>
      </c>
      <c r="E10" s="104" t="s">
        <v>12</v>
      </c>
      <c r="F10" s="77" t="s">
        <v>41</v>
      </c>
      <c r="G10" s="78" t="s">
        <v>42</v>
      </c>
      <c r="H10" s="78" t="s">
        <v>43</v>
      </c>
      <c r="I10" s="78" t="s">
        <v>44</v>
      </c>
      <c r="J10" s="78" t="s">
        <v>43</v>
      </c>
      <c r="K10" s="78" t="s">
        <v>45</v>
      </c>
      <c r="L10" s="79" t="s">
        <v>41</v>
      </c>
      <c r="M10" s="70"/>
      <c r="N10" s="11"/>
    </row>
    <row r="11" spans="1:26" s="7" customFormat="1" ht="10.35" customHeight="1" x14ac:dyDescent="0.2">
      <c r="A11" s="8"/>
      <c r="B11" s="56"/>
      <c r="C11" s="70" t="s">
        <v>20</v>
      </c>
      <c r="D11" s="105">
        <v>8</v>
      </c>
      <c r="E11" s="104" t="s">
        <v>13</v>
      </c>
      <c r="F11" s="80" t="str">
        <f ca="1">IF($H$9=1,1,"")</f>
        <v/>
      </c>
      <c r="G11" s="74" t="str">
        <f ca="1">IF(F11&lt;&gt;"",F11+1,IF($H$9=2,1,""))</f>
        <v/>
      </c>
      <c r="H11" s="74">
        <f ca="1">IF(G11&lt;&gt;"",G11+1,IF($H$9=3,1,""))</f>
        <v>1</v>
      </c>
      <c r="I11" s="74">
        <f ca="1">IF(H11&lt;&gt;"",H11+1,IF($H$9=4,1,""))</f>
        <v>2</v>
      </c>
      <c r="J11" s="74">
        <f ca="1">IF(I11&lt;&gt;"",I11+1,IF($H$9=5,1,""))</f>
        <v>3</v>
      </c>
      <c r="K11" s="74">
        <f ca="1">IF(J11&lt;&gt;"",J11+1,IF($H$9=6,1,""))</f>
        <v>4</v>
      </c>
      <c r="L11" s="81">
        <f ca="1">IF(K11&lt;&gt;"",K11+1,IF($H$9=7,1,""))</f>
        <v>5</v>
      </c>
      <c r="M11" s="70"/>
      <c r="N11" s="12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s="7" customFormat="1" ht="10.35" customHeight="1" x14ac:dyDescent="0.2">
      <c r="A12" s="8"/>
      <c r="B12" s="56"/>
      <c r="C12" s="70" t="s">
        <v>21</v>
      </c>
      <c r="D12" s="105">
        <v>9</v>
      </c>
      <c r="E12" s="104" t="s">
        <v>14</v>
      </c>
      <c r="F12" s="80">
        <f ca="1">$L$11+1</f>
        <v>6</v>
      </c>
      <c r="G12" s="74">
        <f ca="1">F12+1</f>
        <v>7</v>
      </c>
      <c r="H12" s="74">
        <f t="shared" ref="H12:L12" ca="1" si="0">G12+1</f>
        <v>8</v>
      </c>
      <c r="I12" s="74">
        <f t="shared" ca="1" si="0"/>
        <v>9</v>
      </c>
      <c r="J12" s="74">
        <f t="shared" ca="1" si="0"/>
        <v>10</v>
      </c>
      <c r="K12" s="74">
        <f t="shared" ca="1" si="0"/>
        <v>11</v>
      </c>
      <c r="L12" s="81">
        <f t="shared" ca="1" si="0"/>
        <v>12</v>
      </c>
      <c r="M12" s="70">
        <v>2017</v>
      </c>
      <c r="N12" s="12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s="7" customFormat="1" ht="10.35" customHeight="1" x14ac:dyDescent="0.2">
      <c r="A13" s="8"/>
      <c r="B13" s="56"/>
      <c r="C13" s="70" t="s">
        <v>22</v>
      </c>
      <c r="D13" s="105">
        <v>10</v>
      </c>
      <c r="E13" s="104" t="s">
        <v>15</v>
      </c>
      <c r="F13" s="80">
        <f ca="1">L12+1</f>
        <v>13</v>
      </c>
      <c r="G13" s="74">
        <f t="shared" ref="G13:L14" ca="1" si="1">F13+1</f>
        <v>14</v>
      </c>
      <c r="H13" s="74">
        <f t="shared" ca="1" si="1"/>
        <v>15</v>
      </c>
      <c r="I13" s="74">
        <f t="shared" ca="1" si="1"/>
        <v>16</v>
      </c>
      <c r="J13" s="74">
        <f t="shared" ca="1" si="1"/>
        <v>17</v>
      </c>
      <c r="K13" s="74">
        <f t="shared" ca="1" si="1"/>
        <v>18</v>
      </c>
      <c r="L13" s="81">
        <f t="shared" ca="1" si="1"/>
        <v>19</v>
      </c>
      <c r="M13" s="70">
        <v>2018</v>
      </c>
      <c r="N13" s="12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s="49" customFormat="1" ht="10.35" customHeight="1" x14ac:dyDescent="0.3">
      <c r="A14" s="47"/>
      <c r="B14" s="56"/>
      <c r="C14" s="70" t="s">
        <v>23</v>
      </c>
      <c r="D14" s="105">
        <v>11</v>
      </c>
      <c r="E14" s="104" t="s">
        <v>16</v>
      </c>
      <c r="F14" s="80">
        <f t="shared" ref="F14" ca="1" si="2">L13+1</f>
        <v>20</v>
      </c>
      <c r="G14" s="74">
        <f t="shared" ca="1" si="1"/>
        <v>21</v>
      </c>
      <c r="H14" s="74">
        <f t="shared" ca="1" si="1"/>
        <v>22</v>
      </c>
      <c r="I14" s="74">
        <f t="shared" ca="1" si="1"/>
        <v>23</v>
      </c>
      <c r="J14" s="74">
        <f t="shared" ca="1" si="1"/>
        <v>24</v>
      </c>
      <c r="K14" s="74">
        <f t="shared" ca="1" si="1"/>
        <v>25</v>
      </c>
      <c r="L14" s="81">
        <f t="shared" ca="1" si="1"/>
        <v>26</v>
      </c>
      <c r="M14" s="70">
        <v>2019</v>
      </c>
      <c r="N14" s="48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s="49" customFormat="1" ht="10.35" customHeight="1" thickBot="1" x14ac:dyDescent="0.35">
      <c r="A15" s="47"/>
      <c r="B15" s="56"/>
      <c r="C15" s="70"/>
      <c r="D15" s="105">
        <v>12</v>
      </c>
      <c r="E15" s="104" t="s">
        <v>17</v>
      </c>
      <c r="F15" s="82">
        <f ca="1">IF($L$14&lt;$M$9,$L$14+1,"")</f>
        <v>27</v>
      </c>
      <c r="G15" s="83">
        <f ca="1">IF(F15&lt;$M$9,F15+1,"")</f>
        <v>28</v>
      </c>
      <c r="H15" s="83">
        <f t="shared" ref="H15" ca="1" si="3">IF(G15&lt;$M$9,G15+1,"")</f>
        <v>29</v>
      </c>
      <c r="I15" s="83">
        <f ca="1">IF(H15="","",IF(H15&lt;$M$9,H15+1,""))</f>
        <v>30</v>
      </c>
      <c r="J15" s="83">
        <f ca="1">IF(I15="","",IF(I15&lt;$M$9,I15+1,""))</f>
        <v>31</v>
      </c>
      <c r="K15" s="83" t="str">
        <f ca="1">IF(J15="","",IF(J15&lt;$M$9,J15+1,""))</f>
        <v/>
      </c>
      <c r="L15" s="84" t="str">
        <f ca="1">IF(K15="","",IF(K15&lt;$M$9,K15+1,""))</f>
        <v/>
      </c>
      <c r="M15" s="70">
        <v>2020</v>
      </c>
      <c r="N15" s="48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9" customHeight="1" x14ac:dyDescent="0.3">
      <c r="A16" s="2"/>
      <c r="B16" s="43"/>
      <c r="C16" s="45"/>
      <c r="D16" s="45"/>
      <c r="E16" s="45"/>
      <c r="F16" s="46"/>
      <c r="G16" s="46"/>
      <c r="H16" s="46"/>
      <c r="I16" s="46"/>
      <c r="J16" s="46"/>
      <c r="K16" s="46"/>
      <c r="L16" s="46"/>
      <c r="M16" s="45"/>
      <c r="N16" s="44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s="34" customFormat="1" ht="12" customHeight="1" x14ac:dyDescent="0.3">
      <c r="A17" s="32"/>
      <c r="B17" s="33"/>
      <c r="C17" s="53" t="s">
        <v>0</v>
      </c>
      <c r="D17" s="92" t="s">
        <v>1</v>
      </c>
      <c r="E17" s="92"/>
      <c r="F17" s="92" t="s">
        <v>25</v>
      </c>
      <c r="G17" s="92"/>
      <c r="H17" s="92"/>
      <c r="I17" s="92"/>
      <c r="J17" s="92"/>
      <c r="K17" s="92"/>
      <c r="L17" s="92"/>
      <c r="M17" s="67" t="s">
        <v>2</v>
      </c>
      <c r="N17" s="32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</row>
    <row r="18" spans="1:26" s="30" customFormat="1" ht="12" customHeight="1" x14ac:dyDescent="0.3">
      <c r="A18" s="28"/>
      <c r="B18" s="29"/>
      <c r="C18" s="52" t="s">
        <v>3</v>
      </c>
      <c r="D18" s="93" t="s">
        <v>4</v>
      </c>
      <c r="E18" s="93"/>
      <c r="F18" s="93" t="s">
        <v>26</v>
      </c>
      <c r="G18" s="93"/>
      <c r="H18" s="93"/>
      <c r="I18" s="93"/>
      <c r="J18" s="93"/>
      <c r="K18" s="93"/>
      <c r="L18" s="93"/>
      <c r="M18" s="66" t="s">
        <v>5</v>
      </c>
      <c r="N18" s="28"/>
      <c r="O18" s="50"/>
      <c r="P18" s="51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s="38" customFormat="1" x14ac:dyDescent="0.3">
      <c r="A19" s="36"/>
      <c r="B19" s="37"/>
      <c r="C19" s="54" t="str">
        <f>[1]!wwsInput()</f>
        <v/>
      </c>
      <c r="D19" s="90" t="str">
        <f>[1]!wwsInput()</f>
        <v/>
      </c>
      <c r="E19" s="91"/>
      <c r="F19" s="94" t="str">
        <f>[1]!wwsInput()</f>
        <v/>
      </c>
      <c r="G19" s="94"/>
      <c r="H19" s="94"/>
      <c r="I19" s="94"/>
      <c r="J19" s="94"/>
      <c r="K19" s="94"/>
      <c r="L19" s="94"/>
      <c r="M19" s="68" t="str">
        <f>[1]!wwsInput()</f>
        <v/>
      </c>
      <c r="N19" s="61"/>
      <c r="O19" s="41"/>
      <c r="P19" s="39"/>
      <c r="Q19" s="39"/>
      <c r="R19" s="39"/>
      <c r="S19" s="39"/>
      <c r="T19" s="40"/>
      <c r="U19" s="40"/>
      <c r="V19" s="40"/>
      <c r="W19" s="40"/>
      <c r="X19" s="35"/>
      <c r="Y19" s="35"/>
      <c r="Z19" s="35"/>
    </row>
    <row r="20" spans="1:26" s="2" customFormat="1" x14ac:dyDescent="0.3">
      <c r="A20" s="14"/>
      <c r="B20" s="13"/>
      <c r="C20" s="4" t="str">
        <f ca="1">CHOOSE(WEEKDAY(E23),"Sunday","Monday","Tuesday","Wednesday","Thursday","Friday","Saturday")</f>
        <v>Tuesday</v>
      </c>
      <c r="D20" s="103" t="str">
        <f ca="1">CHOOSE(MONTH(E23),"January","February","March","April","May","June","July","August","September","October","November","December")</f>
        <v>October</v>
      </c>
      <c r="E20" s="103"/>
      <c r="F20" s="95">
        <f ca="1">DAY(E23)</f>
        <v>29</v>
      </c>
      <c r="G20" s="95"/>
      <c r="H20" s="95"/>
      <c r="I20" s="95"/>
      <c r="J20" s="95"/>
      <c r="K20" s="95"/>
      <c r="L20" s="95"/>
      <c r="M20" s="4">
        <f ca="1">YEAR(E23)</f>
        <v>2019</v>
      </c>
      <c r="N20" s="14"/>
      <c r="O20" s="42"/>
      <c r="P20" s="108"/>
      <c r="Q20" s="6"/>
      <c r="R20" s="6"/>
      <c r="S20" s="6"/>
      <c r="T20" s="6"/>
      <c r="U20" s="6"/>
    </row>
    <row r="21" spans="1:26" s="2" customFormat="1" x14ac:dyDescent="0.3">
      <c r="A21" s="14"/>
      <c r="B21" s="13"/>
      <c r="C21" s="5"/>
      <c r="D21" s="5"/>
      <c r="E21" s="5"/>
      <c r="F21" s="88" t="s">
        <v>46</v>
      </c>
      <c r="G21" s="89"/>
      <c r="H21" s="89"/>
      <c r="I21" s="89"/>
      <c r="J21" s="89"/>
      <c r="K21" s="89"/>
      <c r="L21" s="89"/>
      <c r="M21" s="5"/>
      <c r="N21" s="14"/>
      <c r="O21" s="42"/>
      <c r="P21" s="108"/>
    </row>
    <row r="22" spans="1:26" s="38" customFormat="1" x14ac:dyDescent="0.3">
      <c r="A22" s="14"/>
      <c r="B22" s="37"/>
      <c r="C22" s="62"/>
      <c r="D22" s="106" t="str">
        <f ca="1">IF(D19=D20,CHOOSE(MONTH(E23),B24,C24,E24,F24,G24,H24,I24,J24,K24,L24,M24,N24),"")</f>
        <v/>
      </c>
      <c r="E22" s="107"/>
      <c r="F22" s="110" t="str">
        <f>[1]!wwsInput()</f>
        <v/>
      </c>
      <c r="G22" s="94"/>
      <c r="H22" s="94"/>
      <c r="I22" s="94"/>
      <c r="J22" s="94"/>
      <c r="K22" s="94"/>
      <c r="L22" s="94"/>
      <c r="M22" s="62"/>
      <c r="N22" s="36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spans="1:26" s="2" customFormat="1" x14ac:dyDescent="0.3">
      <c r="A23" s="14"/>
      <c r="B23" s="18"/>
      <c r="C23" s="19"/>
      <c r="D23" s="19"/>
      <c r="E23" s="75">
        <f ca="1">TODAY()</f>
        <v>43767</v>
      </c>
      <c r="F23" s="109">
        <f ca="1">TODAY()</f>
        <v>43767</v>
      </c>
      <c r="G23" s="109"/>
      <c r="H23" s="109"/>
      <c r="I23" s="109"/>
      <c r="J23" s="109"/>
      <c r="K23" s="109"/>
      <c r="L23" s="109"/>
      <c r="M23" s="19"/>
      <c r="N23" s="20"/>
    </row>
    <row r="24" spans="1:26" s="25" customFormat="1" x14ac:dyDescent="0.3">
      <c r="A24" s="14"/>
      <c r="B24" s="63" t="s">
        <v>29</v>
      </c>
      <c r="C24" s="64" t="s">
        <v>30</v>
      </c>
      <c r="D24" s="64"/>
      <c r="E24" s="64" t="s">
        <v>31</v>
      </c>
      <c r="F24" s="64" t="s">
        <v>32</v>
      </c>
      <c r="G24" s="64" t="s">
        <v>33</v>
      </c>
      <c r="H24" s="64" t="s">
        <v>34</v>
      </c>
      <c r="I24" s="64" t="s">
        <v>35</v>
      </c>
      <c r="J24" s="64" t="s">
        <v>36</v>
      </c>
      <c r="K24" s="64" t="s">
        <v>37</v>
      </c>
      <c r="L24" s="64" t="s">
        <v>38</v>
      </c>
      <c r="M24" s="64" t="s">
        <v>39</v>
      </c>
      <c r="N24" s="65" t="s">
        <v>40</v>
      </c>
      <c r="O24" s="26"/>
    </row>
    <row r="25" spans="1:26" s="2" customFormat="1" x14ac:dyDescent="0.3">
      <c r="A25" s="16"/>
      <c r="B25" s="23"/>
      <c r="C25" s="21"/>
      <c r="D25" s="21"/>
      <c r="E25" s="21"/>
      <c r="F25" s="15"/>
      <c r="G25" s="15"/>
      <c r="H25" s="22"/>
      <c r="I25" s="15"/>
      <c r="J25" s="22"/>
      <c r="K25" s="22"/>
      <c r="L25" s="22"/>
      <c r="M25" s="21"/>
      <c r="N25" s="15"/>
      <c r="P25" s="2" t="s">
        <v>27</v>
      </c>
    </row>
    <row r="26" spans="1:26" s="2" customFormat="1" x14ac:dyDescent="0.3">
      <c r="A26" s="16"/>
      <c r="B26" s="23"/>
      <c r="C26" s="19"/>
      <c r="D26" s="19"/>
      <c r="E26" s="19"/>
      <c r="F26" s="17"/>
      <c r="G26" s="17"/>
      <c r="H26" s="17"/>
      <c r="J26" s="17"/>
      <c r="K26" s="17"/>
      <c r="L26" s="17"/>
      <c r="M26" s="19"/>
      <c r="N26" s="23"/>
    </row>
    <row r="27" spans="1:26" s="2" customFormat="1" x14ac:dyDescent="0.3">
      <c r="A27" s="16"/>
      <c r="B27" s="23"/>
      <c r="C27" s="19"/>
      <c r="D27" s="19"/>
      <c r="E27" s="19"/>
      <c r="F27" s="23"/>
      <c r="G27" s="23"/>
      <c r="H27" s="23"/>
      <c r="J27" s="23"/>
      <c r="K27" s="23"/>
      <c r="L27" s="23"/>
      <c r="M27" s="19"/>
      <c r="N27" s="23"/>
    </row>
    <row r="28" spans="1:26" s="2" customFormat="1" x14ac:dyDescent="0.3">
      <c r="A28" s="16"/>
      <c r="B28" s="16"/>
      <c r="C28" s="24"/>
      <c r="D28" s="24"/>
      <c r="E28" s="24"/>
      <c r="F28" s="16"/>
      <c r="G28" s="16"/>
      <c r="H28" s="16"/>
      <c r="K28" s="16"/>
      <c r="M28" s="24"/>
      <c r="N28" s="16"/>
    </row>
    <row r="29" spans="1:26" s="2" customFormat="1" x14ac:dyDescent="0.3">
      <c r="A29" s="16"/>
      <c r="B29" s="16"/>
      <c r="C29" s="24"/>
      <c r="D29" s="24"/>
      <c r="E29" s="24"/>
      <c r="F29" s="16"/>
      <c r="G29" s="16"/>
      <c r="H29" s="16"/>
      <c r="I29" s="16"/>
      <c r="J29" s="16"/>
      <c r="K29" s="16"/>
      <c r="L29" s="16"/>
      <c r="M29" s="24"/>
      <c r="N29" s="16"/>
      <c r="Q29" s="76">
        <f>DAY(DATE(YEAR(I43),MONTH(I43)+1,1)-1)</f>
        <v>31</v>
      </c>
    </row>
    <row r="30" spans="1:26" s="2" customFormat="1" x14ac:dyDescent="0.3">
      <c r="A30" s="16"/>
      <c r="B30" s="16"/>
      <c r="C30" s="24"/>
      <c r="D30" s="24"/>
      <c r="E30" s="24"/>
      <c r="F30" s="16"/>
      <c r="G30" s="16"/>
      <c r="H30" s="16"/>
      <c r="I30" s="16"/>
      <c r="J30" s="16"/>
      <c r="K30" s="16"/>
      <c r="L30" s="16"/>
      <c r="M30" s="24"/>
      <c r="N30" s="16"/>
    </row>
    <row r="31" spans="1:26" s="2" customFormat="1" x14ac:dyDescent="0.3">
      <c r="C31" s="3"/>
      <c r="D31" s="3"/>
      <c r="E31" s="3"/>
      <c r="M31" s="3"/>
    </row>
    <row r="32" spans="1:26" s="2" customFormat="1" x14ac:dyDescent="0.3">
      <c r="C32" s="3"/>
      <c r="D32" s="3"/>
      <c r="E32" s="3"/>
      <c r="M32" s="3"/>
    </row>
    <row r="33" spans="3:13" s="2" customFormat="1" x14ac:dyDescent="0.3">
      <c r="C33" s="3"/>
      <c r="D33" s="3"/>
      <c r="E33" s="3"/>
      <c r="M33" s="3"/>
    </row>
    <row r="34" spans="3:13" s="2" customFormat="1" x14ac:dyDescent="0.3">
      <c r="C34" s="3"/>
      <c r="D34" s="3"/>
      <c r="E34" s="3"/>
      <c r="M34" s="3"/>
    </row>
    <row r="35" spans="3:13" s="2" customFormat="1" x14ac:dyDescent="0.3">
      <c r="C35" s="3"/>
      <c r="D35" s="3"/>
      <c r="E35" s="3"/>
      <c r="M35" s="3"/>
    </row>
    <row r="36" spans="3:13" s="2" customFormat="1" x14ac:dyDescent="0.3">
      <c r="C36" s="3"/>
      <c r="D36" s="3"/>
      <c r="E36" s="3"/>
      <c r="M36" s="3"/>
    </row>
    <row r="37" spans="3:13" s="2" customFormat="1" x14ac:dyDescent="0.3">
      <c r="C37" s="3"/>
      <c r="D37" s="3"/>
      <c r="E37" s="3"/>
      <c r="M37" s="3"/>
    </row>
    <row r="38" spans="3:13" s="2" customFormat="1" x14ac:dyDescent="0.3">
      <c r="C38" s="3"/>
      <c r="D38" s="3"/>
      <c r="E38" s="3"/>
      <c r="M38" s="3"/>
    </row>
    <row r="39" spans="3:13" s="2" customFormat="1" x14ac:dyDescent="0.3">
      <c r="C39" s="3"/>
      <c r="D39" s="3"/>
      <c r="E39" s="3"/>
      <c r="M39" s="3"/>
    </row>
    <row r="40" spans="3:13" s="2" customFormat="1" x14ac:dyDescent="0.3">
      <c r="C40" s="3"/>
      <c r="D40" s="3"/>
      <c r="E40" s="3"/>
      <c r="M40" s="3"/>
    </row>
    <row r="41" spans="3:13" s="2" customFormat="1" x14ac:dyDescent="0.3">
      <c r="C41" s="3"/>
      <c r="D41" s="3"/>
      <c r="E41" s="3"/>
      <c r="M41" s="3"/>
    </row>
    <row r="42" spans="3:13" s="2" customFormat="1" x14ac:dyDescent="0.3">
      <c r="C42" s="3"/>
      <c r="D42" s="3"/>
      <c r="E42" s="3"/>
      <c r="M42" s="3"/>
    </row>
    <row r="43" spans="3:13" s="2" customFormat="1" x14ac:dyDescent="0.3">
      <c r="C43" s="3"/>
      <c r="D43" s="3"/>
      <c r="E43" s="3"/>
      <c r="M43" s="3"/>
    </row>
    <row r="44" spans="3:13" s="2" customFormat="1" x14ac:dyDescent="0.3">
      <c r="C44" s="3"/>
      <c r="D44" s="3"/>
      <c r="E44" s="3"/>
      <c r="M44" s="3"/>
    </row>
    <row r="45" spans="3:13" s="2" customFormat="1" x14ac:dyDescent="0.3">
      <c r="C45" s="3"/>
      <c r="D45" s="3"/>
      <c r="E45" s="3"/>
      <c r="M45" s="3"/>
    </row>
    <row r="46" spans="3:13" s="2" customFormat="1" x14ac:dyDescent="0.3">
      <c r="C46" s="3"/>
      <c r="D46" s="3"/>
      <c r="E46" s="3"/>
      <c r="M46" s="3"/>
    </row>
    <row r="47" spans="3:13" s="2" customFormat="1" x14ac:dyDescent="0.3">
      <c r="C47" s="3"/>
      <c r="D47" s="3"/>
      <c r="E47" s="3"/>
      <c r="M47" s="3"/>
    </row>
    <row r="48" spans="3:13" s="2" customFormat="1" x14ac:dyDescent="0.3">
      <c r="C48" s="3"/>
      <c r="D48" s="3"/>
      <c r="E48" s="3"/>
      <c r="M48" s="3"/>
    </row>
    <row r="49" spans="1:27" s="2" customFormat="1" x14ac:dyDescent="0.3">
      <c r="C49" s="3"/>
      <c r="D49" s="3"/>
      <c r="E49" s="3"/>
      <c r="M49" s="3"/>
    </row>
    <row r="50" spans="1:27" s="2" customFormat="1" x14ac:dyDescent="0.3">
      <c r="C50" s="3"/>
      <c r="D50" s="3"/>
      <c r="E50" s="3"/>
      <c r="M50" s="3"/>
    </row>
    <row r="51" spans="1:27" s="2" customFormat="1" x14ac:dyDescent="0.3">
      <c r="C51" s="3"/>
      <c r="D51" s="3"/>
      <c r="E51" s="3"/>
      <c r="M51" s="3"/>
    </row>
    <row r="52" spans="1:27" s="2" customFormat="1" x14ac:dyDescent="0.3">
      <c r="C52" s="3"/>
      <c r="D52" s="3"/>
      <c r="E52" s="3"/>
      <c r="M52" s="3"/>
    </row>
    <row r="53" spans="1:27" s="2" customFormat="1" x14ac:dyDescent="0.3">
      <c r="C53" s="3"/>
      <c r="D53" s="3"/>
      <c r="E53" s="3"/>
      <c r="M53" s="3"/>
    </row>
    <row r="54" spans="1:27" s="2" customFormat="1" x14ac:dyDescent="0.3">
      <c r="C54" s="3"/>
      <c r="D54" s="3"/>
      <c r="E54" s="3"/>
      <c r="M54" s="3"/>
    </row>
    <row r="55" spans="1:27" s="2" customFormat="1" x14ac:dyDescent="0.3">
      <c r="C55" s="3"/>
      <c r="D55" s="3"/>
      <c r="E55" s="3"/>
      <c r="M55" s="3"/>
    </row>
    <row r="56" spans="1:27" x14ac:dyDescent="0.3">
      <c r="A56" s="2"/>
      <c r="B56" s="2"/>
      <c r="C56" s="3"/>
      <c r="D56" s="3"/>
      <c r="E56" s="3"/>
      <c r="F56" s="2"/>
      <c r="G56" s="2"/>
      <c r="H56" s="2"/>
      <c r="I56" s="2"/>
      <c r="J56" s="2"/>
      <c r="K56" s="2"/>
      <c r="L56" s="2"/>
      <c r="M56" s="3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3">
      <c r="A57" s="2"/>
      <c r="B57" s="2"/>
      <c r="C57" s="3"/>
      <c r="D57" s="3"/>
      <c r="E57" s="3"/>
      <c r="F57" s="2"/>
      <c r="G57" s="2"/>
      <c r="H57" s="2"/>
      <c r="I57" s="2"/>
      <c r="J57" s="2"/>
      <c r="K57" s="2"/>
      <c r="L57" s="2"/>
      <c r="M57" s="3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3">
      <c r="A58" s="2"/>
      <c r="B58" s="2"/>
      <c r="C58" s="3"/>
      <c r="D58" s="3"/>
      <c r="E58" s="3"/>
      <c r="F58" s="2"/>
      <c r="G58" s="2"/>
      <c r="H58" s="2"/>
      <c r="I58" s="2"/>
      <c r="J58" s="2"/>
      <c r="K58" s="2"/>
      <c r="L58" s="2"/>
      <c r="M58" s="3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3">
      <c r="A59" s="2"/>
      <c r="B59" s="2"/>
      <c r="C59" s="3"/>
      <c r="D59" s="3"/>
      <c r="E59" s="3"/>
      <c r="F59" s="2"/>
      <c r="G59" s="2"/>
      <c r="H59" s="2"/>
      <c r="I59" s="2"/>
      <c r="J59" s="2"/>
      <c r="K59" s="2"/>
      <c r="L59" s="2"/>
      <c r="M59" s="3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3">
      <c r="A60" s="2"/>
      <c r="B60" s="2"/>
      <c r="C60" s="3"/>
      <c r="D60" s="3"/>
      <c r="E60" s="3"/>
      <c r="F60" s="2"/>
      <c r="G60" s="2"/>
      <c r="H60" s="2"/>
      <c r="I60" s="2"/>
      <c r="J60" s="2"/>
      <c r="K60" s="2"/>
      <c r="L60" s="2"/>
      <c r="M60" s="3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3">
      <c r="A61" s="2"/>
      <c r="B61" s="2"/>
      <c r="C61" s="3"/>
      <c r="D61" s="3"/>
      <c r="E61" s="3"/>
      <c r="F61" s="2"/>
      <c r="G61" s="2"/>
      <c r="H61" s="2"/>
      <c r="I61" s="2"/>
      <c r="J61" s="2"/>
      <c r="K61" s="2"/>
      <c r="L61" s="2"/>
      <c r="M61" s="3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3">
      <c r="A62" s="2"/>
      <c r="B62" s="2"/>
      <c r="C62" s="3"/>
      <c r="D62" s="3"/>
      <c r="E62" s="3"/>
      <c r="F62" s="2"/>
      <c r="G62" s="2"/>
      <c r="H62" s="2"/>
      <c r="I62" s="2"/>
      <c r="J62" s="2"/>
      <c r="K62" s="2"/>
      <c r="L62" s="2"/>
      <c r="M62" s="3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3">
      <c r="A63" s="2"/>
      <c r="B63" s="2"/>
      <c r="C63" s="3"/>
      <c r="D63" s="3"/>
      <c r="E63" s="3"/>
      <c r="F63" s="2"/>
      <c r="G63" s="2"/>
      <c r="H63" s="2"/>
      <c r="I63" s="2"/>
      <c r="J63" s="2"/>
      <c r="K63" s="2"/>
      <c r="L63" s="2"/>
      <c r="M63" s="3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3">
      <c r="A64" s="2"/>
      <c r="B64" s="2"/>
      <c r="C64" s="3"/>
      <c r="D64" s="3"/>
      <c r="E64" s="3"/>
      <c r="F64" s="2"/>
      <c r="G64" s="2"/>
      <c r="H64" s="2"/>
      <c r="I64" s="2"/>
      <c r="J64" s="2"/>
      <c r="K64" s="2"/>
      <c r="L64" s="2"/>
      <c r="M64" s="3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3">
      <c r="A65" s="2"/>
      <c r="B65" s="2"/>
      <c r="C65" s="3"/>
      <c r="D65" s="3"/>
      <c r="E65" s="3"/>
      <c r="F65" s="2"/>
      <c r="G65" s="2"/>
      <c r="H65" s="2"/>
      <c r="I65" s="2"/>
      <c r="J65" s="2"/>
      <c r="K65" s="2"/>
      <c r="L65" s="2"/>
      <c r="M65" s="3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3">
      <c r="A66" s="2"/>
      <c r="B66" s="2"/>
      <c r="C66" s="3"/>
      <c r="D66" s="3"/>
      <c r="E66" s="3"/>
      <c r="F66" s="2"/>
      <c r="G66" s="2"/>
      <c r="H66" s="2"/>
      <c r="I66" s="2"/>
      <c r="J66" s="2"/>
      <c r="K66" s="2"/>
      <c r="L66" s="2"/>
      <c r="M66" s="3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3">
      <c r="A67" s="2"/>
      <c r="B67" s="2"/>
      <c r="C67" s="3"/>
      <c r="D67" s="3"/>
      <c r="E67" s="3"/>
      <c r="F67" s="2"/>
      <c r="G67" s="2"/>
      <c r="H67" s="2"/>
      <c r="I67" s="2"/>
      <c r="J67" s="2"/>
      <c r="K67" s="2"/>
      <c r="L67" s="2"/>
      <c r="M67" s="3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3">
      <c r="A68" s="2"/>
      <c r="B68" s="2"/>
      <c r="C68" s="3"/>
      <c r="D68" s="3"/>
      <c r="E68" s="3"/>
      <c r="F68" s="2"/>
      <c r="G68" s="2"/>
      <c r="H68" s="2"/>
      <c r="I68" s="2"/>
      <c r="J68" s="2"/>
      <c r="K68" s="2"/>
      <c r="L68" s="2"/>
      <c r="M68" s="3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x14ac:dyDescent="0.3">
      <c r="A69" s="2"/>
      <c r="B69" s="2"/>
      <c r="C69" s="3"/>
      <c r="D69" s="3"/>
      <c r="E69" s="3"/>
      <c r="F69" s="2"/>
      <c r="G69" s="2"/>
      <c r="H69" s="2"/>
      <c r="I69" s="2"/>
      <c r="J69" s="2"/>
      <c r="K69" s="2"/>
      <c r="L69" s="2"/>
      <c r="M69" s="3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x14ac:dyDescent="0.3">
      <c r="A70" s="2"/>
      <c r="B70" s="2"/>
      <c r="C70" s="3"/>
      <c r="D70" s="3"/>
      <c r="E70" s="3"/>
      <c r="F70" s="2"/>
      <c r="G70" s="2"/>
      <c r="H70" s="2"/>
      <c r="I70" s="2"/>
      <c r="J70" s="2"/>
      <c r="K70" s="2"/>
      <c r="L70" s="2"/>
      <c r="M70" s="3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x14ac:dyDescent="0.3">
      <c r="A71" s="2"/>
      <c r="B71" s="2"/>
      <c r="C71" s="3"/>
      <c r="D71" s="3"/>
      <c r="E71" s="3"/>
      <c r="F71" s="2"/>
      <c r="G71" s="2"/>
      <c r="H71" s="2"/>
      <c r="I71" s="2"/>
      <c r="J71" s="2"/>
      <c r="K71" s="2"/>
      <c r="L71" s="2"/>
      <c r="M71" s="3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3">
      <c r="A72" s="2"/>
      <c r="B72" s="2"/>
      <c r="C72" s="3"/>
      <c r="D72" s="3"/>
      <c r="E72" s="3"/>
      <c r="F72" s="2"/>
      <c r="G72" s="2"/>
      <c r="H72" s="2"/>
      <c r="I72" s="2"/>
      <c r="J72" s="2"/>
      <c r="K72" s="2"/>
      <c r="L72" s="2"/>
      <c r="M72" s="3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x14ac:dyDescent="0.3">
      <c r="A73" s="2"/>
      <c r="B73" s="2"/>
      <c r="C73" s="3"/>
      <c r="D73" s="3"/>
      <c r="E73" s="3"/>
      <c r="F73" s="2"/>
      <c r="G73" s="2"/>
      <c r="H73" s="2"/>
      <c r="I73" s="2"/>
      <c r="J73" s="2"/>
      <c r="K73" s="2"/>
      <c r="L73" s="2"/>
      <c r="M73" s="3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3">
      <c r="A74" s="2"/>
      <c r="B74" s="2"/>
      <c r="C74" s="3"/>
      <c r="D74" s="3"/>
      <c r="E74" s="3"/>
      <c r="F74" s="2"/>
      <c r="G74" s="2"/>
      <c r="H74" s="2"/>
      <c r="I74" s="2"/>
      <c r="J74" s="2"/>
      <c r="K74" s="2"/>
      <c r="L74" s="2"/>
      <c r="M74" s="3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x14ac:dyDescent="0.3">
      <c r="A75" s="2"/>
      <c r="B75" s="2"/>
      <c r="C75" s="3"/>
      <c r="D75" s="3"/>
      <c r="E75" s="3"/>
      <c r="F75" s="2"/>
      <c r="G75" s="2"/>
      <c r="H75" s="2"/>
      <c r="I75" s="2"/>
      <c r="J75" s="2"/>
      <c r="K75" s="2"/>
      <c r="L75" s="2"/>
      <c r="M75" s="3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3">
      <c r="A76" s="2"/>
      <c r="B76" s="2"/>
      <c r="C76" s="3"/>
      <c r="D76" s="3"/>
      <c r="E76" s="3"/>
      <c r="F76" s="2"/>
      <c r="G76" s="2"/>
      <c r="H76" s="2"/>
      <c r="I76" s="2"/>
      <c r="J76" s="2"/>
      <c r="K76" s="2"/>
      <c r="L76" s="2"/>
      <c r="M76" s="3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3">
      <c r="A77" s="2"/>
      <c r="B77" s="2"/>
      <c r="C77" s="3"/>
      <c r="D77" s="3"/>
      <c r="E77" s="3"/>
      <c r="F77" s="2"/>
      <c r="G77" s="2"/>
      <c r="H77" s="2"/>
      <c r="I77" s="2"/>
      <c r="J77" s="2"/>
      <c r="K77" s="2"/>
      <c r="L77" s="2"/>
      <c r="M77" s="3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x14ac:dyDescent="0.3">
      <c r="A78" s="2"/>
      <c r="B78" s="2"/>
      <c r="C78" s="3"/>
      <c r="D78" s="3"/>
      <c r="E78" s="3"/>
      <c r="F78" s="2"/>
      <c r="G78" s="2"/>
      <c r="H78" s="2"/>
      <c r="I78" s="2"/>
      <c r="J78" s="2"/>
      <c r="K78" s="2"/>
      <c r="L78" s="2"/>
      <c r="M78" s="3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3">
      <c r="A79" s="2"/>
      <c r="B79" s="2"/>
      <c r="C79" s="3"/>
      <c r="D79" s="3"/>
      <c r="E79" s="3"/>
      <c r="F79" s="2"/>
      <c r="G79" s="2"/>
      <c r="H79" s="2"/>
      <c r="I79" s="2"/>
      <c r="J79" s="2"/>
      <c r="K79" s="2"/>
      <c r="L79" s="2"/>
      <c r="M79" s="3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x14ac:dyDescent="0.3">
      <c r="A80" s="2"/>
      <c r="B80" s="2"/>
      <c r="C80" s="3"/>
      <c r="D80" s="3"/>
      <c r="E80" s="3"/>
      <c r="F80" s="2"/>
      <c r="G80" s="2"/>
      <c r="H80" s="2"/>
      <c r="I80" s="2"/>
      <c r="J80" s="2"/>
      <c r="K80" s="2"/>
      <c r="L80" s="2"/>
      <c r="M80" s="3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x14ac:dyDescent="0.3">
      <c r="A81" s="2"/>
      <c r="B81" s="2"/>
      <c r="C81" s="3"/>
      <c r="D81" s="3"/>
      <c r="E81" s="3"/>
      <c r="F81" s="2"/>
      <c r="G81" s="2"/>
      <c r="H81" s="2"/>
      <c r="I81" s="2"/>
      <c r="J81" s="2"/>
      <c r="K81" s="2"/>
      <c r="L81" s="2"/>
      <c r="M81" s="3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3">
      <c r="A82" s="2"/>
      <c r="B82" s="2"/>
      <c r="C82" s="3"/>
      <c r="D82" s="3"/>
      <c r="E82" s="3"/>
      <c r="F82" s="2"/>
      <c r="G82" s="2"/>
      <c r="H82" s="2"/>
      <c r="I82" s="2"/>
      <c r="J82" s="2"/>
      <c r="K82" s="2"/>
      <c r="L82" s="2"/>
      <c r="M82" s="3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3">
      <c r="A83" s="2"/>
      <c r="B83" s="2"/>
      <c r="C83" s="3"/>
      <c r="D83" s="3"/>
      <c r="E83" s="3"/>
      <c r="F83" s="2"/>
      <c r="G83" s="2"/>
      <c r="H83" s="2"/>
      <c r="I83" s="2"/>
      <c r="J83" s="2"/>
      <c r="K83" s="2"/>
      <c r="L83" s="2"/>
      <c r="M83" s="3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x14ac:dyDescent="0.3">
      <c r="A84" s="2"/>
      <c r="B84" s="2"/>
      <c r="C84" s="3"/>
      <c r="D84" s="3"/>
      <c r="E84" s="3"/>
      <c r="F84" s="2"/>
      <c r="G84" s="2"/>
      <c r="H84" s="2"/>
      <c r="I84" s="2"/>
      <c r="J84" s="2"/>
      <c r="K84" s="2"/>
      <c r="L84" s="2"/>
      <c r="M84" s="3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3">
      <c r="A85" s="2"/>
      <c r="B85" s="2"/>
      <c r="C85" s="3"/>
      <c r="D85" s="3"/>
      <c r="E85" s="3"/>
      <c r="F85" s="2"/>
      <c r="G85" s="2"/>
      <c r="H85" s="2"/>
      <c r="I85" s="2"/>
      <c r="J85" s="2"/>
      <c r="K85" s="2"/>
      <c r="L85" s="2"/>
      <c r="M85" s="3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x14ac:dyDescent="0.3">
      <c r="A86" s="2"/>
      <c r="B86" s="2"/>
      <c r="C86" s="3"/>
      <c r="D86" s="3"/>
      <c r="E86" s="3"/>
      <c r="F86" s="2"/>
      <c r="G86" s="2"/>
      <c r="H86" s="2"/>
      <c r="I86" s="2"/>
      <c r="J86" s="2"/>
      <c r="K86" s="2"/>
      <c r="L86" s="2"/>
      <c r="M86" s="3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3">
      <c r="A87" s="2"/>
      <c r="B87" s="2"/>
      <c r="C87" s="3"/>
      <c r="D87" s="3"/>
      <c r="E87" s="3"/>
      <c r="F87" s="2"/>
      <c r="G87" s="2"/>
      <c r="H87" s="2"/>
      <c r="I87" s="2"/>
      <c r="J87" s="2"/>
      <c r="K87" s="2"/>
      <c r="L87" s="2"/>
      <c r="M87" s="3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x14ac:dyDescent="0.3">
      <c r="A88" s="2"/>
      <c r="B88" s="2"/>
      <c r="C88" s="3"/>
      <c r="D88" s="3"/>
      <c r="E88" s="3"/>
      <c r="F88" s="2"/>
      <c r="G88" s="2"/>
      <c r="H88" s="2"/>
      <c r="I88" s="2"/>
      <c r="J88" s="2"/>
      <c r="K88" s="2"/>
      <c r="L88" s="2"/>
      <c r="M88" s="3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x14ac:dyDescent="0.3">
      <c r="A89" s="2"/>
      <c r="B89" s="2"/>
      <c r="C89" s="3"/>
      <c r="D89" s="3"/>
      <c r="E89" s="3"/>
      <c r="F89" s="2"/>
      <c r="G89" s="2"/>
      <c r="H89" s="2"/>
      <c r="I89" s="2"/>
      <c r="J89" s="2"/>
      <c r="K89" s="2"/>
      <c r="L89" s="2"/>
      <c r="M89" s="3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3">
      <c r="A90" s="2"/>
      <c r="B90" s="2"/>
      <c r="C90" s="3"/>
      <c r="D90" s="3"/>
      <c r="E90" s="3"/>
      <c r="F90" s="2"/>
      <c r="G90" s="2"/>
      <c r="H90" s="2"/>
      <c r="I90" s="2"/>
      <c r="J90" s="2"/>
      <c r="K90" s="2"/>
      <c r="L90" s="2"/>
      <c r="M90" s="3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x14ac:dyDescent="0.3">
      <c r="A91" s="2"/>
      <c r="B91" s="2"/>
      <c r="C91" s="3"/>
      <c r="D91" s="3"/>
      <c r="E91" s="3"/>
      <c r="F91" s="2"/>
      <c r="G91" s="2"/>
      <c r="H91" s="2"/>
      <c r="I91" s="2"/>
      <c r="J91" s="2"/>
      <c r="K91" s="2"/>
      <c r="L91" s="2"/>
      <c r="M91" s="3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x14ac:dyDescent="0.3">
      <c r="A92" s="2"/>
      <c r="B92" s="2"/>
      <c r="C92" s="3"/>
      <c r="D92" s="3"/>
      <c r="E92" s="3"/>
      <c r="F92" s="2"/>
      <c r="G92" s="2"/>
      <c r="H92" s="2"/>
      <c r="I92" s="2"/>
      <c r="J92" s="2"/>
      <c r="K92" s="2"/>
      <c r="L92" s="2"/>
      <c r="M92" s="3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3">
      <c r="A93" s="2"/>
      <c r="B93" s="2"/>
      <c r="C93" s="3"/>
      <c r="D93" s="3"/>
      <c r="E93" s="3"/>
      <c r="F93" s="2"/>
      <c r="G93" s="2"/>
      <c r="H93" s="2"/>
      <c r="I93" s="2"/>
      <c r="J93" s="2"/>
      <c r="K93" s="2"/>
      <c r="L93" s="2"/>
      <c r="M93" s="3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3">
      <c r="A94" s="2"/>
      <c r="B94" s="2"/>
      <c r="C94" s="3"/>
      <c r="D94" s="3"/>
      <c r="E94" s="3"/>
      <c r="F94" s="2"/>
      <c r="G94" s="2"/>
      <c r="H94" s="2"/>
      <c r="I94" s="2"/>
      <c r="J94" s="2"/>
      <c r="K94" s="2"/>
      <c r="L94" s="2"/>
      <c r="M94" s="3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x14ac:dyDescent="0.3">
      <c r="A95" s="2"/>
      <c r="B95" s="2"/>
      <c r="C95" s="3"/>
      <c r="D95" s="3"/>
      <c r="E95" s="3"/>
      <c r="F95" s="2"/>
      <c r="G95" s="2"/>
      <c r="H95" s="2"/>
      <c r="I95" s="2"/>
      <c r="J95" s="2"/>
      <c r="K95" s="2"/>
      <c r="L95" s="2"/>
      <c r="M95" s="3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3">
      <c r="A96" s="2"/>
      <c r="B96" s="2"/>
      <c r="C96" s="3"/>
      <c r="D96" s="3"/>
      <c r="E96" s="3"/>
      <c r="F96" s="2"/>
      <c r="G96" s="2"/>
      <c r="H96" s="2"/>
      <c r="I96" s="2"/>
      <c r="J96" s="2"/>
      <c r="K96" s="2"/>
      <c r="L96" s="2"/>
      <c r="M96" s="3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3">
      <c r="A97" s="2"/>
      <c r="B97" s="2"/>
      <c r="C97" s="3"/>
      <c r="D97" s="3"/>
      <c r="E97" s="3"/>
      <c r="F97" s="2"/>
      <c r="G97" s="2"/>
      <c r="H97" s="2"/>
      <c r="I97" s="2"/>
      <c r="J97" s="2"/>
      <c r="K97" s="2"/>
      <c r="L97" s="2"/>
      <c r="M97" s="3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x14ac:dyDescent="0.3">
      <c r="A98" s="2"/>
      <c r="B98" s="2"/>
      <c r="C98" s="3"/>
      <c r="D98" s="3"/>
      <c r="E98" s="3"/>
      <c r="F98" s="2"/>
      <c r="G98" s="2"/>
      <c r="H98" s="2"/>
      <c r="I98" s="2"/>
      <c r="J98" s="2"/>
      <c r="K98" s="2"/>
      <c r="L98" s="2"/>
      <c r="M98" s="3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3">
      <c r="A99" s="2"/>
      <c r="B99" s="2"/>
      <c r="C99" s="3"/>
      <c r="D99" s="3"/>
      <c r="E99" s="3"/>
      <c r="F99" s="2"/>
      <c r="G99" s="2"/>
      <c r="H99" s="2"/>
      <c r="I99" s="2"/>
      <c r="J99" s="2"/>
      <c r="K99" s="2"/>
      <c r="L99" s="2"/>
      <c r="M99" s="3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3">
      <c r="A100" s="2"/>
      <c r="B100" s="2"/>
      <c r="C100" s="3"/>
      <c r="D100" s="3"/>
      <c r="E100" s="3"/>
      <c r="F100" s="2"/>
      <c r="G100" s="2"/>
      <c r="H100" s="2"/>
      <c r="I100" s="2"/>
      <c r="J100" s="2"/>
      <c r="K100" s="2"/>
      <c r="L100" s="2"/>
      <c r="M100" s="3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  <row r="101" spans="1:27" x14ac:dyDescent="0.3">
      <c r="A101" s="2"/>
      <c r="B101" s="2"/>
      <c r="C101" s="3"/>
      <c r="D101" s="3"/>
      <c r="E101" s="3"/>
      <c r="F101" s="2"/>
      <c r="G101" s="2"/>
      <c r="H101" s="2"/>
      <c r="I101" s="2"/>
      <c r="J101" s="2"/>
      <c r="K101" s="2"/>
      <c r="L101" s="2"/>
      <c r="M101" s="3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1:27" x14ac:dyDescent="0.3">
      <c r="A102" s="2"/>
      <c r="B102" s="2"/>
      <c r="C102" s="3"/>
      <c r="D102" s="3"/>
      <c r="E102" s="3"/>
      <c r="F102" s="2"/>
      <c r="G102" s="2"/>
      <c r="H102" s="2"/>
      <c r="I102" s="2"/>
      <c r="J102" s="2"/>
      <c r="K102" s="2"/>
      <c r="L102" s="2"/>
      <c r="M102" s="3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</row>
    <row r="103" spans="1:27" x14ac:dyDescent="0.3">
      <c r="A103" s="2"/>
      <c r="B103" s="2"/>
      <c r="C103" s="3"/>
      <c r="D103" s="3"/>
      <c r="E103" s="3"/>
      <c r="F103" s="2"/>
      <c r="G103" s="2"/>
      <c r="H103" s="2"/>
      <c r="I103" s="2"/>
      <c r="J103" s="2"/>
      <c r="K103" s="2"/>
      <c r="L103" s="2"/>
      <c r="M103" s="3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</row>
    <row r="104" spans="1:27" x14ac:dyDescent="0.3">
      <c r="A104" s="2"/>
      <c r="B104" s="2"/>
      <c r="C104" s="3"/>
      <c r="D104" s="3"/>
      <c r="E104" s="3"/>
      <c r="F104" s="2"/>
      <c r="G104" s="2"/>
      <c r="H104" s="2"/>
      <c r="I104" s="2"/>
      <c r="J104" s="2"/>
      <c r="K104" s="2"/>
      <c r="L104" s="2"/>
      <c r="M104" s="3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</row>
    <row r="105" spans="1:27" x14ac:dyDescent="0.3">
      <c r="A105" s="2"/>
      <c r="B105" s="2"/>
      <c r="C105" s="3"/>
      <c r="D105" s="3"/>
      <c r="E105" s="3"/>
      <c r="F105" s="2"/>
      <c r="G105" s="2"/>
      <c r="H105" s="2"/>
      <c r="I105" s="2"/>
      <c r="J105" s="2"/>
      <c r="K105" s="2"/>
      <c r="L105" s="2"/>
      <c r="M105" s="3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x14ac:dyDescent="0.3">
      <c r="A106" s="2"/>
      <c r="B106" s="2"/>
      <c r="C106" s="3"/>
      <c r="D106" s="3"/>
      <c r="E106" s="3"/>
      <c r="F106" s="2"/>
      <c r="G106" s="2"/>
      <c r="H106" s="2"/>
      <c r="I106" s="2"/>
      <c r="J106" s="2"/>
      <c r="K106" s="2"/>
      <c r="L106" s="2"/>
      <c r="M106" s="3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</row>
    <row r="107" spans="1:27" x14ac:dyDescent="0.3">
      <c r="A107" s="2"/>
      <c r="B107" s="2"/>
      <c r="C107" s="3"/>
      <c r="D107" s="3"/>
      <c r="E107" s="3"/>
      <c r="F107" s="2"/>
      <c r="G107" s="2"/>
      <c r="H107" s="2"/>
      <c r="I107" s="2"/>
      <c r="J107" s="2"/>
      <c r="K107" s="2"/>
      <c r="L107" s="2"/>
      <c r="M107" s="3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</row>
    <row r="108" spans="1:27" x14ac:dyDescent="0.3">
      <c r="A108" s="2"/>
      <c r="B108" s="2"/>
      <c r="C108" s="3"/>
      <c r="D108" s="3"/>
      <c r="E108" s="3"/>
      <c r="F108" s="2"/>
      <c r="G108" s="2"/>
      <c r="H108" s="2"/>
      <c r="I108" s="2"/>
      <c r="J108" s="2"/>
      <c r="K108" s="2"/>
      <c r="L108" s="2"/>
      <c r="M108" s="3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</row>
    <row r="109" spans="1:27" x14ac:dyDescent="0.3">
      <c r="A109" s="2"/>
      <c r="B109" s="2"/>
      <c r="C109" s="3"/>
      <c r="D109" s="3"/>
      <c r="E109" s="3"/>
      <c r="F109" s="2"/>
      <c r="G109" s="2"/>
      <c r="H109" s="2"/>
      <c r="I109" s="2"/>
      <c r="J109" s="2"/>
      <c r="K109" s="2"/>
      <c r="L109" s="2"/>
      <c r="M109" s="3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</row>
    <row r="110" spans="1:27" x14ac:dyDescent="0.3">
      <c r="A110" s="2"/>
      <c r="B110" s="2"/>
      <c r="C110" s="3"/>
      <c r="D110" s="3"/>
      <c r="E110" s="3"/>
      <c r="F110" s="2"/>
      <c r="G110" s="2"/>
      <c r="H110" s="2"/>
      <c r="I110" s="2"/>
      <c r="J110" s="2"/>
      <c r="K110" s="2"/>
      <c r="L110" s="2"/>
      <c r="M110" s="3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</row>
    <row r="111" spans="1:27" x14ac:dyDescent="0.3">
      <c r="A111" s="2"/>
      <c r="B111" s="2"/>
      <c r="C111" s="3"/>
      <c r="D111" s="3"/>
      <c r="E111" s="3"/>
      <c r="F111" s="2"/>
      <c r="G111" s="2"/>
      <c r="H111" s="2"/>
      <c r="I111" s="2"/>
      <c r="J111" s="2"/>
      <c r="K111" s="2"/>
      <c r="L111" s="2"/>
      <c r="M111" s="3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x14ac:dyDescent="0.3">
      <c r="A112" s="2"/>
      <c r="B112" s="2"/>
      <c r="C112" s="3"/>
      <c r="D112" s="3"/>
      <c r="E112" s="3"/>
      <c r="F112" s="2"/>
      <c r="G112" s="2"/>
      <c r="H112" s="2"/>
      <c r="I112" s="2"/>
      <c r="J112" s="2"/>
      <c r="K112" s="2"/>
      <c r="L112" s="2"/>
      <c r="M112" s="3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</row>
    <row r="113" spans="1:27" x14ac:dyDescent="0.3">
      <c r="A113" s="2"/>
      <c r="B113" s="2"/>
      <c r="C113" s="3"/>
      <c r="D113" s="3"/>
      <c r="E113" s="3"/>
      <c r="F113" s="2"/>
      <c r="G113" s="2"/>
      <c r="H113" s="2"/>
      <c r="I113" s="2"/>
      <c r="J113" s="2"/>
      <c r="K113" s="2"/>
      <c r="L113" s="2"/>
      <c r="M113" s="3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</row>
    <row r="114" spans="1:27" x14ac:dyDescent="0.3">
      <c r="A114" s="2"/>
      <c r="B114" s="2"/>
      <c r="C114" s="3"/>
      <c r="D114" s="3"/>
      <c r="E114" s="3"/>
      <c r="F114" s="2"/>
      <c r="G114" s="2"/>
      <c r="H114" s="2"/>
      <c r="I114" s="2"/>
      <c r="J114" s="2"/>
      <c r="K114" s="2"/>
      <c r="L114" s="2"/>
      <c r="M114" s="3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</row>
    <row r="115" spans="1:27" x14ac:dyDescent="0.3">
      <c r="A115" s="2"/>
      <c r="B115" s="2"/>
      <c r="C115" s="3"/>
      <c r="D115" s="3"/>
      <c r="E115" s="3"/>
      <c r="F115" s="2"/>
      <c r="G115" s="2"/>
      <c r="H115" s="2"/>
      <c r="I115" s="2"/>
      <c r="J115" s="2"/>
      <c r="K115" s="2"/>
      <c r="L115" s="2"/>
      <c r="M115" s="3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x14ac:dyDescent="0.3">
      <c r="A116" s="2"/>
      <c r="B116" s="2"/>
      <c r="C116" s="3"/>
      <c r="D116" s="3"/>
      <c r="E116" s="3"/>
      <c r="F116" s="2"/>
      <c r="G116" s="2"/>
      <c r="H116" s="2"/>
      <c r="I116" s="2"/>
      <c r="J116" s="2"/>
      <c r="K116" s="2"/>
      <c r="L116" s="2"/>
      <c r="M116" s="3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</row>
    <row r="117" spans="1:27" x14ac:dyDescent="0.3">
      <c r="A117" s="2"/>
      <c r="B117" s="2"/>
      <c r="C117" s="3"/>
      <c r="D117" s="3"/>
      <c r="E117" s="3"/>
      <c r="F117" s="2"/>
      <c r="G117" s="2"/>
      <c r="H117" s="2"/>
      <c r="I117" s="2"/>
      <c r="J117" s="2"/>
      <c r="K117" s="2"/>
      <c r="L117" s="2"/>
      <c r="M117" s="3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</row>
    <row r="118" spans="1:27" x14ac:dyDescent="0.3">
      <c r="A118" s="2"/>
      <c r="B118" s="2"/>
      <c r="C118" s="3"/>
      <c r="D118" s="3"/>
      <c r="E118" s="3"/>
      <c r="F118" s="2"/>
      <c r="G118" s="2"/>
      <c r="H118" s="2"/>
      <c r="I118" s="2"/>
      <c r="J118" s="2"/>
      <c r="K118" s="2"/>
      <c r="L118" s="2"/>
      <c r="M118" s="3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</row>
    <row r="119" spans="1:27" x14ac:dyDescent="0.3">
      <c r="A119" s="2"/>
      <c r="B119" s="2"/>
      <c r="C119" s="3"/>
      <c r="D119" s="3"/>
      <c r="E119" s="3"/>
      <c r="F119" s="2"/>
      <c r="G119" s="2"/>
      <c r="H119" s="2"/>
      <c r="I119" s="2"/>
      <c r="J119" s="2"/>
      <c r="K119" s="2"/>
      <c r="L119" s="2"/>
      <c r="M119" s="3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</row>
    <row r="120" spans="1:27" x14ac:dyDescent="0.3">
      <c r="A120" s="2"/>
      <c r="B120" s="2"/>
      <c r="C120" s="3"/>
      <c r="D120" s="3"/>
      <c r="E120" s="3"/>
      <c r="F120" s="2"/>
      <c r="G120" s="2"/>
      <c r="H120" s="2"/>
      <c r="I120" s="2"/>
      <c r="J120" s="2"/>
      <c r="K120" s="2"/>
      <c r="L120" s="2"/>
      <c r="M120" s="3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x14ac:dyDescent="0.3">
      <c r="A121" s="2"/>
      <c r="B121" s="2"/>
      <c r="C121" s="3"/>
      <c r="D121" s="3"/>
      <c r="E121" s="3"/>
      <c r="F121" s="2"/>
      <c r="G121" s="2"/>
      <c r="H121" s="2"/>
      <c r="I121" s="2"/>
      <c r="J121" s="2"/>
      <c r="K121" s="2"/>
      <c r="L121" s="2"/>
      <c r="M121" s="3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</row>
    <row r="122" spans="1:27" x14ac:dyDescent="0.3">
      <c r="A122" s="2"/>
      <c r="B122" s="2"/>
      <c r="C122" s="3"/>
      <c r="D122" s="3"/>
      <c r="E122" s="3"/>
      <c r="F122" s="2"/>
      <c r="G122" s="2"/>
      <c r="H122" s="2"/>
      <c r="I122" s="2"/>
      <c r="J122" s="2"/>
      <c r="K122" s="2"/>
      <c r="L122" s="2"/>
      <c r="M122" s="3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</row>
    <row r="123" spans="1:27" x14ac:dyDescent="0.3">
      <c r="A123" s="2"/>
      <c r="B123" s="2"/>
      <c r="C123" s="3"/>
      <c r="D123" s="3"/>
      <c r="E123" s="3"/>
      <c r="F123" s="2"/>
      <c r="G123" s="2"/>
      <c r="H123" s="2"/>
      <c r="I123" s="2"/>
      <c r="J123" s="2"/>
      <c r="K123" s="2"/>
      <c r="L123" s="2"/>
      <c r="M123" s="3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</row>
    <row r="124" spans="1:27" x14ac:dyDescent="0.3">
      <c r="A124" s="2"/>
      <c r="B124" s="2"/>
      <c r="C124" s="3"/>
      <c r="D124" s="3"/>
      <c r="E124" s="3"/>
      <c r="F124" s="2"/>
      <c r="G124" s="2"/>
      <c r="H124" s="2"/>
      <c r="I124" s="2"/>
      <c r="J124" s="2"/>
      <c r="K124" s="2"/>
      <c r="L124" s="2"/>
      <c r="M124" s="3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</row>
    <row r="125" spans="1:27" x14ac:dyDescent="0.3">
      <c r="A125" s="2"/>
      <c r="B125" s="2"/>
      <c r="C125" s="3"/>
      <c r="D125" s="3"/>
      <c r="E125" s="3"/>
      <c r="F125" s="2"/>
      <c r="G125" s="2"/>
      <c r="H125" s="2"/>
      <c r="I125" s="2"/>
      <c r="J125" s="2"/>
      <c r="K125" s="2"/>
      <c r="L125" s="2"/>
      <c r="M125" s="3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x14ac:dyDescent="0.3">
      <c r="A126" s="2"/>
      <c r="B126" s="2"/>
      <c r="C126" s="3"/>
      <c r="D126" s="3"/>
      <c r="E126" s="3"/>
      <c r="F126" s="2"/>
      <c r="G126" s="2"/>
      <c r="H126" s="2"/>
      <c r="I126" s="2"/>
      <c r="J126" s="2"/>
      <c r="K126" s="2"/>
      <c r="L126" s="2"/>
      <c r="M126" s="3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</row>
    <row r="127" spans="1:27" x14ac:dyDescent="0.3">
      <c r="A127" s="2"/>
      <c r="B127" s="2"/>
      <c r="C127" s="3"/>
      <c r="D127" s="3"/>
      <c r="E127" s="3"/>
      <c r="F127" s="2"/>
      <c r="G127" s="2"/>
      <c r="H127" s="2"/>
      <c r="I127" s="2"/>
      <c r="J127" s="2"/>
      <c r="K127" s="2"/>
      <c r="L127" s="2"/>
      <c r="M127" s="3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</row>
    <row r="128" spans="1:27" x14ac:dyDescent="0.3">
      <c r="A128" s="2"/>
      <c r="B128" s="2"/>
      <c r="C128" s="3"/>
      <c r="D128" s="3"/>
      <c r="E128" s="3"/>
      <c r="F128" s="2"/>
      <c r="G128" s="2"/>
      <c r="H128" s="2"/>
      <c r="I128" s="2"/>
      <c r="J128" s="2"/>
      <c r="K128" s="2"/>
      <c r="L128" s="2"/>
      <c r="M128" s="3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</row>
    <row r="129" spans="1:27" x14ac:dyDescent="0.3">
      <c r="A129" s="2"/>
      <c r="B129" s="2"/>
      <c r="C129" s="3"/>
      <c r="D129" s="3"/>
      <c r="E129" s="3"/>
      <c r="F129" s="2"/>
      <c r="G129" s="2"/>
      <c r="H129" s="2"/>
      <c r="I129" s="2"/>
      <c r="J129" s="2"/>
      <c r="K129" s="2"/>
      <c r="L129" s="2"/>
      <c r="M129" s="3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x14ac:dyDescent="0.3">
      <c r="A130" s="2"/>
      <c r="B130" s="2"/>
      <c r="C130" s="3"/>
      <c r="D130" s="3"/>
      <c r="E130" s="3"/>
      <c r="F130" s="2"/>
      <c r="G130" s="2"/>
      <c r="H130" s="2"/>
      <c r="I130" s="2"/>
      <c r="J130" s="2"/>
      <c r="K130" s="2"/>
      <c r="L130" s="2"/>
      <c r="M130" s="3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</row>
    <row r="131" spans="1:27" x14ac:dyDescent="0.3">
      <c r="A131" s="2"/>
      <c r="B131" s="2"/>
      <c r="C131" s="3"/>
      <c r="D131" s="3"/>
      <c r="E131" s="3"/>
      <c r="F131" s="2"/>
      <c r="G131" s="2"/>
      <c r="H131" s="2"/>
      <c r="I131" s="2"/>
      <c r="J131" s="2"/>
      <c r="K131" s="2"/>
      <c r="L131" s="2"/>
      <c r="M131" s="3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</row>
    <row r="132" spans="1:27" x14ac:dyDescent="0.3">
      <c r="A132" s="2"/>
      <c r="B132" s="2"/>
      <c r="C132" s="3"/>
      <c r="D132" s="3"/>
      <c r="E132" s="3"/>
      <c r="F132" s="2"/>
      <c r="G132" s="2"/>
      <c r="H132" s="2"/>
      <c r="I132" s="2"/>
      <c r="J132" s="2"/>
      <c r="K132" s="2"/>
      <c r="L132" s="2"/>
      <c r="M132" s="3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</row>
    <row r="133" spans="1:27" x14ac:dyDescent="0.3">
      <c r="A133" s="2"/>
      <c r="B133" s="2"/>
      <c r="C133" s="3"/>
      <c r="D133" s="3"/>
      <c r="E133" s="3"/>
      <c r="F133" s="2"/>
      <c r="G133" s="2"/>
      <c r="H133" s="2"/>
      <c r="I133" s="2"/>
      <c r="J133" s="2"/>
      <c r="K133" s="2"/>
      <c r="L133" s="2"/>
      <c r="M133" s="3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</row>
    <row r="134" spans="1:27" x14ac:dyDescent="0.3">
      <c r="A134" s="2"/>
      <c r="B134" s="2"/>
      <c r="C134" s="3"/>
      <c r="D134" s="3"/>
      <c r="E134" s="3"/>
      <c r="F134" s="2"/>
      <c r="G134" s="2"/>
      <c r="H134" s="2"/>
      <c r="I134" s="2"/>
      <c r="J134" s="2"/>
      <c r="K134" s="2"/>
      <c r="L134" s="2"/>
      <c r="M134" s="3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x14ac:dyDescent="0.3">
      <c r="A135" s="2"/>
      <c r="B135" s="2"/>
      <c r="C135" s="3"/>
      <c r="D135" s="3"/>
      <c r="E135" s="3"/>
      <c r="F135" s="2"/>
      <c r="G135" s="2"/>
      <c r="H135" s="2"/>
      <c r="I135" s="2"/>
      <c r="J135" s="2"/>
      <c r="K135" s="2"/>
      <c r="L135" s="2"/>
      <c r="M135" s="3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</row>
    <row r="136" spans="1:27" x14ac:dyDescent="0.3">
      <c r="A136" s="2"/>
      <c r="B136" s="2"/>
      <c r="C136" s="3"/>
      <c r="D136" s="3"/>
      <c r="E136" s="3"/>
      <c r="F136" s="2"/>
      <c r="G136" s="2"/>
      <c r="H136" s="2"/>
      <c r="I136" s="2"/>
      <c r="J136" s="2"/>
      <c r="K136" s="2"/>
      <c r="L136" s="2"/>
      <c r="M136" s="3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</row>
    <row r="137" spans="1:27" x14ac:dyDescent="0.3">
      <c r="A137" s="2"/>
      <c r="B137" s="2"/>
      <c r="C137" s="3"/>
      <c r="D137" s="3"/>
      <c r="E137" s="3"/>
      <c r="F137" s="2"/>
      <c r="G137" s="2"/>
      <c r="H137" s="2"/>
      <c r="I137" s="2"/>
      <c r="J137" s="2"/>
      <c r="K137" s="2"/>
      <c r="L137" s="2"/>
      <c r="M137" s="3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</row>
    <row r="138" spans="1:27" x14ac:dyDescent="0.3">
      <c r="A138" s="2"/>
      <c r="B138" s="2"/>
      <c r="C138" s="3"/>
      <c r="D138" s="3"/>
      <c r="E138" s="3"/>
      <c r="F138" s="2"/>
      <c r="G138" s="2"/>
      <c r="H138" s="2"/>
      <c r="I138" s="2"/>
      <c r="J138" s="2"/>
      <c r="K138" s="2"/>
      <c r="L138" s="2"/>
      <c r="M138" s="3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</row>
    <row r="139" spans="1:27" x14ac:dyDescent="0.3">
      <c r="A139" s="2"/>
      <c r="B139" s="2"/>
      <c r="C139" s="3"/>
      <c r="D139" s="3"/>
      <c r="E139" s="3"/>
      <c r="F139" s="2"/>
      <c r="G139" s="2"/>
      <c r="H139" s="2"/>
      <c r="I139" s="2"/>
      <c r="J139" s="2"/>
      <c r="K139" s="2"/>
      <c r="L139" s="2"/>
      <c r="M139" s="3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</row>
    <row r="140" spans="1:27" x14ac:dyDescent="0.3">
      <c r="A140" s="2"/>
      <c r="B140" s="2"/>
      <c r="C140" s="3"/>
      <c r="D140" s="3"/>
      <c r="E140" s="3"/>
      <c r="F140" s="2"/>
      <c r="G140" s="2"/>
      <c r="H140" s="2"/>
      <c r="I140" s="2"/>
      <c r="J140" s="2"/>
      <c r="K140" s="2"/>
      <c r="L140" s="2"/>
      <c r="M140" s="3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x14ac:dyDescent="0.3">
      <c r="A141" s="2"/>
      <c r="B141" s="2"/>
      <c r="C141" s="3"/>
      <c r="D141" s="3"/>
      <c r="E141" s="3"/>
      <c r="F141" s="2"/>
      <c r="G141" s="2"/>
      <c r="H141" s="2"/>
      <c r="I141" s="2"/>
      <c r="J141" s="2"/>
      <c r="K141" s="2"/>
      <c r="L141" s="2"/>
      <c r="M141" s="3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</row>
    <row r="142" spans="1:27" x14ac:dyDescent="0.3">
      <c r="A142" s="2"/>
      <c r="B142" s="2"/>
      <c r="C142" s="3"/>
      <c r="D142" s="3"/>
      <c r="E142" s="3"/>
      <c r="F142" s="2"/>
      <c r="G142" s="2"/>
      <c r="H142" s="2"/>
      <c r="I142" s="2"/>
      <c r="J142" s="2"/>
      <c r="K142" s="2"/>
      <c r="L142" s="2"/>
      <c r="M142" s="3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</row>
    <row r="143" spans="1:27" x14ac:dyDescent="0.3">
      <c r="A143" s="2"/>
      <c r="B143" s="2"/>
      <c r="C143" s="3"/>
      <c r="D143" s="3"/>
      <c r="E143" s="3"/>
      <c r="F143" s="2"/>
      <c r="G143" s="2"/>
      <c r="H143" s="2"/>
      <c r="I143" s="2"/>
      <c r="J143" s="2"/>
      <c r="K143" s="2"/>
      <c r="L143" s="2"/>
      <c r="M143" s="3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</row>
    <row r="144" spans="1:27" x14ac:dyDescent="0.3">
      <c r="A144" s="2"/>
      <c r="B144" s="2"/>
      <c r="C144" s="3"/>
      <c r="D144" s="3"/>
      <c r="E144" s="3"/>
      <c r="F144" s="2"/>
      <c r="G144" s="2"/>
      <c r="H144" s="2"/>
      <c r="I144" s="2"/>
      <c r="J144" s="2"/>
      <c r="K144" s="2"/>
      <c r="L144" s="2"/>
      <c r="M144" s="3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</row>
    <row r="145" spans="1:27" x14ac:dyDescent="0.3">
      <c r="A145" s="2"/>
      <c r="B145" s="2"/>
      <c r="C145" s="3"/>
      <c r="D145" s="3"/>
      <c r="E145" s="3"/>
      <c r="F145" s="2"/>
      <c r="G145" s="2"/>
      <c r="H145" s="2"/>
      <c r="I145" s="2"/>
      <c r="J145" s="2"/>
      <c r="K145" s="2"/>
      <c r="L145" s="2"/>
      <c r="M145" s="3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</row>
    <row r="146" spans="1:27" x14ac:dyDescent="0.3">
      <c r="A146" s="2"/>
      <c r="B146" s="2"/>
      <c r="C146" s="3"/>
      <c r="D146" s="3"/>
      <c r="E146" s="3"/>
      <c r="F146" s="2"/>
      <c r="G146" s="2"/>
      <c r="H146" s="2"/>
      <c r="I146" s="2"/>
      <c r="J146" s="2"/>
      <c r="K146" s="2"/>
      <c r="L146" s="2"/>
      <c r="M146" s="3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x14ac:dyDescent="0.3">
      <c r="A147" s="2"/>
      <c r="B147" s="2"/>
      <c r="C147" s="3"/>
      <c r="D147" s="3"/>
      <c r="E147" s="3"/>
      <c r="F147" s="2"/>
      <c r="G147" s="2"/>
      <c r="H147" s="2"/>
      <c r="I147" s="2"/>
      <c r="J147" s="2"/>
      <c r="K147" s="2"/>
      <c r="L147" s="2"/>
      <c r="M147" s="3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</row>
    <row r="148" spans="1:27" x14ac:dyDescent="0.3">
      <c r="A148" s="2"/>
      <c r="B148" s="2"/>
      <c r="C148" s="3"/>
      <c r="D148" s="3"/>
      <c r="E148" s="3"/>
      <c r="F148" s="2"/>
      <c r="G148" s="2"/>
      <c r="H148" s="2"/>
      <c r="I148" s="2"/>
      <c r="J148" s="2"/>
      <c r="K148" s="2"/>
      <c r="L148" s="2"/>
      <c r="M148" s="3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</row>
    <row r="149" spans="1:27" x14ac:dyDescent="0.3">
      <c r="A149" s="2"/>
      <c r="B149" s="2"/>
      <c r="C149" s="3"/>
      <c r="D149" s="3"/>
      <c r="E149" s="3"/>
      <c r="F149" s="2"/>
      <c r="G149" s="2"/>
      <c r="H149" s="2"/>
      <c r="I149" s="2"/>
      <c r="J149" s="2"/>
      <c r="K149" s="2"/>
      <c r="L149" s="2"/>
      <c r="M149" s="3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</row>
    <row r="150" spans="1:27" x14ac:dyDescent="0.3">
      <c r="A150" s="2"/>
      <c r="B150" s="2"/>
      <c r="C150" s="3"/>
      <c r="D150" s="3"/>
      <c r="E150" s="3"/>
      <c r="F150" s="2"/>
      <c r="G150" s="2"/>
      <c r="H150" s="2"/>
      <c r="I150" s="2"/>
      <c r="J150" s="2"/>
      <c r="K150" s="2"/>
      <c r="L150" s="2"/>
      <c r="M150" s="3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x14ac:dyDescent="0.3">
      <c r="A151" s="2"/>
      <c r="B151" s="2"/>
      <c r="C151" s="3"/>
      <c r="D151" s="3"/>
      <c r="E151" s="3"/>
      <c r="F151" s="2"/>
      <c r="G151" s="2"/>
      <c r="H151" s="2"/>
      <c r="I151" s="2"/>
      <c r="J151" s="2"/>
      <c r="K151" s="2"/>
      <c r="L151" s="2"/>
      <c r="M151" s="3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</row>
    <row r="152" spans="1:27" x14ac:dyDescent="0.3">
      <c r="A152" s="2"/>
      <c r="B152" s="2"/>
      <c r="C152" s="3"/>
      <c r="D152" s="3"/>
      <c r="E152" s="3"/>
      <c r="F152" s="2"/>
      <c r="G152" s="2"/>
      <c r="H152" s="2"/>
      <c r="I152" s="2"/>
      <c r="J152" s="2"/>
      <c r="K152" s="2"/>
      <c r="L152" s="2"/>
      <c r="M152" s="3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</row>
    <row r="153" spans="1:27" x14ac:dyDescent="0.3">
      <c r="A153" s="2"/>
      <c r="B153" s="2"/>
      <c r="C153" s="3"/>
      <c r="D153" s="3"/>
      <c r="E153" s="3"/>
      <c r="F153" s="2"/>
      <c r="G153" s="2"/>
      <c r="H153" s="2"/>
      <c r="I153" s="2"/>
      <c r="J153" s="2"/>
      <c r="K153" s="2"/>
      <c r="L153" s="2"/>
      <c r="M153" s="3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x14ac:dyDescent="0.3">
      <c r="A154" s="2"/>
      <c r="B154" s="2"/>
      <c r="C154" s="3"/>
      <c r="D154" s="3"/>
      <c r="E154" s="3"/>
      <c r="F154" s="2"/>
      <c r="G154" s="2"/>
      <c r="H154" s="2"/>
      <c r="I154" s="2"/>
      <c r="J154" s="2"/>
      <c r="K154" s="2"/>
      <c r="L154" s="2"/>
      <c r="M154" s="3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</row>
    <row r="155" spans="1:27" x14ac:dyDescent="0.3">
      <c r="A155" s="2"/>
      <c r="B155" s="2"/>
      <c r="C155" s="3"/>
      <c r="D155" s="3"/>
      <c r="E155" s="3"/>
      <c r="F155" s="2"/>
      <c r="G155" s="2"/>
      <c r="H155" s="2"/>
      <c r="I155" s="2"/>
      <c r="J155" s="2"/>
      <c r="K155" s="2"/>
      <c r="L155" s="2"/>
      <c r="M155" s="3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</row>
    <row r="156" spans="1:27" x14ac:dyDescent="0.3">
      <c r="A156" s="2"/>
      <c r="B156" s="2"/>
      <c r="C156" s="3"/>
      <c r="D156" s="3"/>
      <c r="E156" s="3"/>
      <c r="F156" s="2"/>
      <c r="G156" s="2"/>
      <c r="H156" s="2"/>
      <c r="I156" s="2"/>
      <c r="J156" s="2"/>
      <c r="K156" s="2"/>
      <c r="L156" s="2"/>
      <c r="M156" s="3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</row>
    <row r="157" spans="1:27" x14ac:dyDescent="0.3">
      <c r="A157" s="2"/>
      <c r="B157" s="2"/>
      <c r="C157" s="3"/>
      <c r="D157" s="3"/>
      <c r="E157" s="3"/>
      <c r="F157" s="2"/>
      <c r="G157" s="2"/>
      <c r="H157" s="2"/>
      <c r="I157" s="2"/>
      <c r="J157" s="2"/>
      <c r="K157" s="2"/>
      <c r="L157" s="2"/>
      <c r="M157" s="3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</row>
    <row r="158" spans="1:27" x14ac:dyDescent="0.3">
      <c r="A158" s="2"/>
      <c r="B158" s="2"/>
      <c r="C158" s="3"/>
      <c r="D158" s="3"/>
      <c r="E158" s="3"/>
      <c r="F158" s="2"/>
      <c r="G158" s="2"/>
      <c r="H158" s="2"/>
      <c r="I158" s="2"/>
      <c r="J158" s="2"/>
      <c r="K158" s="2"/>
      <c r="L158" s="2"/>
      <c r="M158" s="3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</row>
    <row r="159" spans="1:27" x14ac:dyDescent="0.3">
      <c r="A159" s="2"/>
      <c r="B159" s="2"/>
      <c r="C159" s="3"/>
      <c r="D159" s="3"/>
      <c r="E159" s="3"/>
      <c r="F159" s="2"/>
      <c r="G159" s="2"/>
      <c r="H159" s="2"/>
      <c r="I159" s="2"/>
      <c r="J159" s="2"/>
      <c r="K159" s="2"/>
      <c r="L159" s="2"/>
      <c r="M159" s="3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</row>
    <row r="160" spans="1:27" x14ac:dyDescent="0.3">
      <c r="A160" s="2"/>
      <c r="B160" s="2"/>
      <c r="C160" s="3"/>
      <c r="D160" s="3"/>
      <c r="E160" s="3"/>
      <c r="F160" s="2"/>
      <c r="G160" s="2"/>
      <c r="H160" s="2"/>
      <c r="I160" s="2"/>
      <c r="J160" s="2"/>
      <c r="K160" s="2"/>
      <c r="L160" s="2"/>
      <c r="M160" s="3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</row>
    <row r="161" spans="1:27" x14ac:dyDescent="0.3">
      <c r="A161" s="2"/>
      <c r="B161" s="2"/>
      <c r="C161" s="3"/>
      <c r="D161" s="3"/>
      <c r="E161" s="3"/>
      <c r="F161" s="2"/>
      <c r="G161" s="2"/>
      <c r="H161" s="2"/>
      <c r="I161" s="2"/>
      <c r="J161" s="2"/>
      <c r="K161" s="2"/>
      <c r="L161" s="2"/>
      <c r="M161" s="3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</row>
    <row r="162" spans="1:27" x14ac:dyDescent="0.3">
      <c r="A162" s="2"/>
      <c r="B162" s="2"/>
      <c r="C162" s="3"/>
      <c r="D162" s="3"/>
      <c r="E162" s="3"/>
      <c r="F162" s="2"/>
      <c r="G162" s="2"/>
      <c r="H162" s="2"/>
      <c r="I162" s="2"/>
      <c r="J162" s="2"/>
      <c r="K162" s="2"/>
      <c r="L162" s="2"/>
      <c r="M162" s="3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</row>
    <row r="163" spans="1:27" x14ac:dyDescent="0.3">
      <c r="A163" s="2"/>
      <c r="B163" s="2"/>
      <c r="C163" s="3"/>
      <c r="D163" s="3"/>
      <c r="E163" s="3"/>
      <c r="F163" s="2"/>
      <c r="G163" s="2"/>
      <c r="H163" s="2"/>
      <c r="I163" s="2"/>
      <c r="J163" s="2"/>
      <c r="K163" s="2"/>
      <c r="L163" s="2"/>
      <c r="M163" s="3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</row>
    <row r="164" spans="1:27" x14ac:dyDescent="0.3">
      <c r="A164" s="2"/>
      <c r="B164" s="2"/>
      <c r="C164" s="3"/>
      <c r="D164" s="3"/>
      <c r="E164" s="3"/>
      <c r="F164" s="2"/>
      <c r="G164" s="2"/>
      <c r="H164" s="2"/>
      <c r="I164" s="2"/>
      <c r="J164" s="2"/>
      <c r="K164" s="2"/>
      <c r="L164" s="2"/>
      <c r="M164" s="3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</row>
  </sheetData>
  <sheetProtection selectLockedCells="1"/>
  <mergeCells count="12">
    <mergeCell ref="F23:L23"/>
    <mergeCell ref="D17:E17"/>
    <mergeCell ref="D18:E18"/>
    <mergeCell ref="D19:E19"/>
    <mergeCell ref="D20:E20"/>
    <mergeCell ref="D22:E22"/>
    <mergeCell ref="F21:L21"/>
    <mergeCell ref="F22:L22"/>
    <mergeCell ref="F17:L17"/>
    <mergeCell ref="F18:L18"/>
    <mergeCell ref="F19:L19"/>
    <mergeCell ref="F20:L20"/>
  </mergeCells>
  <conditionalFormatting sqref="C19">
    <cfRule type="expression" dxfId="171" priority="547">
      <formula>AND(C19&lt;&gt;"",C3&lt;&gt;1)</formula>
    </cfRule>
    <cfRule type="expression" dxfId="170" priority="550">
      <formula>EXACT(C3,1)</formula>
    </cfRule>
  </conditionalFormatting>
  <conditionalFormatting sqref="F19">
    <cfRule type="expression" dxfId="169" priority="463">
      <formula>AND(F19&lt;&gt;"",F19&lt;&gt;F20)</formula>
    </cfRule>
    <cfRule type="expression" dxfId="168" priority="464">
      <formula>EXACT(F19,F20)</formula>
    </cfRule>
  </conditionalFormatting>
  <conditionalFormatting sqref="C8">
    <cfRule type="expression" dxfId="167" priority="458">
      <formula>AND(C$3=1,C$19=C$20,C8=C$19)</formula>
    </cfRule>
  </conditionalFormatting>
  <conditionalFormatting sqref="C8">
    <cfRule type="expression" dxfId="166" priority="429">
      <formula>AND(C$3=1,C$19=C$20,C8=C$19)</formula>
    </cfRule>
  </conditionalFormatting>
  <conditionalFormatting sqref="F12">
    <cfRule type="expression" dxfId="165" priority="336">
      <formula>F12&lt;&gt;$F$20</formula>
    </cfRule>
    <cfRule type="expression" dxfId="164" priority="337">
      <formula>AND(F12=$F$19,$F$19=$F$20)</formula>
    </cfRule>
  </conditionalFormatting>
  <conditionalFormatting sqref="D19">
    <cfRule type="expression" dxfId="163" priority="268">
      <formula>AND(D19&lt;&gt;"",E3&lt;&gt;1)</formula>
    </cfRule>
    <cfRule type="expression" dxfId="162" priority="269">
      <formula>EXACT(E3,1)</formula>
    </cfRule>
  </conditionalFormatting>
  <conditionalFormatting sqref="M19">
    <cfRule type="expression" dxfId="161" priority="259">
      <formula>AND(M19&lt;&gt;"",M3&lt;&gt;1)</formula>
    </cfRule>
    <cfRule type="expression" dxfId="160" priority="260">
      <formula>EXACT(M3,1)</formula>
    </cfRule>
  </conditionalFormatting>
  <conditionalFormatting sqref="M8">
    <cfRule type="expression" dxfId="159" priority="258">
      <formula>AND(M$3=1,M$19=M$20,M8=M$19)</formula>
    </cfRule>
  </conditionalFormatting>
  <conditionalFormatting sqref="M10">
    <cfRule type="expression" dxfId="158" priority="256">
      <formula>AND(M$3=1,M$19=M$20,M10=M$19)</formula>
    </cfRule>
  </conditionalFormatting>
  <conditionalFormatting sqref="M11">
    <cfRule type="expression" dxfId="157" priority="255">
      <formula>AND(M$3=1,M$19=M$20,M11=M$19)</formula>
    </cfRule>
  </conditionalFormatting>
  <conditionalFormatting sqref="M12">
    <cfRule type="expression" dxfId="156" priority="254">
      <formula>AND(M$3=1,M$19=M$20,M12=M$19)</formula>
    </cfRule>
  </conditionalFormatting>
  <conditionalFormatting sqref="M12">
    <cfRule type="expression" dxfId="155" priority="252">
      <formula>AND(M$3=1,M$19=M$20,M12=M$19)</formula>
    </cfRule>
  </conditionalFormatting>
  <conditionalFormatting sqref="F12">
    <cfRule type="expression" dxfId="154" priority="245">
      <formula>AND(F12=$F$19,$F$19=$F$20)</formula>
    </cfRule>
  </conditionalFormatting>
  <conditionalFormatting sqref="P3">
    <cfRule type="expression" dxfId="153" priority="213">
      <formula>P3&lt;&gt;$F$20</formula>
    </cfRule>
    <cfRule type="expression" dxfId="152" priority="214">
      <formula>AND(P3=$F$19,$F$19=$F$20)</formula>
    </cfRule>
  </conditionalFormatting>
  <conditionalFormatting sqref="P3">
    <cfRule type="expression" dxfId="151" priority="215">
      <formula>AND(P3=$F$19,$F$19=$F$20)</formula>
    </cfRule>
  </conditionalFormatting>
  <conditionalFormatting sqref="H11">
    <cfRule type="expression" dxfId="150" priority="210">
      <formula>H11&lt;&gt;$F$20</formula>
    </cfRule>
    <cfRule type="expression" dxfId="149" priority="211">
      <formula>AND(H11=$F$19,$F$19=$F$20)</formula>
    </cfRule>
  </conditionalFormatting>
  <conditionalFormatting sqref="H11">
    <cfRule type="expression" dxfId="148" priority="212">
      <formula>AND(H11=$F$19,$F$19=$F$20)</formula>
    </cfRule>
  </conditionalFormatting>
  <conditionalFormatting sqref="I11">
    <cfRule type="expression" dxfId="147" priority="201">
      <formula>I11&lt;&gt;$F$20</formula>
    </cfRule>
    <cfRule type="expression" dxfId="146" priority="202">
      <formula>AND(I11=$F$19,$F$19=$F$20)</formula>
    </cfRule>
  </conditionalFormatting>
  <conditionalFormatting sqref="I11">
    <cfRule type="expression" dxfId="145" priority="203">
      <formula>AND(I11=$F$19,$F$19=$F$20)</formula>
    </cfRule>
  </conditionalFormatting>
  <conditionalFormatting sqref="J11">
    <cfRule type="expression" dxfId="144" priority="198">
      <formula>J11&lt;&gt;$F$20</formula>
    </cfRule>
    <cfRule type="expression" dxfId="143" priority="199">
      <formula>AND(J11=$F$19,$F$19=$F$20)</formula>
    </cfRule>
  </conditionalFormatting>
  <conditionalFormatting sqref="J11">
    <cfRule type="expression" dxfId="142" priority="200">
      <formula>AND(J11=$F$19,$F$19=$F$20)</formula>
    </cfRule>
  </conditionalFormatting>
  <conditionalFormatting sqref="K11">
    <cfRule type="expression" dxfId="141" priority="195">
      <formula>K11&lt;&gt;$F$20</formula>
    </cfRule>
    <cfRule type="expression" dxfId="140" priority="196">
      <formula>AND(K11=$F$19,$F$19=$F$20)</formula>
    </cfRule>
  </conditionalFormatting>
  <conditionalFormatting sqref="K11">
    <cfRule type="expression" dxfId="139" priority="197">
      <formula>AND(K11=$F$19,$F$19=$F$20)</formula>
    </cfRule>
  </conditionalFormatting>
  <conditionalFormatting sqref="L11">
    <cfRule type="expression" dxfId="138" priority="192">
      <formula>L11&lt;&gt;$F$20</formula>
    </cfRule>
    <cfRule type="expression" dxfId="137" priority="193">
      <formula>AND(L11=$F$19,$F$19=$F$20)</formula>
    </cfRule>
  </conditionalFormatting>
  <conditionalFormatting sqref="L11">
    <cfRule type="expression" dxfId="136" priority="194">
      <formula>AND(L11=$F$19,$F$19=$F$20)</formula>
    </cfRule>
  </conditionalFormatting>
  <conditionalFormatting sqref="G12">
    <cfRule type="expression" dxfId="135" priority="167">
      <formula>G12&lt;&gt;$F$20</formula>
    </cfRule>
    <cfRule type="expression" dxfId="134" priority="168">
      <formula>AND(G12=$F$19,$F$19=$F$20)</formula>
    </cfRule>
  </conditionalFormatting>
  <conditionalFormatting sqref="G12">
    <cfRule type="expression" dxfId="133" priority="166">
      <formula>AND(G12=$F$19,$F$19=$F$20)</formula>
    </cfRule>
  </conditionalFormatting>
  <conditionalFormatting sqref="H12">
    <cfRule type="expression" dxfId="132" priority="164">
      <formula>H12&lt;&gt;$F$20</formula>
    </cfRule>
    <cfRule type="expression" dxfId="131" priority="165">
      <formula>AND(H12=$F$19,$F$19=$F$20)</formula>
    </cfRule>
  </conditionalFormatting>
  <conditionalFormatting sqref="H12">
    <cfRule type="expression" dxfId="130" priority="163">
      <formula>AND(H12=$F$19,$F$19=$F$20)</formula>
    </cfRule>
  </conditionalFormatting>
  <conditionalFormatting sqref="I12">
    <cfRule type="expression" dxfId="129" priority="161">
      <formula>I12&lt;&gt;$F$20</formula>
    </cfRule>
    <cfRule type="expression" dxfId="128" priority="162">
      <formula>AND(I12=$F$19,$F$19=$F$20)</formula>
    </cfRule>
  </conditionalFormatting>
  <conditionalFormatting sqref="I12">
    <cfRule type="expression" dxfId="127" priority="160">
      <formula>AND(I12=$F$19,$F$19=$F$20)</formula>
    </cfRule>
  </conditionalFormatting>
  <conditionalFormatting sqref="J12">
    <cfRule type="expression" dxfId="126" priority="158">
      <formula>J12&lt;&gt;$F$20</formula>
    </cfRule>
    <cfRule type="expression" dxfId="125" priority="159">
      <formula>AND(J12=$F$19,$F$19=$F$20)</formula>
    </cfRule>
  </conditionalFormatting>
  <conditionalFormatting sqref="J12">
    <cfRule type="expression" dxfId="124" priority="157">
      <formula>AND(J12=$F$19,$F$19=$F$20)</formula>
    </cfRule>
  </conditionalFormatting>
  <conditionalFormatting sqref="K12">
    <cfRule type="expression" dxfId="123" priority="155">
      <formula>K12&lt;&gt;$F$20</formula>
    </cfRule>
    <cfRule type="expression" dxfId="122" priority="156">
      <formula>AND(K12=$F$19,$F$19=$F$20)</formula>
    </cfRule>
  </conditionalFormatting>
  <conditionalFormatting sqref="K12">
    <cfRule type="expression" dxfId="121" priority="154">
      <formula>AND(K12=$F$19,$F$19=$F$20)</formula>
    </cfRule>
  </conditionalFormatting>
  <conditionalFormatting sqref="L12">
    <cfRule type="expression" dxfId="120" priority="152">
      <formula>L12&lt;&gt;$F$20</formula>
    </cfRule>
    <cfRule type="expression" dxfId="119" priority="153">
      <formula>AND(L12=$F$19,$F$19=$F$20)</formula>
    </cfRule>
  </conditionalFormatting>
  <conditionalFormatting sqref="L12">
    <cfRule type="expression" dxfId="118" priority="151">
      <formula>AND(L12=$F$19,$F$19=$F$20)</formula>
    </cfRule>
  </conditionalFormatting>
  <conditionalFormatting sqref="F13">
    <cfRule type="expression" dxfId="117" priority="149">
      <formula>F13&lt;&gt;$F$20</formula>
    </cfRule>
    <cfRule type="expression" dxfId="116" priority="150">
      <formula>AND(F13=$F$19,$F$19=$F$20)</formula>
    </cfRule>
  </conditionalFormatting>
  <conditionalFormatting sqref="F13">
    <cfRule type="expression" dxfId="115" priority="148">
      <formula>AND(F13=$F$19,$F$19=$F$20)</formula>
    </cfRule>
  </conditionalFormatting>
  <conditionalFormatting sqref="G13">
    <cfRule type="expression" dxfId="114" priority="146">
      <formula>G13&lt;&gt;$F$20</formula>
    </cfRule>
    <cfRule type="expression" dxfId="113" priority="147">
      <formula>AND(G13=$F$19,$F$19=$F$20)</formula>
    </cfRule>
  </conditionalFormatting>
  <conditionalFormatting sqref="G13">
    <cfRule type="expression" dxfId="112" priority="145">
      <formula>AND(G13=$F$19,$F$19=$F$20)</formula>
    </cfRule>
  </conditionalFormatting>
  <conditionalFormatting sqref="H13">
    <cfRule type="expression" dxfId="111" priority="143">
      <formula>H13&lt;&gt;$F$20</formula>
    </cfRule>
    <cfRule type="expression" dxfId="110" priority="144">
      <formula>AND(H13=$F$19,$F$19=$F$20)</formula>
    </cfRule>
  </conditionalFormatting>
  <conditionalFormatting sqref="H13">
    <cfRule type="expression" dxfId="109" priority="142">
      <formula>AND(H13=$F$19,$F$19=$F$20)</formula>
    </cfRule>
  </conditionalFormatting>
  <conditionalFormatting sqref="I13">
    <cfRule type="expression" dxfId="108" priority="140">
      <formula>I13&lt;&gt;$F$20</formula>
    </cfRule>
    <cfRule type="expression" dxfId="107" priority="141">
      <formula>AND(I13=$F$19,$F$19=$F$20)</formula>
    </cfRule>
  </conditionalFormatting>
  <conditionalFormatting sqref="I13">
    <cfRule type="expression" dxfId="106" priority="139">
      <formula>AND(I13=$F$19,$F$19=$F$20)</formula>
    </cfRule>
  </conditionalFormatting>
  <conditionalFormatting sqref="J13">
    <cfRule type="expression" dxfId="105" priority="137">
      <formula>J13&lt;&gt;$F$20</formula>
    </cfRule>
    <cfRule type="expression" dxfId="104" priority="138">
      <formula>AND(J13=$F$19,$F$19=$F$20)</formula>
    </cfRule>
  </conditionalFormatting>
  <conditionalFormatting sqref="J13">
    <cfRule type="expression" dxfId="103" priority="136">
      <formula>AND(J13=$F$19,$F$19=$F$20)</formula>
    </cfRule>
  </conditionalFormatting>
  <conditionalFormatting sqref="K13">
    <cfRule type="expression" dxfId="102" priority="134">
      <formula>K13&lt;&gt;$F$20</formula>
    </cfRule>
    <cfRule type="expression" dxfId="101" priority="135">
      <formula>AND(K13=$F$19,$F$19=$F$20)</formula>
    </cfRule>
  </conditionalFormatting>
  <conditionalFormatting sqref="K13">
    <cfRule type="expression" dxfId="100" priority="133">
      <formula>AND(K13=$F$19,$F$19=$F$20)</formula>
    </cfRule>
  </conditionalFormatting>
  <conditionalFormatting sqref="L13">
    <cfRule type="expression" dxfId="99" priority="131">
      <formula>L13&lt;&gt;$F$20</formula>
    </cfRule>
    <cfRule type="expression" dxfId="98" priority="132">
      <formula>AND(L13=$F$19,$F$19=$F$20)</formula>
    </cfRule>
  </conditionalFormatting>
  <conditionalFormatting sqref="L13">
    <cfRule type="expression" dxfId="97" priority="130">
      <formula>AND(L13=$F$19,$F$19=$F$20)</formula>
    </cfRule>
  </conditionalFormatting>
  <conditionalFormatting sqref="F14">
    <cfRule type="expression" dxfId="96" priority="128">
      <formula>F14&lt;&gt;$F$20</formula>
    </cfRule>
    <cfRule type="expression" dxfId="95" priority="129">
      <formula>AND(F14=$F$19,$F$19=$F$20)</formula>
    </cfRule>
  </conditionalFormatting>
  <conditionalFormatting sqref="F14">
    <cfRule type="expression" dxfId="94" priority="127">
      <formula>AND(F14=$F$19,$F$19=$F$20)</formula>
    </cfRule>
  </conditionalFormatting>
  <conditionalFormatting sqref="G14">
    <cfRule type="expression" dxfId="93" priority="125">
      <formula>G14&lt;&gt;$F$20</formula>
    </cfRule>
    <cfRule type="expression" dxfId="92" priority="126">
      <formula>AND(G14=$F$19,$F$19=$F$20)</formula>
    </cfRule>
  </conditionalFormatting>
  <conditionalFormatting sqref="G14">
    <cfRule type="expression" dxfId="91" priority="124">
      <formula>AND(G14=$F$19,$F$19=$F$20)</formula>
    </cfRule>
  </conditionalFormatting>
  <conditionalFormatting sqref="H14">
    <cfRule type="expression" dxfId="90" priority="122">
      <formula>H14&lt;&gt;$F$20</formula>
    </cfRule>
    <cfRule type="expression" dxfId="89" priority="123">
      <formula>AND(H14=$F$19,$F$19=$F$20)</formula>
    </cfRule>
  </conditionalFormatting>
  <conditionalFormatting sqref="H14">
    <cfRule type="expression" dxfId="88" priority="121">
      <formula>AND(H14=$F$19,$F$19=$F$20)</formula>
    </cfRule>
  </conditionalFormatting>
  <conditionalFormatting sqref="I14">
    <cfRule type="expression" dxfId="87" priority="119">
      <formula>I14&lt;&gt;$F$20</formula>
    </cfRule>
    <cfRule type="expression" dxfId="86" priority="120">
      <formula>AND(I14=$F$19,$F$19=$F$20)</formula>
    </cfRule>
  </conditionalFormatting>
  <conditionalFormatting sqref="I14">
    <cfRule type="expression" dxfId="85" priority="118">
      <formula>AND(I14=$F$19,$F$19=$F$20)</formula>
    </cfRule>
  </conditionalFormatting>
  <conditionalFormatting sqref="J14">
    <cfRule type="expression" dxfId="84" priority="116">
      <formula>J14&lt;&gt;$F$20</formula>
    </cfRule>
    <cfRule type="expression" dxfId="83" priority="117">
      <formula>AND(J14=$F$19,$F$19=$F$20)</formula>
    </cfRule>
  </conditionalFormatting>
  <conditionalFormatting sqref="J14">
    <cfRule type="expression" dxfId="82" priority="115">
      <formula>AND(J14=$F$19,$F$19=$F$20)</formula>
    </cfRule>
  </conditionalFormatting>
  <conditionalFormatting sqref="K14">
    <cfRule type="expression" dxfId="81" priority="113">
      <formula>K14&lt;&gt;$F$20</formula>
    </cfRule>
    <cfRule type="expression" dxfId="80" priority="114">
      <formula>AND(K14=$F$19,$F$19=$F$20)</formula>
    </cfRule>
  </conditionalFormatting>
  <conditionalFormatting sqref="K14">
    <cfRule type="expression" dxfId="79" priority="112">
      <formula>AND(K14=$F$19,$F$19=$F$20)</formula>
    </cfRule>
  </conditionalFormatting>
  <conditionalFormatting sqref="L14">
    <cfRule type="expression" dxfId="78" priority="110">
      <formula>L14&lt;&gt;$F$20</formula>
    </cfRule>
    <cfRule type="expression" dxfId="77" priority="111">
      <formula>AND(L14=$F$19,$F$19=$F$20)</formula>
    </cfRule>
  </conditionalFormatting>
  <conditionalFormatting sqref="L14">
    <cfRule type="expression" dxfId="76" priority="109">
      <formula>AND(L14=$F$19,$F$19=$F$20)</formula>
    </cfRule>
  </conditionalFormatting>
  <conditionalFormatting sqref="F15">
    <cfRule type="expression" dxfId="75" priority="107">
      <formula>F15&lt;&gt;$F$20</formula>
    </cfRule>
    <cfRule type="expression" dxfId="74" priority="108">
      <formula>AND(F15=$F$19,$F$19=$F$20)</formula>
    </cfRule>
  </conditionalFormatting>
  <conditionalFormatting sqref="F15">
    <cfRule type="expression" dxfId="73" priority="106">
      <formula>AND(F15=$F$19,$F$19=$F$20)</formula>
    </cfRule>
  </conditionalFormatting>
  <conditionalFormatting sqref="G15">
    <cfRule type="expression" dxfId="72" priority="104">
      <formula>G15&lt;&gt;$F$20</formula>
    </cfRule>
    <cfRule type="expression" dxfId="71" priority="105">
      <formula>AND(G15=$F$19,$F$19=$F$20)</formula>
    </cfRule>
  </conditionalFormatting>
  <conditionalFormatting sqref="G15">
    <cfRule type="expression" dxfId="70" priority="103">
      <formula>AND(G15=$F$19,$F$19=$F$20)</formula>
    </cfRule>
  </conditionalFormatting>
  <conditionalFormatting sqref="H15">
    <cfRule type="expression" dxfId="69" priority="101">
      <formula>H15&lt;&gt;$F$20</formula>
    </cfRule>
    <cfRule type="expression" dxfId="68" priority="102">
      <formula>AND(H15=$F$19,$F$19=$F$20)</formula>
    </cfRule>
  </conditionalFormatting>
  <conditionalFormatting sqref="H15">
    <cfRule type="expression" dxfId="67" priority="100">
      <formula>AND(H15=$F$19,$F$19=$F$20)</formula>
    </cfRule>
  </conditionalFormatting>
  <conditionalFormatting sqref="I15">
    <cfRule type="expression" dxfId="66" priority="98">
      <formula>I15&lt;&gt;$F$20</formula>
    </cfRule>
    <cfRule type="expression" dxfId="65" priority="99">
      <formula>AND(I15=$F$19,$F$19=$F$20)</formula>
    </cfRule>
  </conditionalFormatting>
  <conditionalFormatting sqref="I15">
    <cfRule type="expression" dxfId="64" priority="97">
      <formula>AND(I15=$F$19,$F$19=$F$20)</formula>
    </cfRule>
  </conditionalFormatting>
  <conditionalFormatting sqref="F11">
    <cfRule type="expression" dxfId="63" priority="86">
      <formula>F11&lt;&gt;$F$20</formula>
    </cfRule>
    <cfRule type="expression" dxfId="62" priority="87">
      <formula>AND(F11=$F$19,$F$19=$F$20)</formula>
    </cfRule>
  </conditionalFormatting>
  <conditionalFormatting sqref="F11">
    <cfRule type="expression" dxfId="61" priority="85">
      <formula>AND(F11=$F$19,$F$19=$F$20)</formula>
    </cfRule>
  </conditionalFormatting>
  <conditionalFormatting sqref="G11">
    <cfRule type="expression" dxfId="60" priority="83">
      <formula>G11&lt;&gt;$F$20</formula>
    </cfRule>
    <cfRule type="expression" dxfId="59" priority="84">
      <formula>AND(G11=$F$19,$F$19=$F$20)</formula>
    </cfRule>
  </conditionalFormatting>
  <conditionalFormatting sqref="G11">
    <cfRule type="expression" dxfId="58" priority="82">
      <formula>AND(G11=$F$19,$F$19=$F$20)</formula>
    </cfRule>
  </conditionalFormatting>
  <conditionalFormatting sqref="M13">
    <cfRule type="expression" dxfId="57" priority="81">
      <formula>AND(M$3=1,M$19=M$20,M13=M$19)</formula>
    </cfRule>
  </conditionalFormatting>
  <conditionalFormatting sqref="M13">
    <cfRule type="expression" dxfId="56" priority="80">
      <formula>AND(M$3=1,M$19=M$20,M13=M$19)</formula>
    </cfRule>
  </conditionalFormatting>
  <conditionalFormatting sqref="M14">
    <cfRule type="expression" dxfId="55" priority="79">
      <formula>AND(M$3=1,M$19=M$20,M14=M$19)</formula>
    </cfRule>
  </conditionalFormatting>
  <conditionalFormatting sqref="M14">
    <cfRule type="expression" dxfId="54" priority="78">
      <formula>AND(M$3=1,M$19=M$20,M14=M$19)</formula>
    </cfRule>
  </conditionalFormatting>
  <conditionalFormatting sqref="M15">
    <cfRule type="expression" dxfId="53" priority="77">
      <formula>AND(M$3=1,M$19=M$20,M15=M$19)</formula>
    </cfRule>
  </conditionalFormatting>
  <conditionalFormatting sqref="M15">
    <cfRule type="expression" dxfId="52" priority="76">
      <formula>AND(M$3=1,M$19=M$20,M15=M$19)</formula>
    </cfRule>
  </conditionalFormatting>
  <conditionalFormatting sqref="J15">
    <cfRule type="expression" dxfId="51" priority="59">
      <formula>J15&lt;&gt;$F$20</formula>
    </cfRule>
    <cfRule type="expression" dxfId="50" priority="60">
      <formula>AND(J15=$F$19,$F$19=$F$20)</formula>
    </cfRule>
  </conditionalFormatting>
  <conditionalFormatting sqref="J15">
    <cfRule type="expression" dxfId="49" priority="58">
      <formula>AND(J15=$F$19,$F$19=$F$20)</formula>
    </cfRule>
  </conditionalFormatting>
  <conditionalFormatting sqref="K15">
    <cfRule type="expression" dxfId="48" priority="56">
      <formula>K15&lt;&gt;$F$20</formula>
    </cfRule>
    <cfRule type="expression" dxfId="47" priority="57">
      <formula>AND(K15=$F$19,$F$19=$F$20)</formula>
    </cfRule>
  </conditionalFormatting>
  <conditionalFormatting sqref="K15">
    <cfRule type="expression" dxfId="46" priority="55">
      <formula>AND(K15=$F$19,$F$19=$F$20)</formula>
    </cfRule>
  </conditionalFormatting>
  <conditionalFormatting sqref="L15">
    <cfRule type="expression" dxfId="45" priority="53">
      <formula>L15&lt;&gt;$F$20</formula>
    </cfRule>
    <cfRule type="expression" dxfId="44" priority="54">
      <formula>AND(L15=$F$19,$F$19=$F$20)</formula>
    </cfRule>
  </conditionalFormatting>
  <conditionalFormatting sqref="L15">
    <cfRule type="expression" dxfId="43" priority="52">
      <formula>AND(L15=$F$19,$F$19=$F$20)</formula>
    </cfRule>
  </conditionalFormatting>
  <conditionalFormatting sqref="J5">
    <cfRule type="expression" dxfId="42" priority="50">
      <formula>J5&lt;&gt;$F$20</formula>
    </cfRule>
    <cfRule type="expression" dxfId="41" priority="51">
      <formula>AND(J5=$F$19,$F$19=$F$20)</formula>
    </cfRule>
  </conditionalFormatting>
  <conditionalFormatting sqref="J5">
    <cfRule type="expression" dxfId="40" priority="49">
      <formula>AND(J5=$F$19,$F$19=$F$20)</formula>
    </cfRule>
  </conditionalFormatting>
  <conditionalFormatting sqref="E4">
    <cfRule type="expression" dxfId="39" priority="557">
      <formula>AND(E$3=1,D$19=D$20,E4=D$19)</formula>
    </cfRule>
  </conditionalFormatting>
  <conditionalFormatting sqref="D4">
    <cfRule type="expression" dxfId="38" priority="39">
      <formula>AND(D$3=1,D$19=D$20,E4=D$19)</formula>
    </cfRule>
  </conditionalFormatting>
  <conditionalFormatting sqref="F22">
    <cfRule type="expression" dxfId="35" priority="35">
      <formula>AND(F22&lt;&gt;"",F22&lt;&gt;F23)</formula>
    </cfRule>
    <cfRule type="expression" dxfId="34" priority="36">
      <formula>EXACT(F22,F23)</formula>
    </cfRule>
  </conditionalFormatting>
  <conditionalFormatting sqref="D5">
    <cfRule type="expression" dxfId="33" priority="34">
      <formula>AND(D$3=1,D$19=D$20,E5=D$19)</formula>
    </cfRule>
  </conditionalFormatting>
  <conditionalFormatting sqref="D6">
    <cfRule type="expression" dxfId="32" priority="33">
      <formula>AND(D$3=1,D$19=D$20,E6=D$19)</formula>
    </cfRule>
  </conditionalFormatting>
  <conditionalFormatting sqref="D7">
    <cfRule type="expression" dxfId="31" priority="32">
      <formula>AND(D$3=1,D$19=D$20,E7=D$19)</formula>
    </cfRule>
  </conditionalFormatting>
  <conditionalFormatting sqref="D8">
    <cfRule type="expression" dxfId="30" priority="31">
      <formula>AND(D$3=1,D$19=D$20,E8=D$19)</formula>
    </cfRule>
  </conditionalFormatting>
  <conditionalFormatting sqref="D9">
    <cfRule type="expression" dxfId="29" priority="30">
      <formula>AND(D$3=1,D$19=D$20,E9=D$19)</formula>
    </cfRule>
  </conditionalFormatting>
  <conditionalFormatting sqref="D10">
    <cfRule type="expression" dxfId="28" priority="29">
      <formula>AND(D$3=1,D$19=D$20,E10=D$19)</formula>
    </cfRule>
  </conditionalFormatting>
  <conditionalFormatting sqref="D11">
    <cfRule type="expression" dxfId="27" priority="28">
      <formula>AND(D$3=1,D$19=D$20,E11=D$19)</formula>
    </cfRule>
  </conditionalFormatting>
  <conditionalFormatting sqref="D12">
    <cfRule type="expression" dxfId="26" priority="27">
      <formula>AND(D$3=1,D$19=D$20,E12=D$19)</formula>
    </cfRule>
  </conditionalFormatting>
  <conditionalFormatting sqref="D13">
    <cfRule type="expression" dxfId="25" priority="26">
      <formula>AND(D$3=1,D$19=D$20,E13=D$19)</formula>
    </cfRule>
  </conditionalFormatting>
  <conditionalFormatting sqref="D14">
    <cfRule type="expression" dxfId="24" priority="25">
      <formula>AND(D$3=1,D$19=D$20,E14=D$19)</formula>
    </cfRule>
  </conditionalFormatting>
  <conditionalFormatting sqref="D15">
    <cfRule type="expression" dxfId="23" priority="24">
      <formula>AND(D$3=1,D$19=D$20,E15=D$19)</formula>
    </cfRule>
  </conditionalFormatting>
  <conditionalFormatting sqref="E5">
    <cfRule type="expression" dxfId="22" priority="23">
      <formula>AND(E$3=1,D$19=D$20,E5=D$19)</formula>
    </cfRule>
  </conditionalFormatting>
  <conditionalFormatting sqref="E6">
    <cfRule type="expression" dxfId="21" priority="22">
      <formula>AND(E$3=1,D$19=D$20,E6=D$19)</formula>
    </cfRule>
  </conditionalFormatting>
  <conditionalFormatting sqref="E7">
    <cfRule type="expression" dxfId="20" priority="21">
      <formula>AND(E$3=1,D$19=D$20,E7=D$19)</formula>
    </cfRule>
  </conditionalFormatting>
  <conditionalFormatting sqref="E8">
    <cfRule type="expression" dxfId="19" priority="20">
      <formula>AND(E$3=1,D$19=D$20,E8=D$19)</formula>
    </cfRule>
  </conditionalFormatting>
  <conditionalFormatting sqref="E9">
    <cfRule type="expression" dxfId="18" priority="19">
      <formula>AND(E$3=1,D$19=D$20,E9=D$19)</formula>
    </cfRule>
  </conditionalFormatting>
  <conditionalFormatting sqref="E10">
    <cfRule type="expression" dxfId="17" priority="18">
      <formula>AND(E$3=1,D$19=D$20,E10=D$19)</formula>
    </cfRule>
  </conditionalFormatting>
  <conditionalFormatting sqref="E11">
    <cfRule type="expression" dxfId="16" priority="17">
      <formula>AND(E$3=1,D$19=D$20,E11=D$19)</formula>
    </cfRule>
  </conditionalFormatting>
  <conditionalFormatting sqref="E12">
    <cfRule type="expression" dxfId="15" priority="16">
      <formula>AND(E$3=1,D$19=D$20,E12=D$19)</formula>
    </cfRule>
  </conditionalFormatting>
  <conditionalFormatting sqref="E13">
    <cfRule type="expression" dxfId="14" priority="15">
      <formula>AND(E$3=1,D$19=D$20,E13=D$19)</formula>
    </cfRule>
  </conditionalFormatting>
  <conditionalFormatting sqref="E14">
    <cfRule type="expression" dxfId="13" priority="14">
      <formula>AND(E$3=1,D$19=D$20,E14=D$19)</formula>
    </cfRule>
  </conditionalFormatting>
  <conditionalFormatting sqref="E15">
    <cfRule type="expression" dxfId="12" priority="13">
      <formula>AND(E$3=1,D$19=D$20,E15=D$19)</formula>
    </cfRule>
  </conditionalFormatting>
  <conditionalFormatting sqref="C9">
    <cfRule type="expression" dxfId="11" priority="12">
      <formula>AND(C$3=1,C$19=C$20,C9=C$19)</formula>
    </cfRule>
  </conditionalFormatting>
  <conditionalFormatting sqref="C9">
    <cfRule type="expression" dxfId="10" priority="11">
      <formula>AND(C$3=1,C$19=C$20,C9=C$19)</formula>
    </cfRule>
  </conditionalFormatting>
  <conditionalFormatting sqref="C10">
    <cfRule type="expression" dxfId="9" priority="10">
      <formula>AND(C$3=1,C$19=C$20,C10=C$19)</formula>
    </cfRule>
  </conditionalFormatting>
  <conditionalFormatting sqref="C10">
    <cfRule type="expression" dxfId="8" priority="9">
      <formula>AND(C$3=1,C$19=C$20,C10=C$19)</formula>
    </cfRule>
  </conditionalFormatting>
  <conditionalFormatting sqref="C11">
    <cfRule type="expression" dxfId="7" priority="8">
      <formula>AND(C$3=1,C$19=C$20,C11=C$19)</formula>
    </cfRule>
  </conditionalFormatting>
  <conditionalFormatting sqref="C11">
    <cfRule type="expression" dxfId="6" priority="7">
      <formula>AND(C$3=1,C$19=C$20,C11=C$19)</formula>
    </cfRule>
  </conditionalFormatting>
  <conditionalFormatting sqref="C12">
    <cfRule type="expression" dxfId="5" priority="6">
      <formula>AND(C$3=1,C$19=C$20,C12=C$19)</formula>
    </cfRule>
  </conditionalFormatting>
  <conditionalFormatting sqref="C12">
    <cfRule type="expression" dxfId="4" priority="5">
      <formula>AND(C$3=1,C$19=C$20,C12=C$19)</formula>
    </cfRule>
  </conditionalFormatting>
  <conditionalFormatting sqref="C13">
    <cfRule type="expression" dxfId="3" priority="4">
      <formula>AND(C$3=1,C$19=C$20,C13=C$19)</formula>
    </cfRule>
  </conditionalFormatting>
  <conditionalFormatting sqref="C13">
    <cfRule type="expression" dxfId="2" priority="3">
      <formula>AND(C$3=1,C$19=C$20,C13=C$19)</formula>
    </cfRule>
  </conditionalFormatting>
  <conditionalFormatting sqref="C14">
    <cfRule type="expression" dxfId="1" priority="2">
      <formula>AND(C$3=1,C$19=C$20,C14=C$19)</formula>
    </cfRule>
  </conditionalFormatting>
  <conditionalFormatting sqref="C14">
    <cfRule type="expression" dxfId="0" priority="1">
      <formula>AND(C$3=1,C$19=C$20,C14=C$19)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What Day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2019-06-10T12:26:15Z</dcterms:created>
  <dcterms:modified xsi:type="dcterms:W3CDTF">2019-10-29T18:27:05Z</dcterms:modified>
  <cp:category/>
  <cp:contentStatus/>
</cp:coreProperties>
</file>