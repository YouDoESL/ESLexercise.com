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CF758173-B1AD-42F9-A85B-F9E9B8BEFEB7}" xr6:coauthVersionLast="43" xr6:coauthVersionMax="43" xr10:uidLastSave="{00000000-0000-0000-0000-000000000000}"/>
  <bookViews>
    <workbookView xWindow="-108" yWindow="-108" windowWidth="23256" windowHeight="12576" firstSheet="3" activeTab="6" xr2:uid="{00000000-000D-0000-FFFF-FFFF00000000}"/>
  </bookViews>
  <sheets>
    <sheet name="one to __" sheetId="6" r:id="rId1"/>
    <sheet name="Sheet1" sheetId="9" r:id="rId2"/>
    <sheet name="1 to __" sheetId="2" r:id="rId3"/>
    <sheet name="Mos-Days" sheetId="1" r:id="rId4"/>
    <sheet name="Mo-Day 2" sheetId="7" r:id="rId5"/>
    <sheet name="Fill in" sheetId="3" r:id="rId6"/>
    <sheet name="Numbers" sheetId="5" r:id="rId7"/>
    <sheet name="Money" sheetId="4" r:id="rId8"/>
    <sheet name="Money (Web)" sheetId="8" r:id="rId9"/>
    <sheet name="fill in one to 1" sheetId="10" r:id="rId10"/>
    <sheet name="fill in 1 to one" sheetId="11" r:id="rId11"/>
  </sheets>
  <externalReferences>
    <externalReference r:id="rId12"/>
  </externalReferences>
  <definedNames>
    <definedName name="_xlnm.Print_Area" localSheetId="2">'1 to __'!$A$1:$M$14</definedName>
    <definedName name="_xlnm.Print_Area" localSheetId="5">'Fill in'!$A$1:$K$17</definedName>
    <definedName name="_xlnm.Print_Area" localSheetId="7">Money!$J$1:$Q$24</definedName>
    <definedName name="_xlnm.Print_Area" localSheetId="8">'Money (Web)'!$J$1:$Q$24</definedName>
    <definedName name="_xlnm.Print_Area" localSheetId="3">'Mos-Days'!$A$1:$G$15</definedName>
    <definedName name="_xlnm.Print_Area" localSheetId="0">'one to __'!$B$1:$I$15</definedName>
  </definedNam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6" i="11" l="1"/>
  <c r="B17" i="11" s="1"/>
  <c r="B18" i="11" s="1"/>
  <c r="B19" i="11" s="1"/>
  <c r="B20" i="11" s="1"/>
  <c r="B21" i="11" s="1"/>
  <c r="B22" i="11" s="1"/>
  <c r="B23" i="11" s="1"/>
  <c r="B24" i="11" s="1"/>
  <c r="B25" i="11" s="1"/>
  <c r="K20" i="11"/>
  <c r="C17" i="11"/>
  <c r="C34" i="11"/>
  <c r="O16" i="11"/>
  <c r="C36" i="11"/>
  <c r="K16" i="11"/>
  <c r="L24" i="11"/>
  <c r="C26" i="11"/>
  <c r="C25" i="11"/>
  <c r="P20" i="11"/>
  <c r="C22" i="11"/>
  <c r="C4" i="11"/>
  <c r="P16" i="11"/>
  <c r="C35" i="11"/>
  <c r="P24" i="11"/>
  <c r="C27" i="11"/>
  <c r="M20" i="11"/>
  <c r="O24" i="11"/>
  <c r="L16" i="11"/>
  <c r="L20" i="11"/>
  <c r="C21" i="11"/>
  <c r="I16" i="11"/>
  <c r="I24" i="11"/>
  <c r="C40" i="11"/>
  <c r="N16" i="11"/>
  <c r="C15" i="11"/>
  <c r="C18" i="11"/>
  <c r="M16" i="11"/>
  <c r="N24" i="11"/>
  <c r="C28" i="11"/>
  <c r="C37" i="11"/>
  <c r="C24" i="11"/>
  <c r="C39" i="11"/>
  <c r="N20" i="11"/>
  <c r="C20" i="11"/>
  <c r="C13" i="11"/>
  <c r="C41" i="11"/>
  <c r="C19" i="11"/>
  <c r="C33" i="11"/>
  <c r="K24" i="11"/>
  <c r="J24" i="11"/>
  <c r="J20" i="11"/>
  <c r="C16" i="11"/>
  <c r="M24" i="11"/>
  <c r="J16" i="11"/>
  <c r="C42" i="11"/>
  <c r="C29" i="11"/>
  <c r="C14" i="11"/>
  <c r="O20" i="11"/>
  <c r="C38" i="11"/>
  <c r="C30" i="11"/>
  <c r="C23" i="11"/>
  <c r="Q24" i="11"/>
  <c r="I20" i="11"/>
  <c r="C32" i="11"/>
  <c r="C31" i="11"/>
  <c r="Q23" i="11" l="1"/>
  <c r="P23" i="11"/>
  <c r="O23" i="11"/>
  <c r="N23" i="11"/>
  <c r="M23" i="11"/>
  <c r="L23" i="11"/>
  <c r="K23" i="11"/>
  <c r="J23" i="11"/>
  <c r="I23" i="11"/>
  <c r="P19" i="11"/>
  <c r="O19" i="11"/>
  <c r="N19" i="11"/>
  <c r="M19" i="11"/>
  <c r="L19" i="11"/>
  <c r="K19" i="11"/>
  <c r="J19" i="11"/>
  <c r="I19" i="11"/>
  <c r="P15" i="11"/>
  <c r="O15" i="11"/>
  <c r="N15" i="11"/>
  <c r="M15" i="11"/>
  <c r="L15" i="11"/>
  <c r="K15" i="11"/>
  <c r="J15" i="11"/>
  <c r="I15" i="11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E23" i="10"/>
  <c r="E22" i="10"/>
  <c r="E17" i="10"/>
  <c r="E12" i="10"/>
  <c r="E11" i="10"/>
  <c r="E10" i="10"/>
  <c r="E9" i="10"/>
  <c r="E8" i="10"/>
  <c r="E7" i="10"/>
  <c r="E6" i="10"/>
  <c r="E5" i="10"/>
  <c r="D40" i="10"/>
  <c r="E40" i="10" s="1"/>
  <c r="D39" i="10"/>
  <c r="E39" i="10" s="1"/>
  <c r="D38" i="10"/>
  <c r="E38" i="10" s="1"/>
  <c r="D37" i="10"/>
  <c r="E37" i="10" s="1"/>
  <c r="D36" i="10"/>
  <c r="E36" i="10" s="1"/>
  <c r="D35" i="10"/>
  <c r="E35" i="10" s="1"/>
  <c r="D34" i="10"/>
  <c r="E34" i="10" s="1"/>
  <c r="D33" i="10"/>
  <c r="E33" i="10" s="1"/>
  <c r="D32" i="10"/>
  <c r="E32" i="10" s="1"/>
  <c r="D31" i="10"/>
  <c r="E31" i="10" s="1"/>
  <c r="D30" i="10"/>
  <c r="E30" i="10" s="1"/>
  <c r="D29" i="10"/>
  <c r="E29" i="10" s="1"/>
  <c r="D28" i="10"/>
  <c r="E28" i="10" s="1"/>
  <c r="D27" i="10"/>
  <c r="E27" i="10" s="1"/>
  <c r="D26" i="10"/>
  <c r="E26" i="10" s="1"/>
  <c r="D25" i="10"/>
  <c r="E25" i="10" s="1"/>
  <c r="D24" i="10"/>
  <c r="E24" i="10" s="1"/>
  <c r="A15" i="10"/>
  <c r="A16" i="10" s="1"/>
  <c r="A14" i="10"/>
  <c r="D23" i="10"/>
  <c r="D22" i="10"/>
  <c r="D21" i="10"/>
  <c r="E21" i="10" s="1"/>
  <c r="D20" i="10"/>
  <c r="E20" i="10" s="1"/>
  <c r="D19" i="10"/>
  <c r="E19" i="10" s="1"/>
  <c r="D18" i="10"/>
  <c r="E18" i="10" s="1"/>
  <c r="D17" i="10"/>
  <c r="D15" i="10"/>
  <c r="E15" i="10" s="1"/>
  <c r="D14" i="10"/>
  <c r="E14" i="10" s="1"/>
  <c r="F5" i="6"/>
  <c r="F13" i="10"/>
  <c r="D13" i="10"/>
  <c r="E13" i="10" s="1"/>
  <c r="F12" i="10"/>
  <c r="D12" i="10"/>
  <c r="F11" i="10"/>
  <c r="D11" i="10"/>
  <c r="F10" i="10"/>
  <c r="D10" i="10"/>
  <c r="F9" i="10"/>
  <c r="D9" i="10"/>
  <c r="F8" i="10"/>
  <c r="D8" i="10"/>
  <c r="F7" i="10"/>
  <c r="D7" i="10"/>
  <c r="F6" i="10"/>
  <c r="D6" i="10"/>
  <c r="F5" i="10"/>
  <c r="D5" i="10"/>
  <c r="F4" i="10"/>
  <c r="D4" i="10"/>
  <c r="E4" i="10" s="1"/>
  <c r="D16" i="10" l="1"/>
  <c r="E16" i="10" s="1"/>
  <c r="A17" i="10"/>
  <c r="A18" i="10" s="1"/>
  <c r="A19" i="10" s="1"/>
  <c r="A20" i="10" s="1"/>
  <c r="A21" i="10" s="1"/>
  <c r="A22" i="10" s="1"/>
  <c r="A23" i="10" s="1"/>
  <c r="E8" i="3"/>
  <c r="E5" i="3"/>
  <c r="H6" i="3"/>
  <c r="H13" i="3"/>
  <c r="H11" i="3"/>
  <c r="H8" i="3"/>
  <c r="H4" i="3"/>
  <c r="I10" i="7"/>
  <c r="I9" i="7"/>
  <c r="I8" i="7"/>
  <c r="I7" i="7"/>
  <c r="I6" i="7"/>
  <c r="I5" i="7"/>
  <c r="I4" i="7"/>
  <c r="E14" i="7"/>
  <c r="E13" i="7"/>
  <c r="E12" i="7"/>
  <c r="E11" i="7"/>
  <c r="E10" i="7"/>
  <c r="E9" i="7"/>
  <c r="E8" i="7"/>
  <c r="E7" i="7"/>
  <c r="E6" i="7"/>
  <c r="E5" i="7"/>
  <c r="E4" i="7"/>
  <c r="E3" i="7"/>
  <c r="H10" i="1"/>
  <c r="H9" i="1"/>
  <c r="H8" i="1"/>
  <c r="H7" i="1"/>
  <c r="H6" i="1"/>
  <c r="H5" i="1"/>
  <c r="H4" i="1"/>
  <c r="D14" i="1"/>
  <c r="D13" i="1"/>
  <c r="D12" i="1"/>
  <c r="D11" i="1"/>
  <c r="D10" i="1"/>
  <c r="D9" i="1"/>
  <c r="D8" i="1"/>
  <c r="D7" i="1"/>
  <c r="D6" i="1"/>
  <c r="D5" i="1"/>
  <c r="D4" i="1"/>
  <c r="D3" i="1"/>
  <c r="P18" i="8"/>
  <c r="P19" i="8"/>
  <c r="P20" i="8"/>
  <c r="P21" i="8"/>
  <c r="P22" i="8"/>
  <c r="P23" i="8"/>
  <c r="Q23" i="8"/>
  <c r="N22" i="8"/>
  <c r="L22" i="8"/>
  <c r="N21" i="8"/>
  <c r="L21" i="8"/>
  <c r="N20" i="8"/>
  <c r="L20" i="8"/>
  <c r="N19" i="8"/>
  <c r="L19" i="8"/>
  <c r="N18" i="8"/>
  <c r="L18" i="8"/>
  <c r="P10" i="8"/>
  <c r="P11" i="8"/>
  <c r="P12" i="8"/>
  <c r="P13" i="8"/>
  <c r="P14" i="8"/>
  <c r="N14" i="8"/>
  <c r="L14" i="8"/>
  <c r="N13" i="8"/>
  <c r="L13" i="8"/>
  <c r="N12" i="8"/>
  <c r="L12" i="8"/>
  <c r="N11" i="8"/>
  <c r="L11" i="8"/>
  <c r="N10" i="8"/>
  <c r="L10" i="8"/>
  <c r="P6" i="8"/>
  <c r="N6" i="8"/>
  <c r="L6" i="8"/>
  <c r="P5" i="8"/>
  <c r="N5" i="8"/>
  <c r="L5" i="8"/>
  <c r="P4" i="8"/>
  <c r="N4" i="8"/>
  <c r="L4" i="8"/>
  <c r="P3" i="8"/>
  <c r="N3" i="8"/>
  <c r="L3" i="8"/>
  <c r="P2" i="8"/>
  <c r="P7" i="8"/>
  <c r="N2" i="8"/>
  <c r="L2" i="8"/>
  <c r="P1" i="8"/>
  <c r="K10" i="7"/>
  <c r="K9" i="7"/>
  <c r="K8" i="7"/>
  <c r="K7" i="7"/>
  <c r="K6" i="7"/>
  <c r="A4" i="7"/>
  <c r="A5" i="7"/>
  <c r="A6" i="7"/>
  <c r="F3" i="7"/>
  <c r="K5" i="7"/>
  <c r="K4" i="7"/>
  <c r="P1" i="4"/>
  <c r="K10" i="5"/>
  <c r="D4" i="6"/>
  <c r="E4" i="6"/>
  <c r="N10" i="4"/>
  <c r="N2" i="4"/>
  <c r="N3" i="4"/>
  <c r="N4" i="4"/>
  <c r="N5" i="4"/>
  <c r="N6" i="4"/>
  <c r="P2" i="4"/>
  <c r="P3" i="4"/>
  <c r="P4" i="4"/>
  <c r="P5" i="4"/>
  <c r="P6" i="4"/>
  <c r="P7" i="4"/>
  <c r="K18" i="5"/>
  <c r="H18" i="5"/>
  <c r="G18" i="5"/>
  <c r="F18" i="5"/>
  <c r="C18" i="5"/>
  <c r="K14" i="5"/>
  <c r="H14" i="5"/>
  <c r="F14" i="5"/>
  <c r="C14" i="5"/>
  <c r="H10" i="5"/>
  <c r="F10" i="5"/>
  <c r="C10" i="5"/>
  <c r="K6" i="5"/>
  <c r="H6" i="5"/>
  <c r="G6" i="5"/>
  <c r="F6" i="5"/>
  <c r="C6" i="5"/>
  <c r="B6" i="5"/>
  <c r="K2" i="5"/>
  <c r="H2" i="5"/>
  <c r="F2" i="5"/>
  <c r="C2" i="5"/>
  <c r="I4" i="2"/>
  <c r="I13" i="2"/>
  <c r="I12" i="2"/>
  <c r="I11" i="2"/>
  <c r="I10" i="2"/>
  <c r="I9" i="2"/>
  <c r="I8" i="2"/>
  <c r="I7" i="2"/>
  <c r="I6" i="2"/>
  <c r="I5" i="2"/>
  <c r="D13" i="2"/>
  <c r="D11" i="2"/>
  <c r="E11" i="2"/>
  <c r="D10" i="2"/>
  <c r="E10" i="2"/>
  <c r="D9" i="2"/>
  <c r="E9" i="2"/>
  <c r="D7" i="2"/>
  <c r="E7" i="2"/>
  <c r="D6" i="2"/>
  <c r="E6" i="2"/>
  <c r="D5" i="2"/>
  <c r="E5" i="2"/>
  <c r="D4" i="2"/>
  <c r="E4" i="2"/>
  <c r="D8" i="2"/>
  <c r="E8" i="2"/>
  <c r="I13" i="6"/>
  <c r="I11" i="6"/>
  <c r="I10" i="6"/>
  <c r="I9" i="6"/>
  <c r="I8" i="6"/>
  <c r="I7" i="6"/>
  <c r="F6" i="6"/>
  <c r="I6" i="6"/>
  <c r="I5" i="6"/>
  <c r="F4" i="6"/>
  <c r="I4" i="6"/>
  <c r="D13" i="6"/>
  <c r="D11" i="6"/>
  <c r="E11" i="6"/>
  <c r="D10" i="6"/>
  <c r="E10" i="6"/>
  <c r="D9" i="6"/>
  <c r="E9" i="6"/>
  <c r="D7" i="6"/>
  <c r="E7" i="6"/>
  <c r="D6" i="6"/>
  <c r="E6" i="6"/>
  <c r="D5" i="6"/>
  <c r="E5" i="6"/>
  <c r="D8" i="6"/>
  <c r="E8" i="6"/>
  <c r="F13" i="6"/>
  <c r="F12" i="6"/>
  <c r="I12" i="6"/>
  <c r="F11" i="6"/>
  <c r="F10" i="6"/>
  <c r="F9" i="6"/>
  <c r="F8" i="6"/>
  <c r="F7" i="6"/>
  <c r="D12" i="6"/>
  <c r="P22" i="4"/>
  <c r="P14" i="4"/>
  <c r="N22" i="4"/>
  <c r="N14" i="4"/>
  <c r="P21" i="4"/>
  <c r="P18" i="4"/>
  <c r="P19" i="4"/>
  <c r="P20" i="4"/>
  <c r="P23" i="4"/>
  <c r="Q23" i="4"/>
  <c r="P13" i="4"/>
  <c r="P10" i="4"/>
  <c r="P11" i="4"/>
  <c r="P12" i="4"/>
  <c r="P15" i="4"/>
  <c r="Q15" i="4"/>
  <c r="L22" i="4"/>
  <c r="N21" i="4"/>
  <c r="L21" i="4"/>
  <c r="N20" i="4"/>
  <c r="L20" i="4"/>
  <c r="N19" i="4"/>
  <c r="L19" i="4"/>
  <c r="N18" i="4"/>
  <c r="L18" i="4"/>
  <c r="L14" i="4"/>
  <c r="N13" i="4"/>
  <c r="L13" i="4"/>
  <c r="N12" i="4"/>
  <c r="L12" i="4"/>
  <c r="N11" i="4"/>
  <c r="L11" i="4"/>
  <c r="L10" i="4"/>
  <c r="L2" i="4"/>
  <c r="L6" i="4"/>
  <c r="L4" i="4"/>
  <c r="L3" i="4"/>
  <c r="L5" i="4"/>
  <c r="E50" i="1"/>
  <c r="E51" i="1"/>
  <c r="E48" i="1"/>
  <c r="E49" i="1"/>
  <c r="E46" i="1"/>
  <c r="E44" i="1"/>
  <c r="E45" i="1"/>
  <c r="E42" i="1"/>
  <c r="E43" i="1"/>
  <c r="E40" i="1"/>
  <c r="E41" i="1"/>
  <c r="E38" i="1"/>
  <c r="E39" i="1"/>
  <c r="E36" i="1"/>
  <c r="E37" i="1"/>
  <c r="E34" i="1"/>
  <c r="E30" i="1"/>
  <c r="E31" i="1"/>
  <c r="E28" i="1"/>
  <c r="E26" i="1"/>
  <c r="E24" i="1"/>
  <c r="E25" i="1"/>
  <c r="E22" i="1"/>
  <c r="E23" i="1"/>
  <c r="E20" i="1"/>
  <c r="E18" i="1"/>
  <c r="E16" i="1"/>
  <c r="E17" i="1"/>
  <c r="E15" i="1"/>
  <c r="E32" i="1"/>
  <c r="E33" i="1"/>
  <c r="E29" i="1"/>
  <c r="E21" i="1"/>
  <c r="E19" i="1"/>
  <c r="E47" i="1"/>
  <c r="E35" i="1"/>
  <c r="E27" i="1"/>
  <c r="D12" i="2"/>
  <c r="P15" i="8"/>
  <c r="Q15" i="8"/>
  <c r="F5" i="7"/>
  <c r="F4" i="7"/>
  <c r="A7" i="7"/>
  <c r="A8" i="7"/>
  <c r="A9" i="7"/>
  <c r="F6" i="7"/>
  <c r="F7" i="7"/>
  <c r="F8" i="7"/>
  <c r="F9" i="7"/>
  <c r="A10" i="7"/>
  <c r="A11" i="7"/>
  <c r="F10" i="7"/>
  <c r="F11" i="7"/>
  <c r="A12" i="7"/>
  <c r="F12" i="7"/>
  <c r="A13" i="7"/>
  <c r="A14" i="7"/>
  <c r="F14" i="7"/>
  <c r="F13" i="7"/>
  <c r="G12" i="7"/>
</calcChain>
</file>

<file path=xl/sharedStrings.xml><?xml version="1.0" encoding="utf-8"?>
<sst xmlns="http://schemas.openxmlformats.org/spreadsheetml/2006/main" count="342" uniqueCount="86">
  <si>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</si>
  <si>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</si>
  <si>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</si>
  <si>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</si>
  <si>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</si>
  <si>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</si>
  <si>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</si>
  <si>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</si>
  <si>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</si>
  <si>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</si>
  <si>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</si>
  <si>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</si>
  <si>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</si>
  <si>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</si>
  <si>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</si>
  <si>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</si>
  <si>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</si>
  <si>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</si>
  <si>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</si>
  <si>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</si>
  <si>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</si>
  <si>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(Capitalization required)</t>
  </si>
  <si>
    <t>January</t>
  </si>
  <si>
    <t>February</t>
  </si>
  <si>
    <t>february</t>
  </si>
  <si>
    <t>Monday</t>
  </si>
  <si>
    <t>March</t>
  </si>
  <si>
    <t>Tuesday</t>
  </si>
  <si>
    <t>April</t>
  </si>
  <si>
    <t>Wednesday</t>
  </si>
  <si>
    <t>May</t>
  </si>
  <si>
    <t>Thursday</t>
  </si>
  <si>
    <t>June</t>
  </si>
  <si>
    <t>Friday</t>
  </si>
  <si>
    <t>July</t>
  </si>
  <si>
    <t>Saturday</t>
  </si>
  <si>
    <t>August</t>
  </si>
  <si>
    <t>Sunday</t>
  </si>
  <si>
    <t>September</t>
  </si>
  <si>
    <t>October</t>
  </si>
  <si>
    <t>November</t>
  </si>
  <si>
    <t>December</t>
  </si>
  <si>
    <t>a</t>
  </si>
  <si>
    <t>penny</t>
  </si>
  <si>
    <t>=</t>
  </si>
  <si>
    <t>one cent</t>
  </si>
  <si>
    <t>1¢</t>
  </si>
  <si>
    <t>nickel</t>
  </si>
  <si>
    <t>five cents</t>
  </si>
  <si>
    <t>5¢</t>
  </si>
  <si>
    <t>dime</t>
  </si>
  <si>
    <t>two nickels</t>
  </si>
  <si>
    <t>10¢</t>
  </si>
  <si>
    <t>quarter</t>
  </si>
  <si>
    <t>five nickels</t>
  </si>
  <si>
    <t>25¢</t>
  </si>
  <si>
    <t>dollar</t>
  </si>
  <si>
    <t>four quarters</t>
  </si>
  <si>
    <t>100¢</t>
  </si>
  <si>
    <t xml:space="preserve">Pay   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</si>
  <si>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</si>
  <si>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</si>
  <si>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</si>
  <si>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</si>
  <si>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</si>
  <si>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</si>
  <si>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</si>
  <si>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</si>
  <si>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</si>
  <si>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</si>
  <si>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</si>
  <si>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</si>
  <si>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</si>
  <si>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</si>
  <si>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</si>
  <si>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</si>
  <si>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</si>
  <si>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</si>
  <si>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tree</t>
  </si>
  <si>
    <t>for</t>
  </si>
  <si>
    <t>fife</t>
  </si>
  <si>
    <t>sick</t>
  </si>
  <si>
    <t>(count by tens)</t>
  </si>
  <si>
    <t>(count by fives)</t>
  </si>
  <si>
    <t>(count by twos)</t>
  </si>
  <si>
    <t>Fill in one to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</si>
</sst>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22"/>
      <color theme="1"/>
      <name val="Comic Sans MS"/>
      <family val="4"/>
    </font>
    <font>
      <sz val="22"/>
      <color theme="0"/>
      <name val="Comic Sans MS"/>
      <family val="4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22"/>
      <color theme="1"/>
      <name val="Comic Sans MS"/>
      <family val="4"/>
    </font>
    <font>
      <sz val="18"/>
      <color theme="1"/>
      <name val="Comic Sans MS"/>
      <family val="4"/>
    </font>
    <font>
      <i/>
      <sz val="12"/>
      <color theme="1"/>
      <name val="Arial"/>
      <family val="2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3">
    <xf numFmtId="0" fontId="0" fillId="0" borderId="0" xfId="0"/>
    <xf numFmtId="0" fontId="1" fillId="3" borderId="1" xfId="0" applyFont="1" applyFill="1" applyBorder="1"/>
    <xf numFmtId="0" fontId="2" fillId="0" borderId="0" xfId="0" applyFont="1"/>
    <xf numFmtId="0" fontId="4" fillId="0" borderId="0" xfId="0" applyFont="1"/>
    <xf numFmtId="0" fontId="5" fillId="3" borderId="2" xfId="0" applyFont="1" applyFill="1" applyBorder="1" applyProtection="1"/>
    <xf numFmtId="0" fontId="5" fillId="3" borderId="5" xfId="0" applyFont="1" applyFill="1" applyBorder="1" applyProtection="1"/>
    <xf numFmtId="0" fontId="4" fillId="0" borderId="7" xfId="0" applyFont="1" applyBorder="1" applyAlignment="1" applyProtection="1">
      <alignment horizontal="right"/>
    </xf>
    <xf numFmtId="0" fontId="0" fillId="0" borderId="0" xfId="0" applyProtection="1">
      <protection locked="0"/>
    </xf>
    <xf numFmtId="0" fontId="1" fillId="3" borderId="1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right"/>
    </xf>
    <xf numFmtId="0" fontId="4" fillId="0" borderId="0" xfId="0" applyFont="1" applyAlignment="1" applyProtection="1">
      <alignment horizontal="right"/>
    </xf>
    <xf numFmtId="0" fontId="5" fillId="3" borderId="1" xfId="0" applyFont="1" applyFill="1" applyBorder="1" applyAlignment="1" applyProtection="1">
      <alignment horizontal="left"/>
    </xf>
    <xf numFmtId="1" fontId="1" fillId="3" borderId="1" xfId="1" applyNumberFormat="1" applyFont="1" applyFill="1" applyBorder="1" applyProtection="1"/>
    <xf numFmtId="0" fontId="4" fillId="0" borderId="0" xfId="0" applyFont="1" applyBorder="1" applyAlignment="1" applyProtection="1">
      <alignment horizontal="left"/>
    </xf>
    <xf numFmtId="1" fontId="0" fillId="0" borderId="0" xfId="1" applyNumberFormat="1" applyFont="1" applyBorder="1" applyProtection="1"/>
    <xf numFmtId="0" fontId="5" fillId="3" borderId="3" xfId="0" applyFont="1" applyFill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1" fontId="0" fillId="0" borderId="0" xfId="1" applyNumberFormat="1" applyFont="1" applyProtection="1"/>
    <xf numFmtId="0" fontId="0" fillId="0" borderId="0" xfId="0" applyProtection="1"/>
    <xf numFmtId="0" fontId="1" fillId="3" borderId="1" xfId="0" applyFont="1" applyFill="1" applyBorder="1" applyProtection="1"/>
    <xf numFmtId="1" fontId="1" fillId="3" borderId="0" xfId="1" applyNumberFormat="1" applyFont="1" applyFill="1" applyBorder="1" applyProtection="1"/>
    <xf numFmtId="0" fontId="6" fillId="0" borderId="0" xfId="0" applyFont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1" fontId="9" fillId="3" borderId="0" xfId="1" applyNumberFormat="1" applyFont="1" applyFill="1" applyBorder="1" applyProtection="1"/>
    <xf numFmtId="0" fontId="8" fillId="0" borderId="0" xfId="0" applyFont="1" applyBorder="1" applyAlignment="1" applyProtection="1">
      <alignment horizontal="right"/>
    </xf>
    <xf numFmtId="0" fontId="8" fillId="0" borderId="0" xfId="0" applyFont="1" applyBorder="1" applyAlignment="1" applyProtection="1">
      <alignment horizontal="left"/>
    </xf>
    <xf numFmtId="1" fontId="8" fillId="0" borderId="0" xfId="1" applyNumberFormat="1" applyFont="1" applyBorder="1" applyProtection="1"/>
    <xf numFmtId="0" fontId="0" fillId="0" borderId="0" xfId="0" applyBorder="1" applyProtection="1"/>
    <xf numFmtId="0" fontId="6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left"/>
    </xf>
    <xf numFmtId="0" fontId="9" fillId="3" borderId="0" xfId="0" applyFont="1" applyFill="1" applyBorder="1" applyProtection="1"/>
    <xf numFmtId="0" fontId="8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Protection="1"/>
    <xf numFmtId="0" fontId="5" fillId="3" borderId="0" xfId="0" applyFont="1" applyFill="1" applyBorder="1" applyAlignment="1" applyProtection="1">
      <alignment horizontal="left"/>
    </xf>
    <xf numFmtId="0" fontId="1" fillId="3" borderId="0" xfId="0" applyFont="1" applyFill="1" applyBorder="1" applyProtection="1"/>
    <xf numFmtId="0" fontId="8" fillId="3" borderId="0" xfId="0" applyFont="1" applyFill="1" applyBorder="1" applyAlignment="1" applyProtection="1">
      <alignment horizontal="center"/>
    </xf>
    <xf numFmtId="0" fontId="8" fillId="0" borderId="1" xfId="0" applyFont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Protection="1"/>
    <xf numFmtId="0" fontId="0" fillId="0" borderId="0" xfId="0" applyAlignment="1" applyProtection="1">
      <alignment horizontal="center"/>
    </xf>
    <xf numFmtId="0" fontId="4" fillId="0" borderId="0" xfId="0" applyFont="1" applyBorder="1" applyProtection="1"/>
    <xf numFmtId="0" fontId="4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2" borderId="11" xfId="0" applyFont="1" applyFill="1" applyBorder="1" applyAlignment="1" applyProtection="1">
      <alignment horizontal="center"/>
      <protection locked="0"/>
    </xf>
    <xf numFmtId="0" fontId="10" fillId="0" borderId="0" xfId="0" applyFont="1"/>
    <xf numFmtId="165" fontId="10" fillId="0" borderId="0" xfId="0" applyNumberFormat="1" applyFont="1"/>
    <xf numFmtId="0" fontId="10" fillId="0" borderId="0" xfId="0" applyFont="1" applyProtection="1"/>
    <xf numFmtId="0" fontId="10" fillId="0" borderId="0" xfId="0" applyFont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2" fillId="0" borderId="0" xfId="0" applyFont="1" applyBorder="1" applyProtection="1"/>
    <xf numFmtId="0" fontId="10" fillId="0" borderId="0" xfId="0" applyFont="1" applyAlignment="1" applyProtection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 applyProtection="1">
      <alignment horizontal="right"/>
    </xf>
    <xf numFmtId="0" fontId="10" fillId="0" borderId="0" xfId="0" applyFont="1" applyAlignment="1">
      <alignment horizontal="right"/>
    </xf>
    <xf numFmtId="165" fontId="10" fillId="0" borderId="0" xfId="0" applyNumberFormat="1" applyFont="1" applyProtection="1"/>
    <xf numFmtId="0" fontId="0" fillId="0" borderId="0" xfId="0" applyFont="1" applyProtection="1"/>
    <xf numFmtId="0" fontId="0" fillId="0" borderId="11" xfId="0" applyFont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1" fillId="0" borderId="0" xfId="0" applyFont="1" applyProtection="1"/>
    <xf numFmtId="0" fontId="1" fillId="0" borderId="0" xfId="0" applyFont="1"/>
    <xf numFmtId="0" fontId="0" fillId="0" borderId="1" xfId="0" applyBorder="1"/>
    <xf numFmtId="0" fontId="1" fillId="0" borderId="0" xfId="0" applyFont="1" applyAlignment="1" applyProtection="1">
      <alignment horizontal="center"/>
    </xf>
    <xf numFmtId="0" fontId="0" fillId="0" borderId="12" xfId="0" applyBorder="1"/>
    <xf numFmtId="0" fontId="0" fillId="0" borderId="12" xfId="0" applyBorder="1" applyProtection="1"/>
    <xf numFmtId="0" fontId="8" fillId="0" borderId="12" xfId="0" applyFont="1" applyBorder="1" applyAlignment="1" applyProtection="1">
      <alignment horizontal="center"/>
    </xf>
    <xf numFmtId="0" fontId="8" fillId="3" borderId="12" xfId="0" applyFont="1" applyFill="1" applyBorder="1" applyAlignment="1" applyProtection="1">
      <alignment horizontal="center"/>
    </xf>
    <xf numFmtId="0" fontId="10" fillId="0" borderId="7" xfId="0" applyFont="1" applyBorder="1" applyProtection="1"/>
    <xf numFmtId="0" fontId="10" fillId="0" borderId="7" xfId="0" applyFont="1" applyBorder="1" applyAlignment="1" applyProtection="1">
      <alignment horizontal="center"/>
    </xf>
    <xf numFmtId="0" fontId="10" fillId="0" borderId="7" xfId="0" applyFont="1" applyBorder="1"/>
    <xf numFmtId="0" fontId="8" fillId="2" borderId="9" xfId="0" applyFont="1" applyFill="1" applyBorder="1" applyAlignment="1" applyProtection="1">
      <alignment horizontal="left"/>
      <protection locked="0"/>
    </xf>
    <xf numFmtId="0" fontId="8" fillId="2" borderId="9" xfId="0" applyFont="1" applyFill="1" applyBorder="1" applyAlignment="1" applyProtection="1">
      <alignment horizontal="center"/>
    </xf>
    <xf numFmtId="0" fontId="0" fillId="0" borderId="0" xfId="0" applyBorder="1"/>
    <xf numFmtId="0" fontId="1" fillId="3" borderId="0" xfId="0" applyFont="1" applyFill="1" applyBorder="1"/>
    <xf numFmtId="0" fontId="8" fillId="2" borderId="0" xfId="0" applyFont="1" applyFill="1" applyBorder="1" applyAlignment="1" applyProtection="1">
      <alignment horizontal="left"/>
      <protection locked="0"/>
    </xf>
    <xf numFmtId="0" fontId="8" fillId="2" borderId="0" xfId="0" applyFont="1" applyFill="1" applyBorder="1" applyAlignment="1" applyProtection="1">
      <alignment horizontal="left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8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8" fillId="2" borderId="14" xfId="0" applyFont="1" applyFill="1" applyBorder="1" applyAlignment="1" applyProtection="1">
      <alignment horizontal="center"/>
      <protection locked="0"/>
    </xf>
    <xf numFmtId="0" fontId="9" fillId="3" borderId="13" xfId="0" applyFont="1" applyFill="1" applyBorder="1" applyAlignment="1" applyProtection="1">
      <alignment horizontal="center"/>
    </xf>
    <xf numFmtId="0" fontId="8" fillId="0" borderId="14" xfId="0" applyFont="1" applyBorder="1" applyAlignment="1" applyProtection="1">
      <alignment horizontal="center"/>
    </xf>
    <xf numFmtId="0" fontId="11" fillId="0" borderId="0" xfId="0" applyFont="1" applyProtection="1"/>
    <xf numFmtId="0" fontId="11" fillId="0" borderId="7" xfId="0" applyFont="1" applyBorder="1" applyProtection="1"/>
    <xf numFmtId="0" fontId="11" fillId="0" borderId="0" xfId="0" applyFont="1" applyBorder="1" applyAlignment="1" applyProtection="1"/>
    <xf numFmtId="164" fontId="11" fillId="0" borderId="3" xfId="2" applyNumberFormat="1" applyFont="1" applyBorder="1" applyAlignment="1" applyProtection="1">
      <alignment horizontal="left"/>
    </xf>
    <xf numFmtId="0" fontId="11" fillId="0" borderId="3" xfId="0" applyFont="1" applyBorder="1" applyProtection="1"/>
    <xf numFmtId="0" fontId="11" fillId="0" borderId="0" xfId="0" applyFont="1" applyAlignment="1" applyProtection="1">
      <alignment horizontal="right"/>
    </xf>
    <xf numFmtId="165" fontId="11" fillId="0" borderId="0" xfId="0" applyNumberFormat="1" applyFont="1" applyProtection="1"/>
    <xf numFmtId="0" fontId="11" fillId="0" borderId="1" xfId="0" applyFont="1" applyBorder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8" fontId="11" fillId="0" borderId="0" xfId="0" applyNumberFormat="1" applyFont="1" applyAlignment="1" applyProtection="1">
      <alignment horizontal="center"/>
    </xf>
    <xf numFmtId="0" fontId="11" fillId="0" borderId="7" xfId="0" applyFont="1" applyBorder="1" applyAlignment="1" applyProtection="1">
      <alignment horizontal="center"/>
    </xf>
    <xf numFmtId="0" fontId="11" fillId="2" borderId="11" xfId="0" applyFont="1" applyFill="1" applyBorder="1" applyProtection="1">
      <protection locked="0"/>
    </xf>
    <xf numFmtId="164" fontId="11" fillId="0" borderId="0" xfId="2" applyNumberFormat="1" applyFont="1" applyBorder="1" applyAlignment="1" applyProtection="1">
      <alignment horizontal="left"/>
    </xf>
    <xf numFmtId="0" fontId="11" fillId="0" borderId="0" xfId="0" applyFont="1" applyAlignment="1" applyProtection="1">
      <alignment horizontal="left"/>
    </xf>
    <xf numFmtId="0" fontId="11" fillId="3" borderId="0" xfId="0" applyFont="1" applyFill="1" applyProtection="1"/>
    <xf numFmtId="165" fontId="11" fillId="3" borderId="0" xfId="0" applyNumberFormat="1" applyFont="1" applyFill="1" applyProtection="1"/>
    <xf numFmtId="0" fontId="4" fillId="0" borderId="0" xfId="0" applyFont="1" applyAlignment="1" applyProtection="1">
      <alignment horizontal="center"/>
    </xf>
    <xf numFmtId="0" fontId="9" fillId="0" borderId="0" xfId="0" applyFont="1" applyBorder="1" applyAlignment="1" applyProtection="1">
      <alignment horizontal="right"/>
    </xf>
    <xf numFmtId="0" fontId="7" fillId="0" borderId="0" xfId="0" applyFont="1" applyBorder="1" applyAlignment="1" applyProtection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9" fillId="3" borderId="0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0" fontId="6" fillId="0" borderId="0" xfId="0" applyFont="1" applyBorder="1" applyAlignment="1" applyProtection="1"/>
    <xf numFmtId="0" fontId="6" fillId="0" borderId="0" xfId="0" applyFont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1" fillId="3" borderId="6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12" fillId="0" borderId="0" xfId="0" applyFont="1" applyAlignment="1" applyProtection="1">
      <alignment horizontal="right"/>
    </xf>
    <xf numFmtId="0" fontId="0" fillId="0" borderId="0" xfId="0" applyAlignment="1"/>
    <xf numFmtId="0" fontId="8" fillId="2" borderId="9" xfId="0" applyFont="1" applyFill="1" applyBorder="1" applyAlignment="1" applyProtection="1"/>
    <xf numFmtId="0" fontId="0" fillId="0" borderId="0" xfId="0" applyAlignment="1" applyProtection="1"/>
    <xf numFmtId="0" fontId="8" fillId="0" borderId="0" xfId="0" applyFont="1" applyBorder="1" applyAlignment="1" applyProtection="1"/>
    <xf numFmtId="0" fontId="1" fillId="3" borderId="0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/>
    </xf>
    <xf numFmtId="0" fontId="13" fillId="0" borderId="0" xfId="0" applyFont="1"/>
    <xf numFmtId="0" fontId="13" fillId="0" borderId="0" xfId="0" applyFont="1" applyProtection="1"/>
    <xf numFmtId="0" fontId="13" fillId="0" borderId="11" xfId="0" applyFont="1" applyBorder="1" applyAlignment="1" applyProtection="1">
      <alignment horizontal="center" vertical="center"/>
    </xf>
    <xf numFmtId="0" fontId="14" fillId="0" borderId="11" xfId="0" applyFont="1" applyBorder="1" applyAlignment="1" applyProtection="1">
      <alignment horizontal="center"/>
    </xf>
    <xf numFmtId="0" fontId="14" fillId="2" borderId="11" xfId="0" applyFont="1" applyFill="1" applyBorder="1" applyAlignment="1" applyProtection="1">
      <alignment horizontal="center"/>
      <protection locked="0"/>
    </xf>
    <xf numFmtId="0" fontId="8" fillId="2" borderId="0" xfId="0" applyFont="1" applyFill="1" applyBorder="1" applyAlignment="1" applyProtection="1">
      <alignment horizontal="right"/>
      <protection locked="0"/>
    </xf>
    <xf numFmtId="0" fontId="8" fillId="3" borderId="0" xfId="0" applyFont="1" applyFill="1" applyBorder="1" applyAlignment="1" applyProtection="1">
      <alignment horizontal="right"/>
      <protection locked="0"/>
    </xf>
    <xf numFmtId="0" fontId="14" fillId="3" borderId="0" xfId="0" applyFont="1" applyFill="1" applyBorder="1" applyAlignment="1" applyProtection="1">
      <alignment horizontal="center"/>
    </xf>
    <xf numFmtId="0" fontId="0" fillId="3" borderId="0" xfId="0" applyFill="1"/>
    <xf numFmtId="0" fontId="0" fillId="3" borderId="0" xfId="0" applyFill="1" applyProtection="1"/>
    <xf numFmtId="0" fontId="14" fillId="3" borderId="11" xfId="0" applyFont="1" applyFill="1" applyBorder="1" applyAlignment="1" applyProtection="1">
      <alignment horizontal="center"/>
      <protection locked="0"/>
    </xf>
    <xf numFmtId="0" fontId="13" fillId="3" borderId="0" xfId="0" applyFont="1" applyFill="1" applyBorder="1" applyProtection="1"/>
    <xf numFmtId="0" fontId="13" fillId="3" borderId="0" xfId="0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vertical="center"/>
    </xf>
    <xf numFmtId="0" fontId="14" fillId="3" borderId="0" xfId="0" applyFont="1" applyFill="1" applyBorder="1" applyAlignment="1" applyProtection="1">
      <alignment horizontal="center"/>
      <protection locked="0"/>
    </xf>
    <xf numFmtId="0" fontId="0" fillId="3" borderId="0" xfId="0" applyFill="1" applyBorder="1"/>
    <xf numFmtId="0" fontId="14" fillId="2" borderId="11" xfId="0" applyFont="1" applyFill="1" applyBorder="1" applyAlignment="1" applyProtection="1">
      <alignment horizontal="center"/>
    </xf>
    <xf numFmtId="0" fontId="13" fillId="0" borderId="1" xfId="0" applyFont="1" applyBorder="1" applyAlignment="1" applyProtection="1">
      <alignment horizontal="center" vertical="center"/>
    </xf>
    <xf numFmtId="0" fontId="13" fillId="0" borderId="0" xfId="0" applyFont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6" fillId="3" borderId="0" xfId="0" applyFont="1" applyFill="1"/>
    <xf numFmtId="0" fontId="16" fillId="3" borderId="0" xfId="0" applyFont="1" applyFill="1" applyProtection="1"/>
    <xf numFmtId="0" fontId="17" fillId="3" borderId="0" xfId="0" applyFont="1" applyFill="1" applyBorder="1" applyAlignment="1" applyProtection="1">
      <alignment horizontal="center"/>
    </xf>
    <xf numFmtId="0" fontId="8" fillId="2" borderId="0" xfId="0" applyFont="1" applyFill="1" applyBorder="1" applyAlignment="1" applyProtection="1">
      <alignment horizontal="left"/>
      <protection locked="0"/>
    </xf>
    <xf numFmtId="0" fontId="13" fillId="0" borderId="0" xfId="0" applyFont="1" applyAlignment="1">
      <alignment vertical="center"/>
    </xf>
    <xf numFmtId="0" fontId="15" fillId="4" borderId="15" xfId="3" applyFill="1" applyBorder="1" applyAlignment="1">
      <alignment vertical="center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173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image" Target="../media/image6.jpg"/><Relationship Id="rId1" Type="http://schemas.openxmlformats.org/officeDocument/2006/relationships/image" Target="../media/image5.jpg"/><Relationship Id="rId4" Type="http://schemas.openxmlformats.org/officeDocument/2006/relationships/image" Target="../media/image8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image" Target="../media/image6.jpg"/><Relationship Id="rId1" Type="http://schemas.openxmlformats.org/officeDocument/2006/relationships/image" Target="../media/image5.jpg"/><Relationship Id="rId4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121920</xdr:colOff>
      <xdr:row>5</xdr:row>
      <xdr:rowOff>0</xdr:rowOff>
    </xdr:from>
    <xdr:to>
      <xdr:col>5</xdr:col>
      <xdr:colOff>285750</xdr:colOff>
      <xdr:row>10</xdr:row>
      <xdr:rowOff>238125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DAF88DA-8985-4EAA-B6A7-AA969441C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82524">
          <a:off x="3429000" y="1325880"/>
          <a:ext cx="2457450" cy="2143125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4</xdr:row>
      <xdr:rowOff>259079</xdr:rowOff>
    </xdr:from>
    <xdr:to>
      <xdr:col>13</xdr:col>
      <xdr:colOff>346710</xdr:colOff>
      <xdr:row>10</xdr:row>
      <xdr:rowOff>211454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CD23ACA-DF87-4D3D-9E6E-4F71D117A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7356">
          <a:off x="10370820" y="1386839"/>
          <a:ext cx="2533650" cy="2238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865650</xdr:colOff>
      <xdr:row>3</xdr:row>
      <xdr:rowOff>261989</xdr:rowOff>
    </xdr:from>
    <xdr:to>
      <xdr:col>5</xdr:col>
      <xdr:colOff>553850</xdr:colOff>
      <xdr:row>9</xdr:row>
      <xdr:rowOff>141566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215F23-B9D8-4827-99EF-2A4E4DF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5513">
          <a:off x="3751725" y="1204964"/>
          <a:ext cx="2602850" cy="2165577"/>
        </a:xfrm>
        <a:prstGeom prst="rect">
          <a:avLst/>
        </a:prstGeom>
      </xdr:spPr>
    </xdr:pic>
    <xdr:clientData/>
  </xdr:twoCellAnchor>
  <xdr:twoCellAnchor editAs="oneCell">
    <xdr:from>
      <xdr:col>8</xdr:col>
      <xdr:colOff>838715</xdr:colOff>
      <xdr:row>4</xdr:row>
      <xdr:rowOff>355937</xdr:rowOff>
    </xdr:from>
    <xdr:to>
      <xdr:col>13</xdr:col>
      <xdr:colOff>170231</xdr:colOff>
      <xdr:row>10</xdr:row>
      <xdr:rowOff>193329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0FC696-55BC-4F10-B3E3-AA93B6166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0043">
          <a:off x="11308595" y="1681817"/>
          <a:ext cx="2630976" cy="21233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1112520</xdr:colOff>
      <xdr:row>0</xdr:row>
      <xdr:rowOff>249393</xdr:rowOff>
    </xdr:from>
    <xdr:to>
      <xdr:col>1</xdr:col>
      <xdr:colOff>129540</xdr:colOff>
      <xdr:row>1</xdr:row>
      <xdr:rowOff>373380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0EF618-6A01-4697-ACAB-AC6520078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" y="249393"/>
          <a:ext cx="807720" cy="482127"/>
        </a:xfrm>
        <a:prstGeom prst="rect">
          <a:avLst/>
        </a:prstGeom>
      </xdr:spPr>
    </xdr:pic>
    <xdr:clientData/>
  </xdr:twoCellAnchor>
  <xdr:twoCellAnchor editAs="oneCell">
    <xdr:from>
      <xdr:col>0</xdr:col>
      <xdr:colOff>759576</xdr:colOff>
      <xdr:row>1</xdr:row>
      <xdr:rowOff>343452</xdr:rowOff>
    </xdr:from>
    <xdr:to>
      <xdr:col>0</xdr:col>
      <xdr:colOff>1653540</xdr:colOff>
      <xdr:row>3</xdr:row>
      <xdr:rowOff>44836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B33CE7-45A9-4826-AC9C-3AAA7329A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576" y="785412"/>
          <a:ext cx="893964" cy="570064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1066801</xdr:colOff>
      <xdr:row>3</xdr:row>
      <xdr:rowOff>114300</xdr:rowOff>
    </xdr:from>
    <xdr:to>
      <xdr:col>1</xdr:col>
      <xdr:colOff>15240</xdr:colOff>
      <xdr:row>4</xdr:row>
      <xdr:rowOff>139231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5CB14A0-1DED-49D7-8855-AA34DA101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1" y="1424940"/>
          <a:ext cx="739139" cy="459271"/>
        </a:xfrm>
        <a:prstGeom prst="rect">
          <a:avLst/>
        </a:prstGeom>
      </xdr:spPr>
    </xdr:pic>
    <xdr:clientData/>
  </xdr:twoCellAnchor>
  <xdr:twoCellAnchor editAs="oneCell">
    <xdr:from>
      <xdr:col>0</xdr:col>
      <xdr:colOff>640081</xdr:colOff>
      <xdr:row>4</xdr:row>
      <xdr:rowOff>175261</xdr:rowOff>
    </xdr:from>
    <xdr:to>
      <xdr:col>0</xdr:col>
      <xdr:colOff>1722121</xdr:colOff>
      <xdr:row>5</xdr:row>
      <xdr:rowOff>385698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C29D298-9457-4E3C-A335-B90A43A33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1" y="1920241"/>
          <a:ext cx="1082040" cy="6447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1112520</xdr:colOff>
      <xdr:row>0</xdr:row>
      <xdr:rowOff>249393</xdr:rowOff>
    </xdr:from>
    <xdr:to>
      <xdr:col>1</xdr:col>
      <xdr:colOff>129540</xdr:colOff>
      <xdr:row>1</xdr:row>
      <xdr:rowOff>373380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CD548-ACB9-4190-9E77-9CF7B62C3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" y="249393"/>
          <a:ext cx="807720" cy="482127"/>
        </a:xfrm>
        <a:prstGeom prst="rect">
          <a:avLst/>
        </a:prstGeom>
      </xdr:spPr>
    </xdr:pic>
    <xdr:clientData/>
  </xdr:twoCellAnchor>
  <xdr:twoCellAnchor editAs="oneCell">
    <xdr:from>
      <xdr:col>0</xdr:col>
      <xdr:colOff>759576</xdr:colOff>
      <xdr:row>1</xdr:row>
      <xdr:rowOff>343452</xdr:rowOff>
    </xdr:from>
    <xdr:to>
      <xdr:col>0</xdr:col>
      <xdr:colOff>1653540</xdr:colOff>
      <xdr:row>3</xdr:row>
      <xdr:rowOff>44836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D7A994-C696-4BBD-A17E-D1E04CF1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576" y="701592"/>
          <a:ext cx="893964" cy="570064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1066801</xdr:colOff>
      <xdr:row>3</xdr:row>
      <xdr:rowOff>114300</xdr:rowOff>
    </xdr:from>
    <xdr:to>
      <xdr:col>1</xdr:col>
      <xdr:colOff>15240</xdr:colOff>
      <xdr:row>4</xdr:row>
      <xdr:rowOff>139231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AEE750-0F1E-4A4F-AEBF-1FA918C8A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1" y="1341120"/>
          <a:ext cx="739139" cy="459271"/>
        </a:xfrm>
        <a:prstGeom prst="rect">
          <a:avLst/>
        </a:prstGeom>
      </xdr:spPr>
    </xdr:pic>
    <xdr:clientData/>
  </xdr:twoCellAnchor>
  <xdr:twoCellAnchor editAs="oneCell">
    <xdr:from>
      <xdr:col>0</xdr:col>
      <xdr:colOff>640081</xdr:colOff>
      <xdr:row>4</xdr:row>
      <xdr:rowOff>175261</xdr:rowOff>
    </xdr:from>
    <xdr:to>
      <xdr:col>0</xdr:col>
      <xdr:colOff>1722121</xdr:colOff>
      <xdr:row>5</xdr:row>
      <xdr:rowOff>385698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F6B3E29-B2E9-4A85-8F03-E15424CE4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1" y="1836421"/>
          <a:ext cx="1082040" cy="6447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kaye.com/HACC/fill%20in%20one%20to%20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O69"/>
  <sheetViews>
    <sheetView showGridLines="0" workbookViewId="0">
      <selection activeCell="G4" sqref="G4:N13"/>
    </sheetView>
  </sheetViews>
  <sheetFormatPr defaultRowHeight="14.4" x14ac:dyDescent="0.3"/>
  <cols>
    <col min="1" max="1" width="19.5546875" customWidth="1"/>
    <col min="2" max="2" width="12.5546875" customWidth="1"/>
    <col min="3" max="3" width="10.88671875" customWidth="1"/>
    <col min="4" max="4" width="12.6640625" customWidth="1"/>
    <col min="5" max="5" width="33.44140625" customWidth="1"/>
    <col min="6" max="6" width="8.88671875" style="70"/>
    <col min="7" max="7" width="17.6640625" customWidth="1"/>
    <col min="8" max="8" width="12" customWidth="1"/>
    <col min="9" max="9" width="12.6640625" customWidth="1"/>
  </cols>
  <sheetData>
    <row r="1" spans="1:15" x14ac:dyDescent="0.3">
      <c r="A1" s="18"/>
      <c r="B1" s="29"/>
      <c r="C1" s="29"/>
      <c r="D1" s="29"/>
      <c r="E1" s="29"/>
      <c r="F1" s="29"/>
      <c r="G1" s="29"/>
      <c r="H1" s="29"/>
      <c r="I1" s="29"/>
      <c r="J1" s="18"/>
      <c r="K1" s="18"/>
      <c r="L1" s="18"/>
      <c r="M1" s="18"/>
      <c r="N1" s="18"/>
      <c r="O1" s="18"/>
    </row>
    <row r="2" spans="1:15" ht="30" x14ac:dyDescent="0.7">
      <c r="A2" s="18"/>
      <c r="B2" s="26" t="s">
        <v>0</v>
      </c>
      <c r="C2" s="81"/>
      <c r="D2" s="82"/>
      <c r="E2" s="82"/>
      <c r="F2" s="29"/>
      <c r="G2" s="29"/>
      <c r="H2" s="29"/>
      <c r="I2" s="29"/>
      <c r="J2" s="18"/>
      <c r="K2" s="18"/>
      <c r="L2" s="18"/>
      <c r="M2" s="18"/>
      <c r="N2" s="18"/>
      <c r="O2" s="18"/>
    </row>
    <row r="3" spans="1:15" x14ac:dyDescent="0.3">
      <c r="A3" s="66">
        <v>1</v>
      </c>
      <c r="B3" s="29"/>
      <c r="C3" s="83"/>
      <c r="D3" s="84"/>
      <c r="E3" s="85"/>
      <c r="F3" s="29"/>
      <c r="G3" s="29"/>
      <c r="H3" s="29"/>
      <c r="I3" s="29"/>
      <c r="J3" s="18"/>
      <c r="K3" s="18"/>
      <c r="L3" s="18"/>
      <c r="M3" s="18"/>
      <c r="N3" s="18"/>
      <c r="O3" s="18"/>
    </row>
    <row r="4" spans="1:15" ht="30" x14ac:dyDescent="0.7">
      <c r="A4" s="66">
        <v>1</v>
      </c>
      <c r="B4" s="24" t="s">
        <v>1</v>
      </c>
      <c r="C4" s="86">
        <v>1</v>
      </c>
      <c r="D4" s="24" t="str">
        <f t="shared" ref="D4:D13" si="0">IF(C4&lt;&gt;"",IF(C4=A4,"GOOD","  ?")," ")</f>
        <v>GOOD</v>
      </c>
      <c r="E4" s="87">
        <f>IF(D4="GOOD",1,0)</f>
        <v>1</v>
      </c>
      <c r="F4" s="85">
        <f>A3+10</f>
        <v>11</v>
      </c>
      <c r="G4" s="24" t="s">
        <v>2</v>
      </c>
      <c r="H4" s="86"/>
      <c r="I4" s="24" t="str">
        <f t="shared" ref="I4:I7" si="1">IF(H4&lt;&gt;"",IF(H4=F4,"GOOD","  ?")," ")</f>
        <v xml:space="preserve"> </v>
      </c>
      <c r="J4" s="18"/>
      <c r="K4" s="18"/>
      <c r="L4" s="18"/>
      <c r="M4" s="18"/>
      <c r="N4" s="18"/>
      <c r="O4" s="18"/>
    </row>
    <row r="5" spans="1:15" ht="30" x14ac:dyDescent="0.7">
      <c r="A5" s="66">
        <v>2</v>
      </c>
      <c r="B5" s="24" t="s">
        <v>3</v>
      </c>
      <c r="C5" s="86">
        <v>2</v>
      </c>
      <c r="D5" s="24" t="str">
        <f t="shared" si="0"/>
        <v>GOOD</v>
      </c>
      <c r="E5" s="87">
        <f t="shared" ref="E5:E11" si="2">IF(D5="GOOD",1,0)</f>
        <v>1</v>
      </c>
      <c r="F5" s="85">
        <f>A5+10</f>
        <v>12</v>
      </c>
      <c r="G5" s="24" t="s">
        <v>4</v>
      </c>
      <c r="H5" s="86"/>
      <c r="I5" s="24" t="str">
        <f t="shared" si="1"/>
        <v xml:space="preserve"> </v>
      </c>
      <c r="J5" s="18"/>
      <c r="K5" s="18"/>
      <c r="L5" s="18"/>
      <c r="M5" s="18"/>
      <c r="N5" s="18"/>
      <c r="O5" s="18"/>
    </row>
    <row r="6" spans="1:15" ht="30" x14ac:dyDescent="0.7">
      <c r="A6" s="66">
        <v>3</v>
      </c>
      <c r="B6" s="24" t="s">
        <v>5</v>
      </c>
      <c r="C6" s="86">
        <v>3</v>
      </c>
      <c r="D6" s="24" t="str">
        <f t="shared" si="0"/>
        <v>GOOD</v>
      </c>
      <c r="E6" s="87">
        <f t="shared" si="2"/>
        <v>1</v>
      </c>
      <c r="F6" s="85">
        <f t="shared" ref="F6:F13" si="3">A6+10</f>
        <v>13</v>
      </c>
      <c r="G6" s="24" t="s">
        <v>6</v>
      </c>
      <c r="H6" s="86">
        <v>13</v>
      </c>
      <c r="I6" s="24" t="str">
        <f t="shared" si="1"/>
        <v>GOOD</v>
      </c>
      <c r="J6" s="18"/>
      <c r="K6" s="18"/>
      <c r="L6" s="18"/>
      <c r="M6" s="18"/>
      <c r="N6" s="18"/>
      <c r="O6" s="18"/>
    </row>
    <row r="7" spans="1:15" ht="30" x14ac:dyDescent="0.7">
      <c r="A7" s="66">
        <v>4</v>
      </c>
      <c r="B7" s="24" t="s">
        <v>7</v>
      </c>
      <c r="C7" s="86">
        <v>4</v>
      </c>
      <c r="D7" s="24" t="str">
        <f t="shared" si="0"/>
        <v>GOOD</v>
      </c>
      <c r="E7" s="87">
        <f t="shared" si="2"/>
        <v>1</v>
      </c>
      <c r="F7" s="85">
        <f t="shared" si="3"/>
        <v>14</v>
      </c>
      <c r="G7" s="24" t="s">
        <v>8</v>
      </c>
      <c r="H7" s="86"/>
      <c r="I7" s="24" t="str">
        <f t="shared" si="1"/>
        <v xml:space="preserve"> </v>
      </c>
      <c r="J7" s="18"/>
      <c r="K7" s="18"/>
      <c r="L7" s="18"/>
      <c r="M7" s="18"/>
      <c r="N7" s="18"/>
      <c r="O7" s="18"/>
    </row>
    <row r="8" spans="1:15" ht="30" x14ac:dyDescent="0.7">
      <c r="A8" s="66">
        <v>5</v>
      </c>
      <c r="B8" s="24" t="s">
        <v>9</v>
      </c>
      <c r="C8" s="86">
        <v>5</v>
      </c>
      <c r="D8" s="24" t="str">
        <f t="shared" si="0"/>
        <v>GOOD</v>
      </c>
      <c r="E8" s="87">
        <f t="shared" si="2"/>
        <v>1</v>
      </c>
      <c r="F8" s="85">
        <f t="shared" si="3"/>
        <v>15</v>
      </c>
      <c r="G8" s="24" t="s">
        <v>10</v>
      </c>
      <c r="H8" s="86"/>
      <c r="I8" s="24" t="str">
        <f>IF(H8&lt;&gt;"",IF(H8=F8,"GOOD","  ?")," ")</f>
        <v xml:space="preserve"> </v>
      </c>
      <c r="J8" s="18"/>
      <c r="K8" s="18"/>
      <c r="L8" s="18"/>
      <c r="M8" s="18"/>
      <c r="N8" s="18"/>
      <c r="O8" s="18"/>
    </row>
    <row r="9" spans="1:15" ht="30" x14ac:dyDescent="0.7">
      <c r="A9" s="66">
        <v>6</v>
      </c>
      <c r="B9" s="24" t="s">
        <v>11</v>
      </c>
      <c r="C9" s="86">
        <v>6</v>
      </c>
      <c r="D9" s="24" t="str">
        <f t="shared" si="0"/>
        <v>GOOD</v>
      </c>
      <c r="E9" s="87">
        <f t="shared" si="2"/>
        <v>1</v>
      </c>
      <c r="F9" s="85">
        <f t="shared" si="3"/>
        <v>16</v>
      </c>
      <c r="G9" s="24" t="s">
        <v>12</v>
      </c>
      <c r="H9" s="86"/>
      <c r="I9" s="24" t="str">
        <f t="shared" ref="I9:I13" si="4">IF(H9&lt;&gt;"",IF(H9=F9,"GOOD","  ?")," ")</f>
        <v xml:space="preserve"> </v>
      </c>
      <c r="J9" s="40"/>
      <c r="K9" s="18"/>
      <c r="L9" s="18"/>
      <c r="M9" s="18"/>
      <c r="N9" s="18"/>
      <c r="O9" s="18"/>
    </row>
    <row r="10" spans="1:15" ht="30" x14ac:dyDescent="0.7">
      <c r="A10" s="66">
        <v>7</v>
      </c>
      <c r="B10" s="24" t="s">
        <v>13</v>
      </c>
      <c r="C10" s="86">
        <v>7</v>
      </c>
      <c r="D10" s="24" t="str">
        <f t="shared" si="0"/>
        <v>GOOD</v>
      </c>
      <c r="E10" s="87">
        <f t="shared" si="2"/>
        <v>1</v>
      </c>
      <c r="F10" s="85">
        <f t="shared" si="3"/>
        <v>17</v>
      </c>
      <c r="G10" s="24" t="s">
        <v>14</v>
      </c>
      <c r="H10" s="86"/>
      <c r="I10" s="24" t="str">
        <f t="shared" si="4"/>
        <v xml:space="preserve"> </v>
      </c>
      <c r="J10" s="18"/>
      <c r="K10" s="18"/>
      <c r="L10" s="18"/>
      <c r="M10" s="18"/>
      <c r="N10" s="18"/>
      <c r="O10" s="18"/>
    </row>
    <row r="11" spans="1:15" ht="30" x14ac:dyDescent="0.7">
      <c r="A11" s="66">
        <v>8</v>
      </c>
      <c r="B11" s="24" t="s">
        <v>15</v>
      </c>
      <c r="C11" s="86">
        <v>8</v>
      </c>
      <c r="D11" s="24" t="str">
        <f t="shared" si="0"/>
        <v>GOOD</v>
      </c>
      <c r="E11" s="87">
        <f t="shared" si="2"/>
        <v>1</v>
      </c>
      <c r="F11" s="85">
        <f t="shared" si="3"/>
        <v>18</v>
      </c>
      <c r="G11" s="24" t="s">
        <v>16</v>
      </c>
      <c r="H11" s="86"/>
      <c r="I11" s="24" t="str">
        <f t="shared" si="4"/>
        <v xml:space="preserve"> </v>
      </c>
      <c r="J11" s="18"/>
      <c r="K11" s="18"/>
      <c r="L11" s="18"/>
      <c r="M11" s="18"/>
      <c r="N11" s="18"/>
      <c r="O11" s="18"/>
    </row>
    <row r="12" spans="1:15" ht="30" x14ac:dyDescent="0.7">
      <c r="A12" s="66">
        <v>9</v>
      </c>
      <c r="B12" s="37" t="s">
        <v>17</v>
      </c>
      <c r="C12" s="86">
        <v>9</v>
      </c>
      <c r="D12" s="24" t="str">
        <f t="shared" si="0"/>
        <v>GOOD</v>
      </c>
      <c r="E12" s="87"/>
      <c r="F12" s="85">
        <f t="shared" si="3"/>
        <v>19</v>
      </c>
      <c r="G12" s="37" t="s">
        <v>18</v>
      </c>
      <c r="H12" s="86"/>
      <c r="I12" s="24" t="str">
        <f t="shared" si="4"/>
        <v xml:space="preserve"> </v>
      </c>
      <c r="J12" s="18"/>
      <c r="K12" s="18"/>
      <c r="L12" s="18"/>
      <c r="M12" s="18"/>
      <c r="N12" s="18"/>
      <c r="O12" s="18"/>
    </row>
    <row r="13" spans="1:15" ht="30" x14ac:dyDescent="0.7">
      <c r="A13" s="66">
        <v>10</v>
      </c>
      <c r="B13" s="37" t="s">
        <v>19</v>
      </c>
      <c r="C13" s="86">
        <v>10</v>
      </c>
      <c r="D13" s="24" t="str">
        <f t="shared" si="0"/>
        <v>GOOD</v>
      </c>
      <c r="E13" s="87"/>
      <c r="F13" s="85">
        <f t="shared" si="3"/>
        <v>20</v>
      </c>
      <c r="G13" s="37" t="s">
        <v>20</v>
      </c>
      <c r="H13" s="86"/>
      <c r="I13" s="24" t="str">
        <f t="shared" si="4"/>
        <v xml:space="preserve"> </v>
      </c>
      <c r="J13" s="18"/>
      <c r="K13" s="18"/>
      <c r="L13" s="18"/>
      <c r="M13" s="18"/>
      <c r="N13" s="18"/>
      <c r="O13" s="18"/>
    </row>
    <row r="14" spans="1:15" s="18" customFormat="1" ht="30" x14ac:dyDescent="0.7">
      <c r="B14" s="33"/>
      <c r="C14" s="37"/>
      <c r="D14" s="65"/>
      <c r="E14" s="85"/>
      <c r="F14" s="29"/>
      <c r="G14" s="29"/>
      <c r="H14" s="29"/>
      <c r="I14" s="29"/>
    </row>
    <row r="15" spans="1:15" s="18" customFormat="1" ht="34.200000000000003" x14ac:dyDescent="0.8">
      <c r="B15" s="33"/>
      <c r="C15" s="37"/>
      <c r="D15" s="31"/>
      <c r="E15" s="66"/>
      <c r="F15" s="71"/>
    </row>
    <row r="16" spans="1:15" s="18" customFormat="1" x14ac:dyDescent="0.3">
      <c r="C16" s="41"/>
      <c r="D16" s="64"/>
      <c r="E16" s="66"/>
      <c r="F16" s="71"/>
    </row>
    <row r="17" spans="3:6" s="18" customFormat="1" x14ac:dyDescent="0.3">
      <c r="C17" s="41"/>
      <c r="D17" s="64"/>
      <c r="E17" s="66"/>
      <c r="F17" s="71"/>
    </row>
    <row r="18" spans="3:6" s="18" customFormat="1" x14ac:dyDescent="0.3">
      <c r="F18" s="71"/>
    </row>
    <row r="19" spans="3:6" s="18" customFormat="1" x14ac:dyDescent="0.3">
      <c r="F19" s="71"/>
    </row>
    <row r="20" spans="3:6" s="18" customFormat="1" x14ac:dyDescent="0.3">
      <c r="F20" s="71"/>
    </row>
    <row r="21" spans="3:6" s="18" customFormat="1" x14ac:dyDescent="0.3">
      <c r="F21" s="71"/>
    </row>
    <row r="22" spans="3:6" s="18" customFormat="1" x14ac:dyDescent="0.3">
      <c r="F22" s="71"/>
    </row>
    <row r="23" spans="3:6" s="18" customFormat="1" x14ac:dyDescent="0.3">
      <c r="F23" s="71"/>
    </row>
    <row r="24" spans="3:6" s="18" customFormat="1" x14ac:dyDescent="0.3">
      <c r="F24" s="71"/>
    </row>
    <row r="25" spans="3:6" s="18" customFormat="1" x14ac:dyDescent="0.3">
      <c r="F25" s="71"/>
    </row>
    <row r="26" spans="3:6" s="18" customFormat="1" x14ac:dyDescent="0.3">
      <c r="F26" s="71"/>
    </row>
    <row r="27" spans="3:6" s="18" customFormat="1" x14ac:dyDescent="0.3">
      <c r="F27" s="71"/>
    </row>
    <row r="28" spans="3:6" s="18" customFormat="1" x14ac:dyDescent="0.3">
      <c r="F28" s="71"/>
    </row>
    <row r="29" spans="3:6" s="18" customFormat="1" x14ac:dyDescent="0.3">
      <c r="F29" s="71"/>
    </row>
    <row r="30" spans="3:6" s="18" customFormat="1" x14ac:dyDescent="0.3">
      <c r="F30" s="71"/>
    </row>
    <row r="31" spans="3:6" s="18" customFormat="1" x14ac:dyDescent="0.3">
      <c r="F31" s="71"/>
    </row>
    <row r="32" spans="3:6" s="18" customFormat="1" x14ac:dyDescent="0.3">
      <c r="F32" s="71"/>
    </row>
    <row r="33" spans="6:6" s="18" customFormat="1" x14ac:dyDescent="0.3">
      <c r="F33" s="71"/>
    </row>
    <row r="34" spans="6:6" s="18" customFormat="1" x14ac:dyDescent="0.3">
      <c r="F34" s="71"/>
    </row>
    <row r="35" spans="6:6" s="18" customFormat="1" x14ac:dyDescent="0.3">
      <c r="F35" s="71"/>
    </row>
    <row r="36" spans="6:6" s="18" customFormat="1" x14ac:dyDescent="0.3">
      <c r="F36" s="71"/>
    </row>
    <row r="37" spans="6:6" s="18" customFormat="1" x14ac:dyDescent="0.3">
      <c r="F37" s="71"/>
    </row>
    <row r="38" spans="6:6" s="18" customFormat="1" x14ac:dyDescent="0.3">
      <c r="F38" s="71"/>
    </row>
    <row r="39" spans="6:6" s="18" customFormat="1" x14ac:dyDescent="0.3">
      <c r="F39" s="71"/>
    </row>
    <row r="40" spans="6:6" s="18" customFormat="1" x14ac:dyDescent="0.3">
      <c r="F40" s="71"/>
    </row>
    <row r="41" spans="6:6" s="18" customFormat="1" x14ac:dyDescent="0.3">
      <c r="F41" s="71"/>
    </row>
    <row r="42" spans="6:6" s="18" customFormat="1" x14ac:dyDescent="0.3">
      <c r="F42" s="71"/>
    </row>
    <row r="43" spans="6:6" s="18" customFormat="1" x14ac:dyDescent="0.3">
      <c r="F43" s="71"/>
    </row>
    <row r="44" spans="6:6" s="18" customFormat="1" x14ac:dyDescent="0.3">
      <c r="F44" s="71"/>
    </row>
    <row r="45" spans="6:6" s="18" customFormat="1" x14ac:dyDescent="0.3">
      <c r="F45" s="71"/>
    </row>
    <row r="46" spans="6:6" s="18" customFormat="1" x14ac:dyDescent="0.3">
      <c r="F46" s="71"/>
    </row>
    <row r="47" spans="6:6" s="18" customFormat="1" x14ac:dyDescent="0.3">
      <c r="F47" s="71"/>
    </row>
    <row r="48" spans="6:6" s="18" customFormat="1" x14ac:dyDescent="0.3">
      <c r="F48" s="71"/>
    </row>
    <row r="49" spans="6:6" s="18" customFormat="1" x14ac:dyDescent="0.3">
      <c r="F49" s="71"/>
    </row>
    <row r="50" spans="6:6" s="18" customFormat="1" x14ac:dyDescent="0.3">
      <c r="F50" s="71"/>
    </row>
    <row r="51" spans="6:6" s="18" customFormat="1" x14ac:dyDescent="0.3">
      <c r="F51" s="71"/>
    </row>
    <row r="52" spans="6:6" s="18" customFormat="1" x14ac:dyDescent="0.3">
      <c r="F52" s="71"/>
    </row>
    <row r="53" spans="6:6" s="18" customFormat="1" x14ac:dyDescent="0.3">
      <c r="F53" s="71"/>
    </row>
    <row r="54" spans="6:6" s="18" customFormat="1" x14ac:dyDescent="0.3">
      <c r="F54" s="71"/>
    </row>
    <row r="55" spans="6:6" s="18" customFormat="1" x14ac:dyDescent="0.3">
      <c r="F55" s="71"/>
    </row>
    <row r="56" spans="6:6" s="18" customFormat="1" x14ac:dyDescent="0.3">
      <c r="F56" s="71"/>
    </row>
    <row r="57" spans="6:6" s="18" customFormat="1" x14ac:dyDescent="0.3">
      <c r="F57" s="71"/>
    </row>
    <row r="58" spans="6:6" s="18" customFormat="1" x14ac:dyDescent="0.3">
      <c r="F58" s="71"/>
    </row>
    <row r="59" spans="6:6" s="18" customFormat="1" x14ac:dyDescent="0.3">
      <c r="F59" s="71"/>
    </row>
    <row r="60" spans="6:6" s="18" customFormat="1" x14ac:dyDescent="0.3">
      <c r="F60" s="71"/>
    </row>
    <row r="61" spans="6:6" s="18" customFormat="1" x14ac:dyDescent="0.3">
      <c r="F61" s="71"/>
    </row>
    <row r="62" spans="6:6" s="18" customFormat="1" x14ac:dyDescent="0.3">
      <c r="F62" s="71"/>
    </row>
    <row r="63" spans="6:6" s="18" customFormat="1" x14ac:dyDescent="0.3">
      <c r="F63" s="71"/>
    </row>
    <row r="64" spans="6:6" s="18" customFormat="1" x14ac:dyDescent="0.3">
      <c r="F64" s="71"/>
    </row>
    <row r="65" spans="6:6" s="18" customFormat="1" x14ac:dyDescent="0.3">
      <c r="F65" s="71"/>
    </row>
    <row r="66" spans="6:6" s="18" customFormat="1" x14ac:dyDescent="0.3">
      <c r="F66" s="71"/>
    </row>
    <row r="67" spans="6:6" s="18" customFormat="1" x14ac:dyDescent="0.3">
      <c r="F67" s="71"/>
    </row>
    <row r="68" spans="6:6" s="18" customFormat="1" x14ac:dyDescent="0.3">
      <c r="F68" s="71"/>
    </row>
    <row r="69" spans="6:6" s="18" customFormat="1" x14ac:dyDescent="0.3">
      <c r="F69" s="71"/>
    </row>
  </sheetData>
  <sheetProtection selectLockedCells="1"/>
  <conditionalFormatting sqref="C14:C15">
    <cfRule type="cellIs" dxfId="172" priority="2" operator="equal">
      <formula>"Correct!"</formula>
    </cfRule>
    <cfRule type="cellIs" dxfId="171" priority="3" operator="equal">
      <formula>"Correct!"</formula>
    </cfRule>
  </conditionalFormatting>
  <conditionalFormatting sqref="C14:C15">
    <cfRule type="cellIs" dxfId="170" priority="1" operator="equal">
      <formula>"Please try again"</formula>
    </cfRule>
  </conditionalFormatting>
  <pageMargins left="0.7" right="0.7" top="0.75" bottom="0.75" header="0.3" footer="0.3"/>
  <pageSetup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7"/>
  <sheetViews>
    <sheetView showGridLines="0" workbookViewId="0">
      <selection activeCell="A4" sqref="A4"/>
    </sheetView>
  </sheetViews>
  <sheetFormatPr defaultRowHeight="14.4" x14ac:dyDescent="0.3"/>
  <cols>
    <col min="1" max="1" width="10.44140625" customWidth="1"/>
    <col min="2" max="2" width="10.5546875" customWidth="1"/>
    <col min="3" max="3" width="22.33203125" style="63" customWidth="1"/>
    <col min="4" max="4" width="14.33203125" style="121" customWidth="1"/>
    <col min="5" max="5" width="29.44140625" style="67" customWidth="1"/>
    <col min="6" max="6" width="29.109375" customWidth="1"/>
    <col min="7" max="7" width="11.109375" style="70" customWidth="1"/>
    <col min="8" max="8" width="25.44140625" customWidth="1"/>
    <col min="9" max="9" width="12.5546875" customWidth="1"/>
  </cols>
  <sheetData>
    <row r="1" spans="1:34" x14ac:dyDescent="0.3"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30" x14ac:dyDescent="0.7">
      <c r="A2" s="66"/>
      <c r="B2" s="24" t="s">
        <v>0</v>
      </c>
      <c r="C2" s="77"/>
      <c r="D2" s="122"/>
      <c r="E2" s="78"/>
      <c r="F2" s="18"/>
      <c r="G2" s="71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 ht="30" x14ac:dyDescent="0.7">
      <c r="A3" s="66"/>
      <c r="B3" s="18"/>
      <c r="C3" s="41"/>
      <c r="D3" s="123"/>
      <c r="E3" s="66"/>
      <c r="F3" s="18"/>
      <c r="G3" s="71"/>
      <c r="H3" s="18"/>
      <c r="I3" s="18"/>
      <c r="J3" s="24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30" x14ac:dyDescent="0.7">
      <c r="A4" s="66" t="s">
        <v>1</v>
      </c>
      <c r="B4" s="24">
        <v>1</v>
      </c>
      <c r="C4" s="60" t="s">
        <v>1</v>
      </c>
      <c r="D4" s="124" t="str">
        <f t="shared" ref="D4:D7" si="0">IF(C4&lt;&gt;"",IF(A4=C4,"GOOD","  ?")," ")</f>
        <v>GOOD</v>
      </c>
      <c r="E4" s="69">
        <f>IF(D4="GOOD",1,0)</f>
        <v>1</v>
      </c>
      <c r="F4" s="66" t="s">
        <v>2</v>
      </c>
      <c r="G4" s="72">
        <v>11</v>
      </c>
      <c r="H4" s="60"/>
      <c r="I4" s="24" t="str">
        <f>IF(H4&lt;&gt;"",IF(H4=J4,"GOOD","  ?")," ")</f>
        <v xml:space="preserve"> </v>
      </c>
      <c r="J4" s="66" t="s">
        <v>2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30" x14ac:dyDescent="0.7">
      <c r="A5" s="66" t="s">
        <v>3</v>
      </c>
      <c r="B5" s="24">
        <v>2</v>
      </c>
      <c r="C5" s="61"/>
      <c r="D5" s="124" t="str">
        <f t="shared" si="0"/>
        <v xml:space="preserve"> </v>
      </c>
      <c r="E5" s="69">
        <f t="shared" ref="E5:E11" si="1">IF(D5="GOOD",1,0)</f>
        <v>0</v>
      </c>
      <c r="F5" s="66" t="s">
        <v>4</v>
      </c>
      <c r="G5" s="72">
        <v>12</v>
      </c>
      <c r="H5" s="61"/>
      <c r="I5" s="24" t="str">
        <f t="shared" ref="I5:I13" si="2">IF(H5&lt;&gt;"",IF(F5=H5,"GOOD","  ?")," ")</f>
        <v xml:space="preserve"> </v>
      </c>
      <c r="J5" s="66" t="s">
        <v>4</v>
      </c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30" x14ac:dyDescent="0.7">
      <c r="A6" s="66" t="s">
        <v>5</v>
      </c>
      <c r="B6" s="24">
        <v>3</v>
      </c>
      <c r="C6" s="60" t="s">
        <v>5</v>
      </c>
      <c r="D6" s="124" t="str">
        <f t="shared" si="0"/>
        <v>GOOD</v>
      </c>
      <c r="E6" s="69">
        <f t="shared" si="1"/>
        <v>1</v>
      </c>
      <c r="F6" s="66" t="s">
        <v>6</v>
      </c>
      <c r="G6" s="72">
        <v>13</v>
      </c>
      <c r="H6" s="60"/>
      <c r="I6" s="24" t="str">
        <f t="shared" si="2"/>
        <v xml:space="preserve"> </v>
      </c>
      <c r="J6" s="66" t="s">
        <v>6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30" x14ac:dyDescent="0.7">
      <c r="A7" s="66" t="s">
        <v>7</v>
      </c>
      <c r="B7" s="24">
        <v>4</v>
      </c>
      <c r="C7" s="60"/>
      <c r="D7" s="124" t="str">
        <f t="shared" si="0"/>
        <v xml:space="preserve"> </v>
      </c>
      <c r="E7" s="69">
        <f t="shared" si="1"/>
        <v>0</v>
      </c>
      <c r="F7" s="66" t="s">
        <v>8</v>
      </c>
      <c r="G7" s="72">
        <v>14</v>
      </c>
      <c r="H7" s="60"/>
      <c r="I7" s="24" t="str">
        <f t="shared" si="2"/>
        <v xml:space="preserve"> </v>
      </c>
      <c r="J7" s="66" t="s">
        <v>8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30" x14ac:dyDescent="0.7">
      <c r="A8" s="66" t="s">
        <v>9</v>
      </c>
      <c r="B8" s="24">
        <v>5</v>
      </c>
      <c r="C8" s="60"/>
      <c r="D8" s="124" t="str">
        <f>IF(C8&lt;&gt;"",IF(A8=C8,"GOOD","  ?")," ")</f>
        <v xml:space="preserve"> </v>
      </c>
      <c r="E8" s="69">
        <f t="shared" si="1"/>
        <v>0</v>
      </c>
      <c r="F8" s="66" t="s">
        <v>10</v>
      </c>
      <c r="G8" s="72">
        <v>15</v>
      </c>
      <c r="H8" s="60"/>
      <c r="I8" s="24" t="str">
        <f t="shared" si="2"/>
        <v xml:space="preserve"> </v>
      </c>
      <c r="J8" s="66" t="s">
        <v>10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30" x14ac:dyDescent="0.7">
      <c r="A9" s="66" t="s">
        <v>11</v>
      </c>
      <c r="B9" s="24">
        <v>6</v>
      </c>
      <c r="C9" s="60"/>
      <c r="D9" s="124" t="str">
        <f t="shared" ref="D9:D13" si="3">IF(C9&lt;&gt;"",IF(A9=C9,"GOOD","  ?")," ")</f>
        <v xml:space="preserve"> </v>
      </c>
      <c r="E9" s="69">
        <f t="shared" si="1"/>
        <v>0</v>
      </c>
      <c r="F9" s="66" t="s">
        <v>12</v>
      </c>
      <c r="G9" s="72">
        <v>16</v>
      </c>
      <c r="H9" s="60"/>
      <c r="I9" s="24" t="str">
        <f t="shared" si="2"/>
        <v xml:space="preserve"> </v>
      </c>
      <c r="J9" s="66" t="s">
        <v>12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30" x14ac:dyDescent="0.7">
      <c r="A10" s="66" t="s">
        <v>13</v>
      </c>
      <c r="B10" s="24">
        <v>7</v>
      </c>
      <c r="C10" s="62"/>
      <c r="D10" s="124" t="str">
        <f t="shared" si="3"/>
        <v xml:space="preserve"> </v>
      </c>
      <c r="E10" s="69">
        <f t="shared" si="1"/>
        <v>0</v>
      </c>
      <c r="F10" s="66" t="s">
        <v>14</v>
      </c>
      <c r="G10" s="72">
        <v>17</v>
      </c>
      <c r="H10" s="62"/>
      <c r="I10" s="24" t="str">
        <f t="shared" si="2"/>
        <v xml:space="preserve"> </v>
      </c>
      <c r="J10" s="66" t="s">
        <v>14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30" x14ac:dyDescent="0.7">
      <c r="A11" s="66" t="s">
        <v>15</v>
      </c>
      <c r="B11" s="24">
        <v>8</v>
      </c>
      <c r="C11" s="62"/>
      <c r="D11" s="124" t="str">
        <f t="shared" si="3"/>
        <v xml:space="preserve"> </v>
      </c>
      <c r="E11" s="69">
        <f t="shared" si="1"/>
        <v>0</v>
      </c>
      <c r="F11" s="66" t="s">
        <v>16</v>
      </c>
      <c r="G11" s="72">
        <v>18</v>
      </c>
      <c r="H11" s="62"/>
      <c r="I11" s="24" t="str">
        <f t="shared" si="2"/>
        <v xml:space="preserve"> </v>
      </c>
      <c r="J11" s="66" t="s">
        <v>16</v>
      </c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30" x14ac:dyDescent="0.7">
      <c r="A12" s="66" t="s">
        <v>17</v>
      </c>
      <c r="B12" s="37">
        <v>9</v>
      </c>
      <c r="C12" s="62"/>
      <c r="D12" s="124" t="str">
        <f t="shared" si="3"/>
        <v xml:space="preserve"> </v>
      </c>
      <c r="E12" s="69"/>
      <c r="F12" s="66" t="s">
        <v>18</v>
      </c>
      <c r="G12" s="73">
        <v>19</v>
      </c>
      <c r="H12" s="62" t="s">
        <v>18</v>
      </c>
      <c r="I12" s="24" t="str">
        <f t="shared" si="2"/>
        <v>GOOD</v>
      </c>
      <c r="J12" s="66" t="s">
        <v>18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30" x14ac:dyDescent="0.7">
      <c r="A13" s="66" t="s">
        <v>19</v>
      </c>
      <c r="B13" s="37">
        <v>10</v>
      </c>
      <c r="C13" s="62"/>
      <c r="D13" s="124" t="str">
        <f t="shared" si="3"/>
        <v xml:space="preserve"> </v>
      </c>
      <c r="E13" s="69"/>
      <c r="F13" s="66" t="s">
        <v>20</v>
      </c>
      <c r="G13" s="73">
        <v>20</v>
      </c>
      <c r="H13" s="62"/>
      <c r="I13" s="24" t="str">
        <f t="shared" si="2"/>
        <v xml:space="preserve"> </v>
      </c>
      <c r="J13" s="66" t="s">
        <v>20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30" x14ac:dyDescent="0.7">
      <c r="A14" s="18"/>
      <c r="B14" s="33"/>
      <c r="C14" s="37"/>
      <c r="D14" s="125"/>
      <c r="E14" s="66"/>
      <c r="F14" s="18"/>
      <c r="G14" s="71"/>
      <c r="H14" s="18"/>
      <c r="I14" s="18"/>
      <c r="J14" s="66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34.200000000000003" x14ac:dyDescent="0.8">
      <c r="A15" s="18"/>
      <c r="B15" s="33"/>
      <c r="C15" s="37"/>
      <c r="D15" s="114"/>
      <c r="E15" s="66"/>
      <c r="F15" s="18"/>
      <c r="G15" s="71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30" x14ac:dyDescent="0.7">
      <c r="A16" s="18"/>
      <c r="B16" s="33"/>
      <c r="C16" s="37"/>
      <c r="D16" s="125"/>
      <c r="E16" s="66"/>
      <c r="F16" s="18"/>
      <c r="G16" s="71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x14ac:dyDescent="0.3">
      <c r="A17" s="18"/>
      <c r="B17" s="18"/>
      <c r="C17" s="41"/>
      <c r="D17" s="123"/>
      <c r="E17" s="66"/>
      <c r="F17" s="18"/>
      <c r="G17" s="71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x14ac:dyDescent="0.3">
      <c r="A18" s="18"/>
      <c r="B18" s="18"/>
      <c r="C18" s="41"/>
      <c r="D18" s="123"/>
      <c r="E18" s="66"/>
      <c r="F18" s="18"/>
      <c r="G18" s="71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x14ac:dyDescent="0.3">
      <c r="A19" s="18"/>
      <c r="B19" s="18"/>
      <c r="C19" s="41"/>
      <c r="D19" s="123"/>
      <c r="E19" s="66"/>
      <c r="F19" s="18"/>
      <c r="G19" s="71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x14ac:dyDescent="0.3">
      <c r="A20" s="18"/>
      <c r="B20" s="18"/>
      <c r="C20" s="41"/>
      <c r="D20" s="123"/>
      <c r="E20" s="66"/>
      <c r="F20" s="18"/>
      <c r="G20" s="71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x14ac:dyDescent="0.3">
      <c r="A21" s="18"/>
      <c r="B21" s="18"/>
      <c r="C21" s="41"/>
      <c r="D21" s="123"/>
      <c r="E21" s="66"/>
      <c r="F21" s="18"/>
      <c r="G21" s="71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x14ac:dyDescent="0.3">
      <c r="A22" s="18"/>
      <c r="B22" s="18"/>
      <c r="C22" s="41"/>
      <c r="D22" s="123"/>
      <c r="E22" s="66"/>
      <c r="F22" s="18"/>
      <c r="G22" s="71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x14ac:dyDescent="0.3">
      <c r="A23" s="18"/>
      <c r="B23" s="18"/>
      <c r="C23" s="41"/>
      <c r="D23" s="123"/>
      <c r="E23" s="66"/>
      <c r="F23" s="18"/>
      <c r="G23" s="71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x14ac:dyDescent="0.3">
      <c r="A24" s="18"/>
      <c r="B24" s="18"/>
      <c r="C24" s="41"/>
      <c r="D24" s="123"/>
      <c r="E24" s="66"/>
      <c r="F24" s="18"/>
      <c r="G24" s="71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x14ac:dyDescent="0.3">
      <c r="A25" s="18"/>
      <c r="B25" s="18"/>
      <c r="C25" s="41"/>
      <c r="D25" s="123"/>
      <c r="E25" s="66"/>
      <c r="F25" s="18"/>
      <c r="G25" s="71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x14ac:dyDescent="0.3">
      <c r="A26" s="18"/>
      <c r="B26" s="18"/>
      <c r="C26" s="41"/>
      <c r="D26" s="123"/>
      <c r="E26" s="66"/>
      <c r="F26" s="18"/>
      <c r="G26" s="71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x14ac:dyDescent="0.3">
      <c r="A27" s="18"/>
      <c r="B27" s="18"/>
      <c r="C27" s="41"/>
      <c r="D27" s="123"/>
      <c r="E27" s="66"/>
      <c r="F27" s="18"/>
      <c r="G27" s="71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x14ac:dyDescent="0.3">
      <c r="A28" s="18"/>
      <c r="B28" s="18"/>
      <c r="C28" s="41"/>
      <c r="D28" s="123"/>
      <c r="E28" s="66"/>
      <c r="F28" s="18"/>
      <c r="G28" s="71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x14ac:dyDescent="0.3">
      <c r="A29" s="18"/>
      <c r="B29" s="18"/>
      <c r="C29" s="41"/>
      <c r="D29" s="123"/>
      <c r="E29" s="66"/>
      <c r="F29" s="18"/>
      <c r="G29" s="71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x14ac:dyDescent="0.3">
      <c r="A30" s="18"/>
      <c r="B30" s="18"/>
      <c r="C30" s="41"/>
      <c r="D30" s="123"/>
      <c r="E30" s="66"/>
      <c r="F30" s="18"/>
      <c r="G30" s="71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x14ac:dyDescent="0.3">
      <c r="A31" s="18"/>
      <c r="B31" s="18"/>
      <c r="C31" s="41"/>
      <c r="D31" s="123"/>
      <c r="E31" s="66"/>
      <c r="F31" s="18"/>
      <c r="G31" s="71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x14ac:dyDescent="0.3">
      <c r="A32" s="18"/>
      <c r="B32" s="18"/>
      <c r="C32" s="41"/>
      <c r="D32" s="123"/>
      <c r="E32" s="66"/>
      <c r="F32" s="18"/>
      <c r="G32" s="71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18"/>
      <c r="C33" s="41"/>
      <c r="D33" s="123"/>
      <c r="E33" s="66"/>
      <c r="F33" s="18"/>
      <c r="G33" s="71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18"/>
      <c r="C34" s="41"/>
      <c r="D34" s="123"/>
      <c r="E34" s="66"/>
      <c r="F34" s="18"/>
      <c r="G34" s="71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x14ac:dyDescent="0.3">
      <c r="A35" s="18"/>
      <c r="B35" s="18"/>
      <c r="C35" s="41"/>
      <c r="D35" s="123"/>
      <c r="E35" s="66"/>
      <c r="F35" s="18"/>
      <c r="G35" s="71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x14ac:dyDescent="0.3">
      <c r="A36" s="18"/>
      <c r="B36" s="18"/>
      <c r="C36" s="41"/>
      <c r="D36" s="123"/>
      <c r="E36" s="66"/>
      <c r="F36" s="18"/>
      <c r="G36" s="71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x14ac:dyDescent="0.3">
      <c r="A37" s="18"/>
      <c r="B37" s="18"/>
      <c r="C37" s="41"/>
      <c r="D37" s="123"/>
      <c r="E37" s="66"/>
      <c r="F37" s="18"/>
      <c r="G37" s="71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18"/>
      <c r="C38" s="41"/>
      <c r="D38" s="123"/>
      <c r="E38" s="66"/>
      <c r="F38" s="18"/>
      <c r="G38" s="71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18"/>
      <c r="C39" s="41"/>
      <c r="D39" s="123"/>
      <c r="E39" s="66"/>
      <c r="F39" s="18"/>
      <c r="G39" s="71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18"/>
      <c r="C40" s="41"/>
      <c r="D40" s="123"/>
      <c r="E40" s="66"/>
      <c r="F40" s="18"/>
      <c r="G40" s="71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18"/>
      <c r="C41" s="41"/>
      <c r="D41" s="123"/>
      <c r="E41" s="66"/>
      <c r="F41" s="18"/>
      <c r="G41" s="71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18"/>
      <c r="C42" s="41"/>
      <c r="D42" s="123"/>
      <c r="E42" s="66"/>
      <c r="F42" s="18"/>
      <c r="G42" s="71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x14ac:dyDescent="0.3">
      <c r="A43" s="18"/>
      <c r="B43" s="18"/>
      <c r="C43" s="41"/>
      <c r="D43" s="123"/>
      <c r="E43" s="66"/>
      <c r="F43" s="18"/>
      <c r="G43" s="71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x14ac:dyDescent="0.3">
      <c r="A44" s="18"/>
      <c r="B44" s="18"/>
      <c r="C44" s="41"/>
      <c r="D44" s="123"/>
      <c r="E44" s="66"/>
      <c r="F44" s="18"/>
      <c r="G44" s="71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x14ac:dyDescent="0.3">
      <c r="A45" s="18"/>
      <c r="B45" s="18"/>
      <c r="C45" s="41"/>
      <c r="D45" s="123"/>
      <c r="E45" s="66"/>
      <c r="F45" s="18"/>
      <c r="G45" s="71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x14ac:dyDescent="0.3">
      <c r="A46" s="18"/>
      <c r="B46" s="18"/>
      <c r="C46" s="41"/>
      <c r="D46" s="123"/>
      <c r="E46" s="66"/>
      <c r="F46" s="18"/>
      <c r="G46" s="71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x14ac:dyDescent="0.3">
      <c r="A47" s="18"/>
      <c r="B47" s="18"/>
      <c r="C47" s="41"/>
      <c r="D47" s="123"/>
      <c r="E47" s="66"/>
      <c r="F47" s="18"/>
      <c r="G47" s="71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x14ac:dyDescent="0.3">
      <c r="A48" s="18"/>
      <c r="B48" s="18"/>
      <c r="C48" s="41"/>
      <c r="D48" s="123"/>
      <c r="E48" s="66"/>
      <c r="F48" s="18"/>
      <c r="G48" s="71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3">
      <c r="A49" s="18"/>
      <c r="B49" s="18"/>
      <c r="C49" s="41"/>
      <c r="D49" s="123"/>
      <c r="E49" s="66"/>
      <c r="F49" s="18"/>
      <c r="G49" s="71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3">
      <c r="A50" s="18"/>
      <c r="B50" s="18"/>
      <c r="C50" s="41"/>
      <c r="D50" s="123"/>
      <c r="E50" s="66"/>
      <c r="F50" s="18"/>
      <c r="G50" s="71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3">
      <c r="A51" s="18"/>
      <c r="B51" s="18"/>
      <c r="C51" s="41"/>
      <c r="D51" s="123"/>
      <c r="E51" s="66"/>
      <c r="F51" s="18"/>
      <c r="G51" s="71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3">
      <c r="A52" s="18"/>
      <c r="B52" s="18"/>
      <c r="C52" s="41"/>
      <c r="D52" s="123"/>
      <c r="E52" s="66"/>
      <c r="F52" s="18"/>
      <c r="G52" s="71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34" x14ac:dyDescent="0.3">
      <c r="A53" s="18"/>
      <c r="B53" s="18"/>
      <c r="C53" s="41"/>
      <c r="D53" s="123"/>
      <c r="E53" s="66"/>
      <c r="F53" s="18"/>
      <c r="G53" s="71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34" x14ac:dyDescent="0.3">
      <c r="A54" s="18"/>
      <c r="B54" s="18"/>
      <c r="C54" s="41"/>
      <c r="D54" s="123"/>
      <c r="E54" s="66"/>
      <c r="F54" s="18"/>
      <c r="G54" s="71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34" x14ac:dyDescent="0.3">
      <c r="A55" s="18"/>
      <c r="B55" s="18"/>
      <c r="C55" s="41"/>
      <c r="D55" s="123"/>
      <c r="E55" s="66"/>
      <c r="F55" s="18"/>
      <c r="G55" s="71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34" x14ac:dyDescent="0.3">
      <c r="A56" s="18"/>
      <c r="B56" s="18"/>
      <c r="C56" s="41"/>
      <c r="D56" s="123"/>
      <c r="E56" s="66"/>
      <c r="F56" s="18"/>
      <c r="G56" s="71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34" x14ac:dyDescent="0.3">
      <c r="A57" s="18"/>
      <c r="B57" s="18"/>
      <c r="C57" s="41"/>
      <c r="D57" s="123"/>
      <c r="E57" s="66"/>
      <c r="F57" s="18"/>
      <c r="G57" s="71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34" x14ac:dyDescent="0.3">
      <c r="A58" s="18"/>
      <c r="B58" s="18"/>
      <c r="C58" s="41"/>
      <c r="D58" s="123"/>
      <c r="E58" s="66"/>
      <c r="F58" s="18"/>
      <c r="G58" s="71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34" x14ac:dyDescent="0.3">
      <c r="A59" s="18"/>
      <c r="B59" s="18"/>
      <c r="C59" s="41"/>
      <c r="D59" s="123"/>
      <c r="E59" s="66"/>
      <c r="F59" s="18"/>
      <c r="G59" s="71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34" x14ac:dyDescent="0.3">
      <c r="A60" s="18"/>
      <c r="B60" s="18"/>
      <c r="C60" s="41"/>
      <c r="D60" s="123"/>
      <c r="E60" s="66"/>
      <c r="F60" s="18"/>
      <c r="G60" s="71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34" x14ac:dyDescent="0.3">
      <c r="A61" s="18"/>
      <c r="B61" s="18"/>
      <c r="C61" s="41"/>
      <c r="D61" s="123"/>
      <c r="E61" s="66"/>
      <c r="F61" s="18"/>
      <c r="G61" s="71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34" x14ac:dyDescent="0.3">
      <c r="A62" s="18"/>
      <c r="B62" s="18"/>
      <c r="C62" s="41"/>
      <c r="D62" s="123"/>
      <c r="E62" s="66"/>
      <c r="F62" s="18"/>
      <c r="G62" s="71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34" x14ac:dyDescent="0.3">
      <c r="A63" s="18"/>
      <c r="B63" s="18"/>
      <c r="C63" s="41"/>
      <c r="D63" s="123"/>
      <c r="E63" s="66"/>
      <c r="F63" s="18"/>
      <c r="G63" s="71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34" x14ac:dyDescent="0.3">
      <c r="A64" s="18"/>
      <c r="B64" s="18"/>
      <c r="C64" s="41"/>
      <c r="D64" s="123"/>
      <c r="E64" s="66"/>
      <c r="F64" s="18"/>
      <c r="G64" s="71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3">
      <c r="A65" s="18"/>
      <c r="B65" s="18"/>
      <c r="C65" s="41"/>
      <c r="D65" s="123"/>
      <c r="E65" s="66"/>
      <c r="F65" s="18"/>
      <c r="G65" s="71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3">
      <c r="A66" s="18"/>
      <c r="B66" s="18"/>
      <c r="C66" s="41"/>
      <c r="D66" s="123"/>
      <c r="E66" s="66"/>
      <c r="F66" s="18"/>
      <c r="G66" s="71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3">
      <c r="A67" s="18"/>
      <c r="B67" s="18"/>
      <c r="C67" s="41"/>
      <c r="D67" s="123"/>
      <c r="E67" s="66"/>
      <c r="F67" s="18"/>
      <c r="G67" s="71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</sheetData>
  <sheetProtection selectLockedCells="1"/>
  <conditionalFormatting sqref="C14:C16">
    <cfRule type="cellIs" dxfId="169" priority="17" operator="equal">
      <formula>"Correct!"</formula>
    </cfRule>
    <cfRule type="cellIs" dxfId="168" priority="18" operator="equal">
      <formula>"Correct!"</formula>
    </cfRule>
  </conditionalFormatting>
  <conditionalFormatting sqref="C14:C16">
    <cfRule type="cellIs" dxfId="167" priority="11" operator="equal">
      <formula>"Please try again"</formula>
    </cfRule>
  </conditionalFormatting>
  <pageMargins left="0.7" right="0.7" top="0.75" bottom="0.7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65"/>
  <sheetViews>
    <sheetView showGridLines="0" topLeftCell="A2" workbookViewId="0">
      <selection activeCell="C5" sqref="C5"/>
    </sheetView>
  </sheetViews>
  <sheetFormatPr defaultRowHeight="34.200000000000003" x14ac:dyDescent="0.8"/>
  <cols>
    <col min="1" max="1" width="16.5546875" style="3" customWidth="1"/>
    <col min="2" max="2" width="19.33203125" style="10" customWidth="1"/>
    <col min="3" max="3" width="21.109375" style="107" customWidth="1"/>
    <col min="4" max="4" width="27.6640625" style="16" customWidth="1"/>
    <col min="5" max="5" width="4.33203125" style="22" customWidth="1"/>
    <col min="6" max="6" width="17.6640625" style="17" customWidth="1"/>
    <col min="7" max="7" width="22.33203125" style="41" customWidth="1"/>
    <col min="8" max="8" width="21.33203125" style="7" customWidth="1"/>
    <col min="9" max="11" width="27.88671875" customWidth="1"/>
  </cols>
  <sheetData>
    <row r="1" spans="1:16" s="2" customFormat="1" ht="30" customHeight="1" x14ac:dyDescent="0.7">
      <c r="A1" s="42"/>
      <c r="B1" s="24" t="s">
        <v>0</v>
      </c>
      <c r="C1" s="60"/>
      <c r="D1" s="78"/>
      <c r="E1" s="78"/>
      <c r="F1" s="73"/>
      <c r="G1" s="43"/>
      <c r="H1" s="51"/>
      <c r="I1" s="51"/>
      <c r="J1" s="51"/>
      <c r="K1" s="51"/>
      <c r="L1" s="51"/>
      <c r="M1" s="51"/>
      <c r="N1" s="51"/>
    </row>
    <row r="2" spans="1:16" ht="31.95" customHeight="1" x14ac:dyDescent="0.8">
      <c r="A2" s="26"/>
      <c r="D2" s="120" t="s">
        <v>21</v>
      </c>
      <c r="H2" s="120" t="s">
        <v>21</v>
      </c>
      <c r="I2" s="79"/>
      <c r="J2" s="29"/>
      <c r="K2" s="29"/>
      <c r="L2" s="29"/>
      <c r="M2" s="29"/>
      <c r="N2" s="29"/>
      <c r="O2" s="79"/>
      <c r="P2" s="79"/>
    </row>
    <row r="3" spans="1:16" s="1" customFormat="1" ht="31.95" customHeight="1" x14ac:dyDescent="0.8">
      <c r="A3" s="32"/>
      <c r="B3" s="26" t="s">
        <v>22</v>
      </c>
      <c r="C3" s="61" t="s">
        <v>22</v>
      </c>
      <c r="D3" s="27" t="str">
        <f t="shared" ref="D3:D14" si="0">IF(EXACT(TRIM(B3),TRIM(C3)),"GOOD","?")</f>
        <v>GOOD</v>
      </c>
      <c r="E3" s="22"/>
      <c r="F3" s="26"/>
      <c r="G3" s="110"/>
      <c r="H3" s="80"/>
      <c r="I3" s="80"/>
      <c r="J3" s="36"/>
      <c r="K3" s="36"/>
      <c r="L3" s="36"/>
      <c r="M3" s="36"/>
      <c r="N3" s="36"/>
      <c r="O3" s="80"/>
      <c r="P3" s="80"/>
    </row>
    <row r="4" spans="1:16" ht="31.95" customHeight="1" x14ac:dyDescent="0.7">
      <c r="A4" s="26"/>
      <c r="B4" s="26" t="s">
        <v>23</v>
      </c>
      <c r="C4" s="61" t="s">
        <v>24</v>
      </c>
      <c r="D4" s="27" t="str">
        <f t="shared" si="0"/>
        <v>?</v>
      </c>
      <c r="E4" s="36"/>
      <c r="F4" s="26" t="s">
        <v>25</v>
      </c>
      <c r="G4" s="61"/>
      <c r="H4" s="27" t="str">
        <f t="shared" ref="H4:H10" si="1">IF(EXACT(TRIM(F4),TRIM(G4)),"GOOD","?")</f>
        <v>?</v>
      </c>
      <c r="I4" s="79"/>
      <c r="J4" s="29"/>
      <c r="K4" s="29"/>
      <c r="L4" s="29"/>
      <c r="M4" s="29"/>
      <c r="N4" s="29"/>
      <c r="O4" s="79"/>
      <c r="P4" s="79"/>
    </row>
    <row r="5" spans="1:16" s="1" customFormat="1" ht="31.95" customHeight="1" x14ac:dyDescent="0.8">
      <c r="A5" s="32"/>
      <c r="B5" s="26" t="s">
        <v>26</v>
      </c>
      <c r="C5" s="61"/>
      <c r="D5" s="27" t="str">
        <f t="shared" si="0"/>
        <v>?</v>
      </c>
      <c r="E5" s="22"/>
      <c r="F5" s="26" t="s">
        <v>27</v>
      </c>
      <c r="G5" s="61"/>
      <c r="H5" s="27" t="str">
        <f t="shared" si="1"/>
        <v>?</v>
      </c>
      <c r="I5" s="80"/>
      <c r="J5" s="36"/>
      <c r="K5" s="36"/>
      <c r="L5" s="36"/>
      <c r="M5" s="36"/>
      <c r="N5" s="36"/>
      <c r="O5" s="80"/>
      <c r="P5" s="80"/>
    </row>
    <row r="6" spans="1:16" ht="31.95" customHeight="1" x14ac:dyDescent="0.7">
      <c r="A6" s="26"/>
      <c r="B6" s="26" t="s">
        <v>28</v>
      </c>
      <c r="C6" s="61"/>
      <c r="D6" s="27" t="str">
        <f t="shared" si="0"/>
        <v>?</v>
      </c>
      <c r="E6" s="36"/>
      <c r="F6" s="26" t="s">
        <v>29</v>
      </c>
      <c r="G6" s="61"/>
      <c r="H6" s="27" t="str">
        <f t="shared" si="1"/>
        <v>?</v>
      </c>
      <c r="I6" s="79"/>
      <c r="J6" s="29"/>
      <c r="K6" s="29"/>
      <c r="L6" s="29"/>
      <c r="M6" s="29"/>
      <c r="N6" s="29"/>
      <c r="O6" s="79"/>
      <c r="P6" s="79"/>
    </row>
    <row r="7" spans="1:16" s="1" customFormat="1" ht="31.95" customHeight="1" x14ac:dyDescent="0.8">
      <c r="A7" s="32"/>
      <c r="B7" s="26" t="s">
        <v>30</v>
      </c>
      <c r="C7" s="61"/>
      <c r="D7" s="27" t="str">
        <f t="shared" si="0"/>
        <v>?</v>
      </c>
      <c r="E7" s="22"/>
      <c r="F7" s="26" t="s">
        <v>31</v>
      </c>
      <c r="G7" s="61"/>
      <c r="H7" s="27" t="str">
        <f t="shared" si="1"/>
        <v>?</v>
      </c>
      <c r="I7" s="80"/>
      <c r="J7" s="36"/>
      <c r="K7" s="36"/>
      <c r="L7" s="36"/>
      <c r="M7" s="36"/>
      <c r="N7" s="36"/>
      <c r="O7" s="80"/>
      <c r="P7" s="80"/>
    </row>
    <row r="8" spans="1:16" ht="31.95" customHeight="1" x14ac:dyDescent="0.7">
      <c r="A8" s="26"/>
      <c r="B8" s="26" t="s">
        <v>32</v>
      </c>
      <c r="C8" s="61"/>
      <c r="D8" s="27" t="str">
        <f t="shared" si="0"/>
        <v>?</v>
      </c>
      <c r="E8" s="36"/>
      <c r="F8" s="26" t="s">
        <v>33</v>
      </c>
      <c r="G8" s="61"/>
      <c r="H8" s="27" t="str">
        <f t="shared" si="1"/>
        <v>?</v>
      </c>
      <c r="I8" s="79"/>
      <c r="J8" s="29"/>
      <c r="K8" s="29"/>
      <c r="L8" s="29"/>
      <c r="M8" s="29"/>
      <c r="N8" s="29"/>
      <c r="O8" s="79"/>
      <c r="P8" s="79"/>
    </row>
    <row r="9" spans="1:16" s="1" customFormat="1" ht="31.95" customHeight="1" x14ac:dyDescent="0.8">
      <c r="A9" s="32"/>
      <c r="B9" s="26" t="s">
        <v>34</v>
      </c>
      <c r="C9" s="61"/>
      <c r="D9" s="27" t="str">
        <f t="shared" si="0"/>
        <v>?</v>
      </c>
      <c r="E9" s="22"/>
      <c r="F9" s="26" t="s">
        <v>35</v>
      </c>
      <c r="G9" s="61"/>
      <c r="H9" s="27" t="str">
        <f t="shared" si="1"/>
        <v>?</v>
      </c>
      <c r="I9" s="80"/>
      <c r="J9" s="36"/>
      <c r="K9" s="36"/>
      <c r="L9" s="36"/>
      <c r="M9" s="36"/>
      <c r="N9" s="36"/>
      <c r="O9" s="80"/>
      <c r="P9" s="80"/>
    </row>
    <row r="10" spans="1:16" ht="31.95" customHeight="1" x14ac:dyDescent="0.7">
      <c r="A10" s="26"/>
      <c r="B10" s="26" t="s">
        <v>36</v>
      </c>
      <c r="C10" s="61"/>
      <c r="D10" s="27" t="str">
        <f t="shared" si="0"/>
        <v>?</v>
      </c>
      <c r="E10" s="36"/>
      <c r="F10" s="26" t="s">
        <v>37</v>
      </c>
      <c r="G10" s="61"/>
      <c r="H10" s="27" t="str">
        <f t="shared" si="1"/>
        <v>?</v>
      </c>
      <c r="I10" s="29"/>
      <c r="J10" s="29"/>
      <c r="K10" s="29"/>
      <c r="L10" s="29"/>
      <c r="M10" s="29"/>
      <c r="N10" s="29"/>
      <c r="O10" s="79"/>
      <c r="P10" s="79"/>
    </row>
    <row r="11" spans="1:16" s="1" customFormat="1" ht="31.95" customHeight="1" x14ac:dyDescent="0.8">
      <c r="A11" s="32"/>
      <c r="B11" s="26" t="s">
        <v>38</v>
      </c>
      <c r="C11" s="61"/>
      <c r="D11" s="27" t="str">
        <f t="shared" si="0"/>
        <v>?</v>
      </c>
      <c r="E11" s="22"/>
      <c r="F11" s="32"/>
      <c r="G11" s="111"/>
      <c r="H11" s="29"/>
      <c r="I11" s="36"/>
      <c r="J11" s="36"/>
      <c r="K11" s="36"/>
      <c r="L11" s="36"/>
      <c r="M11" s="36"/>
      <c r="N11" s="36"/>
      <c r="O11" s="80"/>
      <c r="P11" s="80"/>
    </row>
    <row r="12" spans="1:16" ht="31.95" customHeight="1" x14ac:dyDescent="0.7">
      <c r="A12" s="26"/>
      <c r="B12" s="26" t="s">
        <v>39</v>
      </c>
      <c r="C12" s="61"/>
      <c r="D12" s="27" t="str">
        <f t="shared" si="0"/>
        <v>?</v>
      </c>
      <c r="E12" s="36"/>
      <c r="F12" s="25"/>
      <c r="G12" s="112"/>
      <c r="H12" s="36"/>
      <c r="I12" s="29"/>
      <c r="J12" s="29"/>
      <c r="K12" s="29"/>
      <c r="L12" s="29"/>
      <c r="M12" s="29"/>
      <c r="N12" s="29"/>
      <c r="O12" s="79"/>
      <c r="P12" s="79"/>
    </row>
    <row r="13" spans="1:16" s="1" customFormat="1" ht="31.95" customHeight="1" x14ac:dyDescent="0.8">
      <c r="A13" s="32"/>
      <c r="B13" s="26" t="s">
        <v>40</v>
      </c>
      <c r="C13" s="61"/>
      <c r="D13" s="27" t="str">
        <f t="shared" si="0"/>
        <v>?</v>
      </c>
      <c r="E13" s="22"/>
      <c r="F13" s="28"/>
      <c r="G13" s="24"/>
      <c r="H13" s="29"/>
      <c r="I13" s="36"/>
      <c r="J13" s="36"/>
      <c r="K13" s="36"/>
      <c r="L13" s="36"/>
      <c r="M13" s="36"/>
      <c r="N13" s="36"/>
      <c r="O13" s="80"/>
      <c r="P13" s="80"/>
    </row>
    <row r="14" spans="1:16" ht="31.95" customHeight="1" x14ac:dyDescent="0.7">
      <c r="A14" s="9"/>
      <c r="B14" s="26" t="s">
        <v>41</v>
      </c>
      <c r="C14" s="61"/>
      <c r="D14" s="27" t="str">
        <f t="shared" si="0"/>
        <v>?</v>
      </c>
      <c r="E14" s="36"/>
      <c r="F14" s="25"/>
      <c r="G14" s="112"/>
      <c r="H14" s="36"/>
      <c r="I14" s="29"/>
      <c r="J14" s="29"/>
      <c r="K14" s="29"/>
      <c r="L14" s="29"/>
      <c r="M14" s="29"/>
      <c r="N14" s="29"/>
    </row>
    <row r="15" spans="1:16" s="1" customFormat="1" ht="31.95" customHeight="1" x14ac:dyDescent="0.8">
      <c r="A15" s="34"/>
      <c r="B15" s="30"/>
      <c r="C15" s="22"/>
      <c r="D15" s="35"/>
      <c r="E15" s="23" t="e">
        <f>IF(AND(D15&lt;&gt;0,#REF!="Correct!"),1," ")</f>
        <v>#REF!</v>
      </c>
      <c r="F15" s="20"/>
      <c r="G15" s="111"/>
      <c r="H15" s="36"/>
      <c r="I15" s="36"/>
      <c r="J15" s="36"/>
      <c r="K15" s="36"/>
      <c r="L15" s="36"/>
      <c r="M15" s="36"/>
      <c r="N15" s="36"/>
    </row>
    <row r="16" spans="1:16" ht="31.95" customHeight="1" x14ac:dyDescent="0.8">
      <c r="A16" s="9"/>
      <c r="B16" s="30"/>
      <c r="C16" s="22"/>
      <c r="D16" s="13"/>
      <c r="E16" s="22" t="str">
        <f>IF(C16&lt;&gt;"",IF(OR(EXACT(TRIM(C16),C17),EXACT(TRIM(C16),#REF!)),"Correct!","Please try again"),"")</f>
        <v/>
      </c>
      <c r="F16" s="14"/>
      <c r="G16" s="83"/>
      <c r="H16" s="29"/>
      <c r="I16" s="29"/>
      <c r="J16" s="29"/>
      <c r="K16" s="29"/>
      <c r="L16" s="29"/>
      <c r="M16" s="29"/>
      <c r="N16" s="29"/>
    </row>
    <row r="17" spans="1:14" s="1" customFormat="1" ht="31.95" customHeight="1" x14ac:dyDescent="0.8">
      <c r="A17" s="34"/>
      <c r="B17" s="30"/>
      <c r="C17" s="22"/>
      <c r="D17" s="35"/>
      <c r="E17" s="23" t="str">
        <f>IF(AND(D17&lt;&gt;0,E16="Correct!"),1," ")</f>
        <v xml:space="preserve"> </v>
      </c>
      <c r="F17" s="20"/>
      <c r="G17" s="111"/>
      <c r="H17" s="36"/>
      <c r="I17" s="36"/>
      <c r="J17" s="36"/>
      <c r="K17" s="36"/>
      <c r="L17" s="36"/>
      <c r="M17" s="36"/>
      <c r="N17" s="36"/>
    </row>
    <row r="18" spans="1:14" ht="31.95" customHeight="1" x14ac:dyDescent="0.8">
      <c r="A18" s="9"/>
      <c r="B18" s="30"/>
      <c r="C18" s="22"/>
      <c r="D18" s="13"/>
      <c r="E18" s="22" t="str">
        <f>IF(C18&lt;&gt;"",IF(OR(EXACT(TRIM(C18),C19),EXACT(TRIM(C18),#REF!)),"Correct!","Please try again"),"")</f>
        <v/>
      </c>
      <c r="F18" s="14"/>
      <c r="G18" s="83"/>
      <c r="H18" s="29"/>
      <c r="I18" s="29"/>
      <c r="J18" s="29"/>
      <c r="K18" s="18"/>
      <c r="L18" s="18"/>
      <c r="M18" s="18"/>
      <c r="N18" s="18"/>
    </row>
    <row r="19" spans="1:14" s="1" customFormat="1" ht="31.95" customHeight="1" x14ac:dyDescent="0.8">
      <c r="A19" s="34"/>
      <c r="B19" s="30"/>
      <c r="C19" s="22"/>
      <c r="D19" s="35"/>
      <c r="E19" s="23" t="str">
        <f>IF(AND(D19&lt;&gt;0,E18="Correct!"),1," ")</f>
        <v xml:space="preserve"> </v>
      </c>
      <c r="F19" s="20"/>
      <c r="G19" s="111"/>
      <c r="H19" s="36"/>
      <c r="I19" s="36"/>
      <c r="J19" s="36"/>
      <c r="K19" s="19"/>
      <c r="L19" s="19"/>
      <c r="M19" s="19"/>
      <c r="N19" s="19"/>
    </row>
    <row r="20" spans="1:14" ht="31.95" customHeight="1" x14ac:dyDescent="0.8">
      <c r="A20" s="9"/>
      <c r="B20" s="30"/>
      <c r="C20" s="22"/>
      <c r="D20" s="13"/>
      <c r="E20" s="22" t="str">
        <f>IF(C20&lt;&gt;"",IF(OR(EXACT(TRIM(C20),C21),EXACT(TRIM(C20),#REF!)),"Correct!","Please try again"),"")</f>
        <v/>
      </c>
      <c r="F20" s="14"/>
      <c r="G20" s="83"/>
      <c r="H20" s="29"/>
      <c r="I20" s="29"/>
      <c r="J20" s="29"/>
      <c r="K20" s="18"/>
      <c r="L20" s="18"/>
      <c r="M20" s="18"/>
      <c r="N20" s="18"/>
    </row>
    <row r="21" spans="1:14" s="1" customFormat="1" ht="31.95" customHeight="1" x14ac:dyDescent="0.8">
      <c r="A21" s="34"/>
      <c r="B21" s="30"/>
      <c r="C21" s="22"/>
      <c r="D21" s="35"/>
      <c r="E21" s="23" t="str">
        <f>IF(AND(D21&lt;&gt;0,E20="Correct!"),1," ")</f>
        <v xml:space="preserve"> </v>
      </c>
      <c r="F21" s="20"/>
      <c r="G21" s="111"/>
      <c r="H21" s="36"/>
      <c r="I21" s="36"/>
      <c r="J21" s="36"/>
      <c r="K21" s="19"/>
      <c r="L21" s="19"/>
      <c r="M21" s="19"/>
      <c r="N21" s="19"/>
    </row>
    <row r="22" spans="1:14" ht="31.95" customHeight="1" x14ac:dyDescent="0.8">
      <c r="A22" s="9"/>
      <c r="B22" s="30"/>
      <c r="C22" s="22"/>
      <c r="D22" s="13"/>
      <c r="E22" s="22" t="str">
        <f>IF(C22&lt;&gt;"",IF(OR(EXACT(TRIM(C22),C23),EXACT(TRIM(C22),#REF!)),"Correct!","Please try again"),"")</f>
        <v/>
      </c>
      <c r="F22" s="14"/>
      <c r="G22" s="83"/>
      <c r="H22" s="29"/>
      <c r="I22" s="29"/>
      <c r="J22" s="29"/>
      <c r="K22" s="18"/>
      <c r="L22" s="18"/>
      <c r="M22" s="18"/>
      <c r="N22" s="18"/>
    </row>
    <row r="23" spans="1:14" s="1" customFormat="1" ht="31.95" customHeight="1" x14ac:dyDescent="0.8">
      <c r="A23" s="34"/>
      <c r="B23" s="30"/>
      <c r="C23" s="22"/>
      <c r="D23" s="35"/>
      <c r="E23" s="23" t="str">
        <f>IF(AND(D23&lt;&gt;0,E22="Correct!"),1," ")</f>
        <v xml:space="preserve"> </v>
      </c>
      <c r="F23" s="20"/>
      <c r="G23" s="111"/>
      <c r="H23" s="36"/>
      <c r="I23" s="36"/>
      <c r="J23" s="36"/>
      <c r="K23" s="19"/>
      <c r="L23" s="19"/>
      <c r="M23" s="19"/>
      <c r="N23" s="19"/>
    </row>
    <row r="24" spans="1:14" ht="31.95" customHeight="1" x14ac:dyDescent="0.8">
      <c r="A24" s="9"/>
      <c r="B24" s="30"/>
      <c r="C24" s="22"/>
      <c r="D24" s="13"/>
      <c r="E24" s="22" t="str">
        <f>IF(C24&lt;&gt;"",IF(OR(EXACT(TRIM(C24),C25),EXACT(TRIM(C24),#REF!)),"Correct!","Please try again"),"")</f>
        <v/>
      </c>
      <c r="F24" s="14"/>
      <c r="G24" s="83"/>
      <c r="H24" s="29"/>
      <c r="I24" s="29"/>
      <c r="J24" s="29"/>
      <c r="K24" s="18"/>
      <c r="L24" s="18"/>
      <c r="M24" s="18"/>
      <c r="N24" s="18"/>
    </row>
    <row r="25" spans="1:14" s="1" customFormat="1" ht="31.95" customHeight="1" x14ac:dyDescent="0.8">
      <c r="A25" s="34"/>
      <c r="B25" s="30"/>
      <c r="C25" s="22"/>
      <c r="D25" s="35"/>
      <c r="E25" s="23" t="str">
        <f>IF(AND(D25&lt;&gt;0,E24="Correct!"),1," ")</f>
        <v xml:space="preserve"> </v>
      </c>
      <c r="F25" s="20"/>
      <c r="G25" s="111"/>
      <c r="H25" s="36"/>
      <c r="I25" s="36"/>
      <c r="J25" s="36"/>
      <c r="K25" s="19"/>
      <c r="L25" s="19"/>
      <c r="M25" s="19"/>
      <c r="N25" s="19"/>
    </row>
    <row r="26" spans="1:14" ht="31.95" customHeight="1" x14ac:dyDescent="0.8">
      <c r="A26" s="9"/>
      <c r="B26" s="30"/>
      <c r="C26" s="22"/>
      <c r="D26" s="13"/>
      <c r="E26" s="22" t="str">
        <f>IF(C26&lt;&gt;"",IF(OR(EXACT(TRIM(C26),C27),EXACT(TRIM(C26),#REF!)),"Correct!","Please try again"),"")</f>
        <v/>
      </c>
      <c r="F26" s="14"/>
      <c r="G26" s="83"/>
      <c r="H26" s="29"/>
      <c r="I26" s="29"/>
      <c r="J26" s="29"/>
      <c r="K26" s="18"/>
      <c r="L26" s="18"/>
      <c r="M26" s="18"/>
      <c r="N26" s="18"/>
    </row>
    <row r="27" spans="1:14" s="1" customFormat="1" ht="31.95" customHeight="1" x14ac:dyDescent="0.8">
      <c r="A27" s="34"/>
      <c r="B27" s="30"/>
      <c r="C27" s="22"/>
      <c r="D27" s="35"/>
      <c r="E27" s="23" t="str">
        <f>IF(AND(D27&lt;&gt;0,E26="Correct!"),1," ")</f>
        <v xml:space="preserve"> </v>
      </c>
      <c r="F27" s="20"/>
      <c r="G27" s="111"/>
      <c r="H27" s="36"/>
      <c r="I27" s="36"/>
      <c r="J27" s="36"/>
      <c r="K27" s="19"/>
      <c r="L27" s="19"/>
      <c r="M27" s="19"/>
      <c r="N27" s="19"/>
    </row>
    <row r="28" spans="1:14" ht="31.95" customHeight="1" x14ac:dyDescent="0.8">
      <c r="A28" s="9"/>
      <c r="B28" s="30"/>
      <c r="C28" s="22"/>
      <c r="D28" s="13"/>
      <c r="E28" s="22" t="str">
        <f>IF(C28&lt;&gt;"",IF(OR(EXACT(TRIM(C28),C29),EXACT(TRIM(C28),#REF!)),"Correct!","Please try again"),"")</f>
        <v/>
      </c>
      <c r="F28" s="14"/>
      <c r="G28" s="83"/>
      <c r="H28" s="29"/>
      <c r="I28" s="29"/>
      <c r="J28" s="29"/>
      <c r="K28" s="18"/>
      <c r="L28" s="18"/>
      <c r="M28" s="18"/>
      <c r="N28" s="18"/>
    </row>
    <row r="29" spans="1:14" s="1" customFormat="1" ht="31.95" customHeight="1" x14ac:dyDescent="0.8">
      <c r="A29" s="34"/>
      <c r="B29" s="30"/>
      <c r="C29" s="22"/>
      <c r="D29" s="35"/>
      <c r="E29" s="23" t="str">
        <f>IF(AND(D29&lt;&gt;0,E28="Correct!"),1," ")</f>
        <v xml:space="preserve"> </v>
      </c>
      <c r="F29" s="20"/>
      <c r="G29" s="111"/>
      <c r="H29" s="36"/>
      <c r="I29" s="36"/>
      <c r="J29" s="36"/>
      <c r="K29" s="19"/>
      <c r="L29" s="19"/>
      <c r="M29" s="19"/>
      <c r="N29" s="19"/>
    </row>
    <row r="30" spans="1:14" ht="31.95" customHeight="1" x14ac:dyDescent="0.8">
      <c r="A30" s="9"/>
      <c r="B30" s="30"/>
      <c r="C30" s="22"/>
      <c r="D30" s="13"/>
      <c r="E30" s="22" t="str">
        <f>IF(C30&lt;&gt;"",IF(OR(EXACT(TRIM(C30),C31),EXACT(TRIM(C30),#REF!)),"Correct!","Please try again"),"")</f>
        <v/>
      </c>
      <c r="F30" s="14"/>
      <c r="G30" s="83"/>
      <c r="H30" s="29"/>
      <c r="I30" s="29"/>
      <c r="J30" s="29"/>
      <c r="K30" s="18"/>
      <c r="L30" s="18"/>
      <c r="M30" s="18"/>
      <c r="N30" s="18"/>
    </row>
    <row r="31" spans="1:14" s="1" customFormat="1" ht="31.95" customHeight="1" x14ac:dyDescent="0.8">
      <c r="A31" s="34"/>
      <c r="B31" s="30"/>
      <c r="C31" s="22"/>
      <c r="D31" s="35"/>
      <c r="E31" s="23" t="str">
        <f>IF(AND(D31&lt;&gt;0,E30="Correct!"),1," ")</f>
        <v xml:space="preserve"> </v>
      </c>
      <c r="F31" s="20"/>
      <c r="G31" s="111"/>
      <c r="H31" s="36"/>
      <c r="I31" s="36"/>
      <c r="J31" s="36"/>
      <c r="K31" s="19"/>
      <c r="L31" s="19"/>
      <c r="M31" s="19"/>
      <c r="N31" s="19"/>
    </row>
    <row r="32" spans="1:14" ht="31.95" customHeight="1" x14ac:dyDescent="0.8">
      <c r="A32" s="6"/>
      <c r="B32" s="21"/>
      <c r="C32" s="115"/>
      <c r="D32" s="13"/>
      <c r="E32" s="22" t="str">
        <f>IF(C32&lt;&gt;"",IF(OR(EXACT(TRIM(C32),C33),EXACT(TRIM(C32),#REF!)),"Correct!","Please try again"),"")</f>
        <v/>
      </c>
      <c r="F32" s="14"/>
      <c r="G32" s="116"/>
      <c r="H32" s="18"/>
      <c r="I32" s="18"/>
      <c r="J32" s="18"/>
      <c r="K32" s="18"/>
      <c r="L32" s="18"/>
      <c r="M32" s="18"/>
      <c r="N32" s="18"/>
    </row>
    <row r="33" spans="1:14" s="1" customFormat="1" ht="31.95" customHeight="1" x14ac:dyDescent="0.8">
      <c r="A33" s="5"/>
      <c r="B33" s="21"/>
      <c r="C33" s="115"/>
      <c r="D33" s="11"/>
      <c r="E33" s="23" t="str">
        <f>IF(AND(D33&lt;&gt;0,E32="Correct!"),1," ")</f>
        <v xml:space="preserve"> </v>
      </c>
      <c r="F33" s="20"/>
      <c r="G33" s="117"/>
      <c r="H33" s="19"/>
      <c r="I33" s="19"/>
      <c r="J33" s="19"/>
      <c r="K33" s="19"/>
      <c r="L33" s="19"/>
      <c r="M33" s="19"/>
      <c r="N33" s="19"/>
    </row>
    <row r="34" spans="1:14" ht="31.95" customHeight="1" x14ac:dyDescent="0.8">
      <c r="A34" s="6"/>
      <c r="B34" s="21"/>
      <c r="C34" s="115"/>
      <c r="D34" s="13"/>
      <c r="E34" s="22" t="str">
        <f>IF(C34&lt;&gt;"",IF(OR(EXACT(TRIM(C34),C35),EXACT(TRIM(C34),#REF!)),"Correct!","Please try again"),"")</f>
        <v/>
      </c>
      <c r="F34" s="14"/>
      <c r="G34" s="116"/>
      <c r="H34" s="18"/>
      <c r="I34" s="18"/>
      <c r="J34" s="18"/>
      <c r="K34" s="18"/>
      <c r="L34" s="18"/>
      <c r="M34" s="18"/>
      <c r="N34" s="18"/>
    </row>
    <row r="35" spans="1:14" s="1" customFormat="1" ht="31.95" customHeight="1" x14ac:dyDescent="0.8">
      <c r="A35" s="5"/>
      <c r="B35" s="21"/>
      <c r="C35" s="115"/>
      <c r="D35" s="11"/>
      <c r="E35" s="23" t="str">
        <f>IF(AND(D35&lt;&gt;0,E34="Correct!"),1," ")</f>
        <v xml:space="preserve"> </v>
      </c>
      <c r="F35" s="20"/>
      <c r="G35" s="117"/>
      <c r="H35" s="19"/>
      <c r="I35" s="19"/>
      <c r="J35" s="19"/>
      <c r="K35" s="19"/>
      <c r="L35" s="19"/>
      <c r="M35" s="19"/>
      <c r="N35" s="19"/>
    </row>
    <row r="36" spans="1:14" ht="31.95" customHeight="1" x14ac:dyDescent="0.8">
      <c r="A36" s="6"/>
      <c r="B36" s="21"/>
      <c r="C36" s="115"/>
      <c r="D36" s="13"/>
      <c r="E36" s="22" t="str">
        <f>IF(C36&lt;&gt;"",IF(OR(EXACT(TRIM(C36),C37),EXACT(TRIM(C36),#REF!)),"Correct!","Please try again"),"")</f>
        <v/>
      </c>
      <c r="F36" s="14"/>
      <c r="G36" s="116"/>
      <c r="H36" s="18"/>
      <c r="I36" s="18"/>
      <c r="J36" s="18"/>
      <c r="K36" s="18"/>
      <c r="L36" s="18"/>
      <c r="M36" s="18"/>
      <c r="N36" s="18"/>
    </row>
    <row r="37" spans="1:14" s="1" customFormat="1" ht="31.95" customHeight="1" x14ac:dyDescent="0.8">
      <c r="A37" s="5"/>
      <c r="B37" s="21"/>
      <c r="C37" s="115"/>
      <c r="D37" s="11"/>
      <c r="E37" s="23" t="str">
        <f>IF(AND(D37&lt;&gt;0,E36="Correct!"),1," ")</f>
        <v xml:space="preserve"> </v>
      </c>
      <c r="F37" s="20"/>
      <c r="G37" s="117"/>
      <c r="H37" s="19"/>
      <c r="I37" s="19"/>
      <c r="J37" s="19"/>
      <c r="K37" s="19"/>
      <c r="L37" s="19"/>
      <c r="M37" s="19"/>
      <c r="N37" s="19"/>
    </row>
    <row r="38" spans="1:14" ht="31.95" customHeight="1" x14ac:dyDescent="0.8">
      <c r="A38" s="6"/>
      <c r="B38" s="21"/>
      <c r="C38" s="115"/>
      <c r="D38" s="13"/>
      <c r="E38" s="22" t="str">
        <f>IF(C38&lt;&gt;"",IF(OR(EXACT(TRIM(C38),C39),EXACT(TRIM(C38),#REF!)),"Correct!","Please try again"),"")</f>
        <v/>
      </c>
      <c r="F38" s="14"/>
      <c r="G38" s="116"/>
      <c r="H38" s="18"/>
      <c r="I38" s="18"/>
      <c r="J38" s="18"/>
      <c r="K38" s="18"/>
      <c r="L38" s="18"/>
      <c r="M38" s="18"/>
      <c r="N38" s="18"/>
    </row>
    <row r="39" spans="1:14" s="1" customFormat="1" ht="31.95" customHeight="1" x14ac:dyDescent="0.8">
      <c r="A39" s="5"/>
      <c r="B39" s="21"/>
      <c r="C39" s="115"/>
      <c r="D39" s="11"/>
      <c r="E39" s="23" t="str">
        <f>IF(AND(D39&lt;&gt;0,E38="Correct!"),1," ")</f>
        <v xml:space="preserve"> </v>
      </c>
      <c r="F39" s="20"/>
      <c r="G39" s="117"/>
      <c r="H39" s="19"/>
      <c r="I39" s="19"/>
      <c r="J39" s="19"/>
      <c r="K39" s="19"/>
      <c r="L39" s="19"/>
      <c r="M39" s="19"/>
      <c r="N39" s="19"/>
    </row>
    <row r="40" spans="1:14" ht="31.95" customHeight="1" x14ac:dyDescent="0.8">
      <c r="A40" s="6"/>
      <c r="B40" s="21"/>
      <c r="C40" s="115"/>
      <c r="D40" s="13"/>
      <c r="E40" s="22" t="str">
        <f>IF(C40&lt;&gt;"",IF(OR(EXACT(TRIM(C40),C41),EXACT(TRIM(C40),#REF!)),"Correct!","Please try again"),"")</f>
        <v/>
      </c>
      <c r="F40" s="14"/>
      <c r="G40" s="116"/>
      <c r="H40" s="18"/>
      <c r="I40" s="18"/>
      <c r="J40" s="18"/>
      <c r="K40" s="18"/>
      <c r="L40" s="18"/>
      <c r="M40" s="18"/>
      <c r="N40" s="18"/>
    </row>
    <row r="41" spans="1:14" s="1" customFormat="1" ht="31.95" customHeight="1" x14ac:dyDescent="0.8">
      <c r="A41" s="5"/>
      <c r="B41" s="21"/>
      <c r="C41" s="115"/>
      <c r="D41" s="11"/>
      <c r="E41" s="23" t="str">
        <f>IF(AND(D41&lt;&gt;0,E40="Correct!"),1," ")</f>
        <v xml:space="preserve"> </v>
      </c>
      <c r="F41" s="20"/>
      <c r="G41" s="117"/>
      <c r="H41" s="19"/>
      <c r="I41" s="19"/>
      <c r="J41" s="19"/>
      <c r="K41" s="19"/>
      <c r="L41" s="19"/>
      <c r="M41" s="19"/>
      <c r="N41" s="19"/>
    </row>
    <row r="42" spans="1:14" ht="31.95" customHeight="1" x14ac:dyDescent="0.8">
      <c r="A42" s="6"/>
      <c r="B42" s="21"/>
      <c r="C42" s="115"/>
      <c r="D42" s="13"/>
      <c r="E42" s="22" t="str">
        <f>IF(C42&lt;&gt;"",IF(OR(EXACT(TRIM(C42),C43),EXACT(TRIM(C42),#REF!)),"Correct!","Please try again"),"")</f>
        <v/>
      </c>
      <c r="F42" s="14"/>
      <c r="G42" s="116"/>
      <c r="H42" s="18"/>
      <c r="I42" s="18"/>
      <c r="J42" s="18"/>
      <c r="K42" s="18"/>
      <c r="L42" s="18"/>
      <c r="M42" s="18"/>
      <c r="N42" s="18"/>
    </row>
    <row r="43" spans="1:14" s="1" customFormat="1" ht="31.95" customHeight="1" x14ac:dyDescent="0.8">
      <c r="A43" s="5"/>
      <c r="B43" s="21"/>
      <c r="C43" s="115"/>
      <c r="D43" s="11"/>
      <c r="E43" s="23" t="str">
        <f>IF(AND(D43&lt;&gt;0,E42="Correct!"),1," ")</f>
        <v xml:space="preserve"> </v>
      </c>
      <c r="F43" s="20"/>
      <c r="G43" s="117"/>
      <c r="H43" s="19"/>
      <c r="I43" s="19"/>
      <c r="J43" s="19"/>
      <c r="K43" s="19"/>
      <c r="L43" s="19"/>
      <c r="M43" s="19"/>
      <c r="N43" s="19"/>
    </row>
    <row r="44" spans="1:14" ht="31.95" customHeight="1" x14ac:dyDescent="0.8">
      <c r="A44" s="6"/>
      <c r="B44" s="21"/>
      <c r="C44" s="115"/>
      <c r="D44" s="13"/>
      <c r="E44" s="22" t="str">
        <f>IF(C44&lt;&gt;"",IF(OR(EXACT(TRIM(C44),C45),EXACT(TRIM(C44),#REF!)),"Correct!","Please try again"),"")</f>
        <v/>
      </c>
      <c r="F44" s="14"/>
      <c r="G44" s="116"/>
      <c r="H44" s="18"/>
      <c r="I44" s="18"/>
      <c r="J44" s="18"/>
      <c r="K44" s="18"/>
      <c r="L44" s="18"/>
      <c r="M44" s="18"/>
      <c r="N44" s="18"/>
    </row>
    <row r="45" spans="1:14" s="1" customFormat="1" ht="31.95" customHeight="1" x14ac:dyDescent="0.8">
      <c r="A45" s="5"/>
      <c r="B45" s="21"/>
      <c r="C45" s="115"/>
      <c r="D45" s="11"/>
      <c r="E45" s="23" t="str">
        <f>IF(AND(D45&lt;&gt;0,E44="Correct!"),1," ")</f>
        <v xml:space="preserve"> </v>
      </c>
      <c r="F45" s="20"/>
      <c r="G45" s="117"/>
      <c r="H45" s="19"/>
      <c r="I45" s="19"/>
      <c r="J45" s="19"/>
      <c r="K45" s="19"/>
      <c r="L45" s="19"/>
      <c r="M45" s="19"/>
      <c r="N45" s="19"/>
    </row>
    <row r="46" spans="1:14" ht="31.95" customHeight="1" x14ac:dyDescent="0.8">
      <c r="A46" s="6"/>
      <c r="B46" s="21"/>
      <c r="C46" s="115"/>
      <c r="D46" s="13"/>
      <c r="E46" s="22" t="str">
        <f>IF(C46&lt;&gt;"",IF(OR(EXACT(TRIM(C46),C47),EXACT(TRIM(C46),#REF!)),"Correct!","Please try again"),"")</f>
        <v/>
      </c>
      <c r="F46" s="14"/>
      <c r="G46" s="116"/>
      <c r="H46" s="18"/>
      <c r="I46" s="18"/>
      <c r="J46" s="18"/>
      <c r="K46" s="18"/>
      <c r="L46" s="18"/>
      <c r="M46" s="18"/>
      <c r="N46" s="18"/>
    </row>
    <row r="47" spans="1:14" s="1" customFormat="1" ht="31.95" customHeight="1" x14ac:dyDescent="0.8">
      <c r="A47" s="5"/>
      <c r="B47" s="21"/>
      <c r="C47" s="115"/>
      <c r="D47" s="11"/>
      <c r="E47" s="23" t="str">
        <f>IF(AND(D47&lt;&gt;0,E46="Correct!"),1," ")</f>
        <v xml:space="preserve"> </v>
      </c>
      <c r="F47" s="20"/>
      <c r="G47" s="117"/>
      <c r="H47" s="19"/>
      <c r="I47" s="19"/>
      <c r="J47" s="19"/>
      <c r="K47" s="19"/>
      <c r="L47" s="19"/>
      <c r="M47" s="19"/>
      <c r="N47" s="19"/>
    </row>
    <row r="48" spans="1:14" ht="31.95" customHeight="1" x14ac:dyDescent="0.8">
      <c r="A48" s="6"/>
      <c r="B48" s="21"/>
      <c r="C48" s="115"/>
      <c r="D48" s="13"/>
      <c r="E48" s="22" t="str">
        <f>IF(C48&lt;&gt;"",IF(OR(EXACT(TRIM(C48),C49),EXACT(TRIM(C48),#REF!)),"Correct!","Please try again"),"")</f>
        <v/>
      </c>
      <c r="F48" s="14"/>
      <c r="G48" s="116"/>
    </row>
    <row r="49" spans="1:8" s="1" customFormat="1" ht="31.95" customHeight="1" x14ac:dyDescent="0.8">
      <c r="A49" s="5"/>
      <c r="B49" s="21"/>
      <c r="C49" s="115"/>
      <c r="D49" s="11"/>
      <c r="E49" s="23" t="str">
        <f>IF(AND(D49&lt;&gt;0,E48="Correct!"),1," ")</f>
        <v xml:space="preserve"> </v>
      </c>
      <c r="F49" s="20"/>
      <c r="G49" s="117"/>
      <c r="H49" s="8"/>
    </row>
    <row r="50" spans="1:8" ht="31.95" customHeight="1" x14ac:dyDescent="0.8">
      <c r="A50" s="6"/>
      <c r="B50" s="21"/>
      <c r="C50" s="115"/>
      <c r="D50" s="13"/>
      <c r="E50" s="22" t="str">
        <f>IF(C50&lt;&gt;"",IF(OR(EXACT(TRIM(C50),C51),EXACT(TRIM(C50),#REF!)),"Correct!","Please try again"),"")</f>
        <v/>
      </c>
      <c r="F50" s="14"/>
      <c r="G50" s="116"/>
    </row>
    <row r="51" spans="1:8" s="1" customFormat="1" ht="31.95" customHeight="1" thickBot="1" x14ac:dyDescent="0.85">
      <c r="A51" s="4"/>
      <c r="B51" s="21"/>
      <c r="C51" s="115"/>
      <c r="D51" s="15"/>
      <c r="E51" s="23" t="str">
        <f>IF(AND(D51&lt;&gt;0,E50="Correct!"),1," ")</f>
        <v xml:space="preserve"> </v>
      </c>
      <c r="F51" s="15"/>
      <c r="G51" s="118"/>
      <c r="H51" s="8"/>
    </row>
    <row r="52" spans="1:8" ht="34.799999999999997" thickTop="1" x14ac:dyDescent="0.8"/>
    <row r="53" spans="1:8" x14ac:dyDescent="0.8">
      <c r="F53" s="12"/>
      <c r="G53" s="119"/>
    </row>
    <row r="55" spans="1:8" x14ac:dyDescent="0.8">
      <c r="F55" s="12"/>
      <c r="G55" s="119"/>
    </row>
    <row r="57" spans="1:8" x14ac:dyDescent="0.8">
      <c r="F57" s="12"/>
      <c r="G57" s="119"/>
    </row>
    <row r="59" spans="1:8" x14ac:dyDescent="0.8">
      <c r="F59" s="12"/>
      <c r="G59" s="119"/>
    </row>
    <row r="61" spans="1:8" x14ac:dyDescent="0.8">
      <c r="F61" s="12"/>
      <c r="G61" s="119"/>
    </row>
    <row r="63" spans="1:8" x14ac:dyDescent="0.8">
      <c r="F63" s="12"/>
      <c r="G63" s="119"/>
    </row>
    <row r="65" spans="6:7" x14ac:dyDescent="0.8">
      <c r="F65" s="12"/>
      <c r="G65" s="119"/>
    </row>
  </sheetData>
  <sheetProtection sheet="1" selectLockedCells="1"/>
  <conditionalFormatting sqref="E52:E1048576">
    <cfRule type="cellIs" dxfId="166" priority="503" operator="equal">
      <formula>"Correct!"</formula>
    </cfRule>
    <cfRule type="cellIs" dxfId="165" priority="504" operator="equal">
      <formula>"Correct!"</formula>
    </cfRule>
  </conditionalFormatting>
  <conditionalFormatting sqref="E20">
    <cfRule type="cellIs" dxfId="164" priority="115" operator="equal">
      <formula>"Please try again"</formula>
    </cfRule>
  </conditionalFormatting>
  <conditionalFormatting sqref="E22">
    <cfRule type="cellIs" dxfId="163" priority="113" operator="equal">
      <formula>"Correct!"</formula>
    </cfRule>
    <cfRule type="cellIs" dxfId="162" priority="114" operator="equal">
      <formula>"Correct!"</formula>
    </cfRule>
  </conditionalFormatting>
  <conditionalFormatting sqref="E22">
    <cfRule type="cellIs" dxfId="161" priority="112" operator="equal">
      <formula>"Please try again"</formula>
    </cfRule>
  </conditionalFormatting>
  <conditionalFormatting sqref="E32">
    <cfRule type="cellIs" dxfId="160" priority="179" operator="equal">
      <formula>"Correct!"</formula>
    </cfRule>
    <cfRule type="cellIs" dxfId="159" priority="180" operator="equal">
      <formula>"Correct!"</formula>
    </cfRule>
  </conditionalFormatting>
  <conditionalFormatting sqref="E32">
    <cfRule type="cellIs" dxfId="158" priority="178" operator="equal">
      <formula>"Please try again"</formula>
    </cfRule>
  </conditionalFormatting>
  <conditionalFormatting sqref="E38">
    <cfRule type="cellIs" dxfId="157" priority="92" operator="equal">
      <formula>"Correct!"</formula>
    </cfRule>
    <cfRule type="cellIs" dxfId="156" priority="93" operator="equal">
      <formula>"Correct!"</formula>
    </cfRule>
  </conditionalFormatting>
  <conditionalFormatting sqref="E38">
    <cfRule type="cellIs" dxfId="155" priority="91" operator="equal">
      <formula>"Please try again"</formula>
    </cfRule>
  </conditionalFormatting>
  <conditionalFormatting sqref="E24">
    <cfRule type="cellIs" dxfId="154" priority="110" operator="equal">
      <formula>"Correct!"</formula>
    </cfRule>
    <cfRule type="cellIs" dxfId="153" priority="111" operator="equal">
      <formula>"Correct!"</formula>
    </cfRule>
  </conditionalFormatting>
  <conditionalFormatting sqref="E24">
    <cfRule type="cellIs" dxfId="152" priority="109" operator="equal">
      <formula>"Please try again"</formula>
    </cfRule>
  </conditionalFormatting>
  <conditionalFormatting sqref="E16">
    <cfRule type="cellIs" dxfId="151" priority="122" operator="equal">
      <formula>"Correct!"</formula>
    </cfRule>
    <cfRule type="cellIs" dxfId="150" priority="123" operator="equal">
      <formula>"Correct!"</formula>
    </cfRule>
  </conditionalFormatting>
  <conditionalFormatting sqref="E16">
    <cfRule type="cellIs" dxfId="149" priority="121" operator="equal">
      <formula>"Please try again"</formula>
    </cfRule>
  </conditionalFormatting>
  <conditionalFormatting sqref="E18">
    <cfRule type="cellIs" dxfId="148" priority="119" operator="equal">
      <formula>"Correct!"</formula>
    </cfRule>
    <cfRule type="cellIs" dxfId="147" priority="120" operator="equal">
      <formula>"Correct!"</formula>
    </cfRule>
  </conditionalFormatting>
  <conditionalFormatting sqref="E18">
    <cfRule type="cellIs" dxfId="146" priority="118" operator="equal">
      <formula>"Please try again"</formula>
    </cfRule>
  </conditionalFormatting>
  <conditionalFormatting sqref="E20">
    <cfRule type="cellIs" dxfId="145" priority="116" operator="equal">
      <formula>"Correct!"</formula>
    </cfRule>
    <cfRule type="cellIs" dxfId="144" priority="117" operator="equal">
      <formula>"Correct!"</formula>
    </cfRule>
  </conditionalFormatting>
  <conditionalFormatting sqref="E26">
    <cfRule type="cellIs" dxfId="143" priority="107" operator="equal">
      <formula>"Correct!"</formula>
    </cfRule>
    <cfRule type="cellIs" dxfId="142" priority="108" operator="equal">
      <formula>"Correct!"</formula>
    </cfRule>
  </conditionalFormatting>
  <conditionalFormatting sqref="E26">
    <cfRule type="cellIs" dxfId="141" priority="106" operator="equal">
      <formula>"Please try again"</formula>
    </cfRule>
  </conditionalFormatting>
  <conditionalFormatting sqref="E28">
    <cfRule type="cellIs" dxfId="140" priority="104" operator="equal">
      <formula>"Correct!"</formula>
    </cfRule>
    <cfRule type="cellIs" dxfId="139" priority="105" operator="equal">
      <formula>"Correct!"</formula>
    </cfRule>
  </conditionalFormatting>
  <conditionalFormatting sqref="E28">
    <cfRule type="cellIs" dxfId="138" priority="103" operator="equal">
      <formula>"Please try again"</formula>
    </cfRule>
  </conditionalFormatting>
  <conditionalFormatting sqref="E30">
    <cfRule type="cellIs" dxfId="137" priority="101" operator="equal">
      <formula>"Correct!"</formula>
    </cfRule>
    <cfRule type="cellIs" dxfId="136" priority="102" operator="equal">
      <formula>"Correct!"</formula>
    </cfRule>
  </conditionalFormatting>
  <conditionalFormatting sqref="E30">
    <cfRule type="cellIs" dxfId="135" priority="100" operator="equal">
      <formula>"Please try again"</formula>
    </cfRule>
  </conditionalFormatting>
  <conditionalFormatting sqref="E34">
    <cfRule type="cellIs" dxfId="134" priority="98" operator="equal">
      <formula>"Correct!"</formula>
    </cfRule>
    <cfRule type="cellIs" dxfId="133" priority="99" operator="equal">
      <formula>"Correct!"</formula>
    </cfRule>
  </conditionalFormatting>
  <conditionalFormatting sqref="E34">
    <cfRule type="cellIs" dxfId="132" priority="97" operator="equal">
      <formula>"Please try again"</formula>
    </cfRule>
  </conditionalFormatting>
  <conditionalFormatting sqref="E36">
    <cfRule type="cellIs" dxfId="131" priority="95" operator="equal">
      <formula>"Correct!"</formula>
    </cfRule>
    <cfRule type="cellIs" dxfId="130" priority="96" operator="equal">
      <formula>"Correct!"</formula>
    </cfRule>
  </conditionalFormatting>
  <conditionalFormatting sqref="E36">
    <cfRule type="cellIs" dxfId="129" priority="94" operator="equal">
      <formula>"Please try again"</formula>
    </cfRule>
  </conditionalFormatting>
  <conditionalFormatting sqref="E40">
    <cfRule type="cellIs" dxfId="128" priority="89" operator="equal">
      <formula>"Correct!"</formula>
    </cfRule>
    <cfRule type="cellIs" dxfId="127" priority="90" operator="equal">
      <formula>"Correct!"</formula>
    </cfRule>
  </conditionalFormatting>
  <conditionalFormatting sqref="E40">
    <cfRule type="cellIs" dxfId="126" priority="88" operator="equal">
      <formula>"Please try again"</formula>
    </cfRule>
  </conditionalFormatting>
  <conditionalFormatting sqref="E42">
    <cfRule type="cellIs" dxfId="125" priority="86" operator="equal">
      <formula>"Correct!"</formula>
    </cfRule>
    <cfRule type="cellIs" dxfId="124" priority="87" operator="equal">
      <formula>"Correct!"</formula>
    </cfRule>
  </conditionalFormatting>
  <conditionalFormatting sqref="E42">
    <cfRule type="cellIs" dxfId="123" priority="85" operator="equal">
      <formula>"Please try again"</formula>
    </cfRule>
  </conditionalFormatting>
  <conditionalFormatting sqref="E44">
    <cfRule type="cellIs" dxfId="122" priority="83" operator="equal">
      <formula>"Correct!"</formula>
    </cfRule>
    <cfRule type="cellIs" dxfId="121" priority="84" operator="equal">
      <formula>"Correct!"</formula>
    </cfRule>
  </conditionalFormatting>
  <conditionalFormatting sqref="E44">
    <cfRule type="cellIs" dxfId="120" priority="82" operator="equal">
      <formula>"Please try again"</formula>
    </cfRule>
  </conditionalFormatting>
  <conditionalFormatting sqref="E46">
    <cfRule type="cellIs" dxfId="119" priority="80" operator="equal">
      <formula>"Correct!"</formula>
    </cfRule>
    <cfRule type="cellIs" dxfId="118" priority="81" operator="equal">
      <formula>"Correct!"</formula>
    </cfRule>
  </conditionalFormatting>
  <conditionalFormatting sqref="E46">
    <cfRule type="cellIs" dxfId="117" priority="79" operator="equal">
      <formula>"Please try again"</formula>
    </cfRule>
  </conditionalFormatting>
  <conditionalFormatting sqref="E48">
    <cfRule type="cellIs" dxfId="116" priority="77" operator="equal">
      <formula>"Correct!"</formula>
    </cfRule>
    <cfRule type="cellIs" dxfId="115" priority="78" operator="equal">
      <formula>"Correct!"</formula>
    </cfRule>
  </conditionalFormatting>
  <conditionalFormatting sqref="E48">
    <cfRule type="cellIs" dxfId="114" priority="76" operator="equal">
      <formula>"Please try again"</formula>
    </cfRule>
  </conditionalFormatting>
  <conditionalFormatting sqref="E50">
    <cfRule type="cellIs" dxfId="113" priority="74" operator="equal">
      <formula>"Correct!"</formula>
    </cfRule>
    <cfRule type="cellIs" dxfId="112" priority="75" operator="equal">
      <formula>"Correct!"</formula>
    </cfRule>
  </conditionalFormatting>
  <conditionalFormatting sqref="E50">
    <cfRule type="cellIs" dxfId="111" priority="73" operator="equal">
      <formula>"Please try again"</formula>
    </cfRule>
  </conditionalFormatting>
  <conditionalFormatting sqref="D3">
    <cfRule type="cellIs" dxfId="110" priority="32" operator="equal">
      <formula>"Correct!"</formula>
    </cfRule>
    <cfRule type="cellIs" dxfId="109" priority="33" operator="equal">
      <formula>"Correct!"</formula>
    </cfRule>
  </conditionalFormatting>
  <conditionalFormatting sqref="D3">
    <cfRule type="cellIs" dxfId="108" priority="31" operator="equal">
      <formula>"Please try again"</formula>
    </cfRule>
  </conditionalFormatting>
  <conditionalFormatting sqref="D3">
    <cfRule type="cellIs" dxfId="107" priority="35" operator="equal">
      <formula>"Correct!"</formula>
    </cfRule>
    <cfRule type="cellIs" dxfId="106" priority="36" operator="equal">
      <formula>"Correct!"</formula>
    </cfRule>
  </conditionalFormatting>
  <conditionalFormatting sqref="D3">
    <cfRule type="cellIs" dxfId="105" priority="34" operator="equal">
      <formula>"Please try again"</formula>
    </cfRule>
  </conditionalFormatting>
  <conditionalFormatting sqref="H4:H10">
    <cfRule type="cellIs" dxfId="104" priority="2" operator="equal">
      <formula>"Correct!"</formula>
    </cfRule>
    <cfRule type="cellIs" dxfId="103" priority="3" operator="equal">
      <formula>"Correct!"</formula>
    </cfRule>
  </conditionalFormatting>
  <conditionalFormatting sqref="H4:H10">
    <cfRule type="cellIs" dxfId="102" priority="1" operator="equal">
      <formula>"Please try again"</formula>
    </cfRule>
  </conditionalFormatting>
  <conditionalFormatting sqref="H4:H10">
    <cfRule type="cellIs" dxfId="101" priority="5" operator="equal">
      <formula>"Correct!"</formula>
    </cfRule>
    <cfRule type="cellIs" dxfId="100" priority="6" operator="equal">
      <formula>"Correct!"</formula>
    </cfRule>
  </conditionalFormatting>
  <conditionalFormatting sqref="H4:H10">
    <cfRule type="cellIs" dxfId="99" priority="4" operator="equal">
      <formula>"Please try again"</formula>
    </cfRule>
  </conditionalFormatting>
  <conditionalFormatting sqref="D4:D14">
    <cfRule type="cellIs" dxfId="98" priority="20" operator="equal">
      <formula>"Correct!"</formula>
    </cfRule>
    <cfRule type="cellIs" dxfId="97" priority="21" operator="equal">
      <formula>"Correct!"</formula>
    </cfRule>
  </conditionalFormatting>
  <conditionalFormatting sqref="D4:D14">
    <cfRule type="cellIs" dxfId="96" priority="19" operator="equal">
      <formula>"Please try again"</formula>
    </cfRule>
  </conditionalFormatting>
  <conditionalFormatting sqref="D4:D14">
    <cfRule type="cellIs" dxfId="95" priority="23" operator="equal">
      <formula>"Correct!"</formula>
    </cfRule>
    <cfRule type="cellIs" dxfId="94" priority="24" operator="equal">
      <formula>"Correct!"</formula>
    </cfRule>
  </conditionalFormatting>
  <conditionalFormatting sqref="D4:D14">
    <cfRule type="cellIs" dxfId="93" priority="22" operator="equal">
      <formula>"Please try again"</formula>
    </cfRule>
  </conditionalFormatting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B6FF-D537-4D1D-B927-6C7E7CD21FB2}">
  <sheetPr codeName="Sheet7"/>
  <dimension ref="A1:K15"/>
  <sheetViews>
    <sheetView showGridLines="0" workbookViewId="0">
      <selection activeCell="H4" sqref="H4:H10"/>
    </sheetView>
  </sheetViews>
  <sheetFormatPr defaultRowHeight="14.4" x14ac:dyDescent="0.3"/>
  <cols>
    <col min="1" max="1" width="6.109375" style="67" customWidth="1"/>
    <col min="2" max="2" width="20.44140625" customWidth="1"/>
    <col min="3" max="3" width="2.5546875" customWidth="1"/>
    <col min="4" max="4" width="22.88671875" style="63" customWidth="1"/>
    <col min="5" max="5" width="12.33203125" customWidth="1"/>
    <col min="6" max="6" width="12.6640625" customWidth="1"/>
    <col min="7" max="7" width="15.5546875" customWidth="1"/>
    <col min="8" max="8" width="20.109375" style="63" customWidth="1"/>
  </cols>
  <sheetData>
    <row r="1" spans="1:11" ht="30.6" x14ac:dyDescent="0.7">
      <c r="B1" s="42"/>
      <c r="C1" s="26" t="s">
        <v>0</v>
      </c>
      <c r="D1" s="60"/>
      <c r="E1" s="78"/>
      <c r="F1" s="78"/>
      <c r="G1" s="73"/>
      <c r="H1" s="43"/>
      <c r="I1" s="51"/>
    </row>
    <row r="2" spans="1:11" ht="30" x14ac:dyDescent="0.7">
      <c r="B2" s="26"/>
      <c r="C2" s="10"/>
      <c r="D2" s="107"/>
      <c r="F2" s="120" t="s">
        <v>21</v>
      </c>
      <c r="G2" s="17"/>
      <c r="H2" s="41"/>
      <c r="I2" s="29"/>
      <c r="J2" s="120" t="s">
        <v>21</v>
      </c>
    </row>
    <row r="3" spans="1:11" ht="34.200000000000003" x14ac:dyDescent="0.8">
      <c r="A3" s="67">
        <v>1</v>
      </c>
      <c r="B3" s="32"/>
      <c r="C3" s="26" t="s">
        <v>22</v>
      </c>
      <c r="D3" s="61"/>
      <c r="E3" s="27" t="str">
        <f t="shared" ref="E3:E14" si="0">IF(EXACT(TRIM(C3),TRIM(D3)),"GOOD","?")</f>
        <v>?</v>
      </c>
      <c r="F3" s="109">
        <f t="shared" ref="F3:F14" si="1">IF(E3=A3,1,0)</f>
        <v>0</v>
      </c>
      <c r="G3" s="26"/>
      <c r="H3" s="110"/>
      <c r="I3" s="80"/>
    </row>
    <row r="4" spans="1:11" ht="34.200000000000003" x14ac:dyDescent="0.8">
      <c r="A4" s="67">
        <f>1+A3</f>
        <v>2</v>
      </c>
      <c r="B4" s="26"/>
      <c r="C4" s="26" t="s">
        <v>23</v>
      </c>
      <c r="D4" s="61"/>
      <c r="E4" s="27" t="str">
        <f t="shared" si="0"/>
        <v>?</v>
      </c>
      <c r="F4" s="109">
        <f t="shared" si="1"/>
        <v>0</v>
      </c>
      <c r="G4" s="108" t="s">
        <v>25</v>
      </c>
      <c r="H4" s="113"/>
      <c r="I4" s="27" t="str">
        <f t="shared" ref="I4:I10" si="2">IF(EXACT(TRIM(G4),TRIM(H4)),"GOOD","?")</f>
        <v>?</v>
      </c>
      <c r="K4" s="67">
        <f>IF(I4="GOOD",1,0)</f>
        <v>0</v>
      </c>
    </row>
    <row r="5" spans="1:11" ht="34.200000000000003" x14ac:dyDescent="0.8">
      <c r="A5" s="67">
        <f t="shared" ref="A5:A14" si="3">1+A4</f>
        <v>3</v>
      </c>
      <c r="B5" s="32"/>
      <c r="C5" s="26" t="s">
        <v>26</v>
      </c>
      <c r="D5" s="61"/>
      <c r="E5" s="27" t="str">
        <f t="shared" si="0"/>
        <v>?</v>
      </c>
      <c r="F5" s="109">
        <f t="shared" si="1"/>
        <v>0</v>
      </c>
      <c r="G5" s="108" t="s">
        <v>27</v>
      </c>
      <c r="H5" s="61"/>
      <c r="I5" s="27" t="str">
        <f t="shared" si="2"/>
        <v>?</v>
      </c>
      <c r="K5" s="67">
        <f t="shared" ref="K5:K10" si="4">IF(I5="GOOD",1,0)</f>
        <v>0</v>
      </c>
    </row>
    <row r="6" spans="1:11" ht="34.200000000000003" x14ac:dyDescent="0.8">
      <c r="A6" s="67">
        <f t="shared" si="3"/>
        <v>4</v>
      </c>
      <c r="B6" s="26"/>
      <c r="C6" s="26" t="s">
        <v>28</v>
      </c>
      <c r="D6" s="61"/>
      <c r="E6" s="27" t="str">
        <f t="shared" si="0"/>
        <v>?</v>
      </c>
      <c r="F6" s="109">
        <f t="shared" si="1"/>
        <v>0</v>
      </c>
      <c r="G6" s="108" t="s">
        <v>29</v>
      </c>
      <c r="H6" s="61"/>
      <c r="I6" s="27" t="str">
        <f t="shared" si="2"/>
        <v>?</v>
      </c>
      <c r="K6" s="67">
        <f t="shared" si="4"/>
        <v>0</v>
      </c>
    </row>
    <row r="7" spans="1:11" ht="34.200000000000003" x14ac:dyDescent="0.8">
      <c r="A7" s="67">
        <f t="shared" si="3"/>
        <v>5</v>
      </c>
      <c r="B7" s="32"/>
      <c r="C7" s="26" t="s">
        <v>30</v>
      </c>
      <c r="D7" s="61"/>
      <c r="E7" s="27" t="str">
        <f t="shared" si="0"/>
        <v>?</v>
      </c>
      <c r="F7" s="109">
        <f t="shared" si="1"/>
        <v>0</v>
      </c>
      <c r="G7" s="108" t="s">
        <v>31</v>
      </c>
      <c r="H7" s="61"/>
      <c r="I7" s="27" t="str">
        <f t="shared" si="2"/>
        <v>?</v>
      </c>
      <c r="K7" s="67">
        <f t="shared" si="4"/>
        <v>0</v>
      </c>
    </row>
    <row r="8" spans="1:11" ht="34.200000000000003" x14ac:dyDescent="0.8">
      <c r="A8" s="67">
        <f t="shared" si="3"/>
        <v>6</v>
      </c>
      <c r="B8" s="26"/>
      <c r="C8" s="26" t="s">
        <v>32</v>
      </c>
      <c r="D8" s="61"/>
      <c r="E8" s="27" t="str">
        <f t="shared" si="0"/>
        <v>?</v>
      </c>
      <c r="F8" s="109">
        <f t="shared" si="1"/>
        <v>0</v>
      </c>
      <c r="G8" s="108" t="s">
        <v>33</v>
      </c>
      <c r="H8" s="61"/>
      <c r="I8" s="27" t="str">
        <f t="shared" si="2"/>
        <v>?</v>
      </c>
      <c r="K8" s="67">
        <f t="shared" si="4"/>
        <v>0</v>
      </c>
    </row>
    <row r="9" spans="1:11" ht="34.200000000000003" x14ac:dyDescent="0.8">
      <c r="A9" s="67">
        <f t="shared" si="3"/>
        <v>7</v>
      </c>
      <c r="B9" s="32"/>
      <c r="C9" s="26" t="s">
        <v>34</v>
      </c>
      <c r="D9" s="61"/>
      <c r="E9" s="27" t="str">
        <f t="shared" si="0"/>
        <v>?</v>
      </c>
      <c r="F9" s="109">
        <f t="shared" si="1"/>
        <v>0</v>
      </c>
      <c r="G9" s="108" t="s">
        <v>35</v>
      </c>
      <c r="H9" s="61"/>
      <c r="I9" s="27" t="str">
        <f t="shared" si="2"/>
        <v>?</v>
      </c>
      <c r="K9" s="67">
        <f t="shared" si="4"/>
        <v>0</v>
      </c>
    </row>
    <row r="10" spans="1:11" ht="34.200000000000003" x14ac:dyDescent="0.8">
      <c r="A10" s="67">
        <f t="shared" si="3"/>
        <v>8</v>
      </c>
      <c r="B10" s="26"/>
      <c r="C10" s="26" t="s">
        <v>36</v>
      </c>
      <c r="D10" s="61"/>
      <c r="E10" s="27" t="str">
        <f t="shared" si="0"/>
        <v>?</v>
      </c>
      <c r="F10" s="109">
        <f t="shared" si="1"/>
        <v>0</v>
      </c>
      <c r="G10" s="108" t="s">
        <v>37</v>
      </c>
      <c r="H10" s="61"/>
      <c r="I10" s="27" t="str">
        <f t="shared" si="2"/>
        <v>?</v>
      </c>
      <c r="K10" s="67">
        <f t="shared" si="4"/>
        <v>0</v>
      </c>
    </row>
    <row r="11" spans="1:11" ht="34.200000000000003" x14ac:dyDescent="0.8">
      <c r="A11" s="67">
        <f t="shared" si="3"/>
        <v>9</v>
      </c>
      <c r="B11" s="32"/>
      <c r="C11" s="26" t="s">
        <v>38</v>
      </c>
      <c r="D11" s="61"/>
      <c r="E11" s="27" t="str">
        <f t="shared" si="0"/>
        <v>?</v>
      </c>
      <c r="F11" s="109">
        <f t="shared" si="1"/>
        <v>0</v>
      </c>
      <c r="G11" s="32"/>
      <c r="H11" s="111"/>
      <c r="I11" s="29"/>
    </row>
    <row r="12" spans="1:11" ht="34.200000000000003" x14ac:dyDescent="0.8">
      <c r="A12" s="67">
        <f t="shared" si="3"/>
        <v>10</v>
      </c>
      <c r="B12" s="26"/>
      <c r="C12" s="26" t="s">
        <v>39</v>
      </c>
      <c r="D12" s="61"/>
      <c r="E12" s="27" t="str">
        <f t="shared" si="0"/>
        <v>?</v>
      </c>
      <c r="F12" s="109">
        <f t="shared" si="1"/>
        <v>0</v>
      </c>
      <c r="G12" s="25" t="str">
        <f>IF(SUM(F3:F14,K4:K10)=19,"PERFECT!","")</f>
        <v/>
      </c>
      <c r="H12" s="112"/>
      <c r="I12" s="36"/>
    </row>
    <row r="13" spans="1:11" ht="34.200000000000003" x14ac:dyDescent="0.8">
      <c r="A13" s="67">
        <f t="shared" si="3"/>
        <v>11</v>
      </c>
      <c r="B13" s="32"/>
      <c r="C13" s="26" t="s">
        <v>40</v>
      </c>
      <c r="D13" s="61"/>
      <c r="E13" s="27" t="str">
        <f t="shared" si="0"/>
        <v>?</v>
      </c>
      <c r="F13" s="109">
        <f t="shared" si="1"/>
        <v>0</v>
      </c>
      <c r="G13" s="28"/>
      <c r="H13" s="24"/>
      <c r="I13" s="29"/>
    </row>
    <row r="14" spans="1:11" ht="34.200000000000003" x14ac:dyDescent="0.8">
      <c r="A14" s="67">
        <f t="shared" si="3"/>
        <v>12</v>
      </c>
      <c r="B14" s="9"/>
      <c r="C14" s="26" t="s">
        <v>41</v>
      </c>
      <c r="D14" s="61"/>
      <c r="E14" s="27" t="str">
        <f t="shared" si="0"/>
        <v>?</v>
      </c>
      <c r="F14" s="109">
        <f t="shared" si="1"/>
        <v>0</v>
      </c>
      <c r="G14" s="25"/>
      <c r="H14" s="112"/>
      <c r="I14" s="36"/>
    </row>
    <row r="15" spans="1:11" ht="34.200000000000003" x14ac:dyDescent="0.8">
      <c r="B15" s="34"/>
      <c r="C15" s="30"/>
      <c r="D15" s="22"/>
      <c r="E15" s="35"/>
      <c r="F15" s="23"/>
      <c r="G15" s="20"/>
      <c r="H15" s="111"/>
      <c r="I15" s="36"/>
    </row>
  </sheetData>
  <sheetProtection selectLockedCells="1"/>
  <conditionalFormatting sqref="I4:I10">
    <cfRule type="cellIs" dxfId="92" priority="2" operator="equal">
      <formula>"Correct!"</formula>
    </cfRule>
    <cfRule type="cellIs" dxfId="91" priority="3" operator="equal">
      <formula>"Correct!"</formula>
    </cfRule>
  </conditionalFormatting>
  <conditionalFormatting sqref="I4:I10">
    <cfRule type="cellIs" dxfId="90" priority="1" operator="equal">
      <formula>"Please try again"</formula>
    </cfRule>
  </conditionalFormatting>
  <conditionalFormatting sqref="I4:I10">
    <cfRule type="cellIs" dxfId="89" priority="5" operator="equal">
      <formula>"Correct!"</formula>
    </cfRule>
    <cfRule type="cellIs" dxfId="88" priority="6" operator="equal">
      <formula>"Correct!"</formula>
    </cfRule>
  </conditionalFormatting>
  <conditionalFormatting sqref="I4:I10">
    <cfRule type="cellIs" dxfId="87" priority="4" operator="equal">
      <formula>"Please try again"</formula>
    </cfRule>
  </conditionalFormatting>
  <conditionalFormatting sqref="E3:E14">
    <cfRule type="cellIs" dxfId="86" priority="8" operator="equal">
      <formula>"Correct!"</formula>
    </cfRule>
    <cfRule type="cellIs" dxfId="85" priority="9" operator="equal">
      <formula>"Correct!"</formula>
    </cfRule>
  </conditionalFormatting>
  <conditionalFormatting sqref="E3:E14">
    <cfRule type="cellIs" dxfId="84" priority="7" operator="equal">
      <formula>"Please try again"</formula>
    </cfRule>
  </conditionalFormatting>
  <conditionalFormatting sqref="E3:E14">
    <cfRule type="cellIs" dxfId="83" priority="11" operator="equal">
      <formula>"Correct!"</formula>
    </cfRule>
    <cfRule type="cellIs" dxfId="82" priority="12" operator="equal">
      <formula>"Correct!"</formula>
    </cfRule>
  </conditionalFormatting>
  <conditionalFormatting sqref="E3:E14">
    <cfRule type="cellIs" dxfId="81" priority="10" operator="equal">
      <formula>"Please try again"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226"/>
  <sheetViews>
    <sheetView showGridLines="0" workbookViewId="0">
      <selection activeCell="G13" sqref="G13"/>
    </sheetView>
  </sheetViews>
  <sheetFormatPr defaultRowHeight="30" x14ac:dyDescent="0.7"/>
  <cols>
    <col min="1" max="1" width="8.88671875" style="18"/>
    <col min="2" max="3" width="1.6640625" style="18" customWidth="1"/>
    <col min="4" max="4" width="22.44140625" style="41" customWidth="1"/>
    <col min="5" max="5" width="14.6640625" style="18" customWidth="1"/>
    <col min="6" max="6" width="1.6640625" style="18" customWidth="1"/>
    <col min="7" max="7" width="20.5546875" style="38" customWidth="1"/>
    <col min="8" max="9" width="8.88671875" style="18"/>
    <col min="10" max="19" width="6.6640625" customWidth="1"/>
  </cols>
  <sheetData>
    <row r="1" spans="2:22" ht="19.2" customHeight="1" x14ac:dyDescent="0.8">
      <c r="B1" s="42"/>
      <c r="C1" s="9"/>
      <c r="D1" s="43"/>
      <c r="E1" s="22"/>
      <c r="G1" s="24"/>
      <c r="T1" s="18"/>
      <c r="U1" s="18"/>
      <c r="V1" s="18"/>
    </row>
    <row r="2" spans="2:22" ht="34.200000000000003" x14ac:dyDescent="0.8">
      <c r="B2" s="42"/>
      <c r="C2" s="30"/>
      <c r="D2" s="39"/>
      <c r="G2" s="44" t="s">
        <v>22</v>
      </c>
      <c r="H2" s="22"/>
      <c r="T2" s="18"/>
      <c r="U2" s="18"/>
    </row>
    <row r="3" spans="2:22" x14ac:dyDescent="0.7">
      <c r="C3" s="29"/>
      <c r="D3" s="44" t="s">
        <v>37</v>
      </c>
      <c r="G3" s="44" t="s">
        <v>23</v>
      </c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2:22" x14ac:dyDescent="0.7">
      <c r="C4" s="26"/>
      <c r="D4" s="44" t="s">
        <v>25</v>
      </c>
      <c r="E4" s="24"/>
      <c r="G4" s="45"/>
      <c r="H4" s="27" t="str">
        <f>IF(G4&lt;&gt;"",IF(EXACT(G4,"March"),"GOOD",IF(TRIM(G4)="march","M not m","  ?"))," ")</f>
        <v xml:space="preserve"> 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2:22" x14ac:dyDescent="0.7">
      <c r="C5" s="32"/>
      <c r="D5" s="45"/>
      <c r="E5" s="27" t="str">
        <f>IF(D5&lt;&gt;"",IF(EXACT(D5,"Tuesday"),"GOOD",IF(TRIM(D5)="tuesday","T not t","  ?"))," ")</f>
        <v xml:space="preserve"> </v>
      </c>
      <c r="G5" s="44" t="s">
        <v>28</v>
      </c>
      <c r="H5" s="24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2:22" x14ac:dyDescent="0.7">
      <c r="C6" s="32"/>
      <c r="D6" s="50" t="s">
        <v>29</v>
      </c>
      <c r="E6" s="27"/>
      <c r="G6" s="45"/>
      <c r="H6" s="27" t="str">
        <f>IF(G6&lt;&gt;"",IF(EXACT(G6,"May"),"GOOD",IF(TRIM(G6)="may","M not m","  ?"))," ")</f>
        <v xml:space="preserve"> 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2:22" x14ac:dyDescent="0.7">
      <c r="C7" s="32"/>
      <c r="D7" s="44" t="s">
        <v>31</v>
      </c>
      <c r="E7" s="27"/>
      <c r="G7" s="44" t="s">
        <v>32</v>
      </c>
      <c r="H7" s="24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22" x14ac:dyDescent="0.7">
      <c r="C8" s="26"/>
      <c r="D8" s="45"/>
      <c r="E8" s="27" t="str">
        <f>IF(D8&lt;&gt;"",IF(EXACT(D8,"Friday"),"GOOD",IF(TRIM(D8)="friday","F not f","  ?"))," ")</f>
        <v xml:space="preserve"> </v>
      </c>
      <c r="G8" s="45"/>
      <c r="H8" s="27" t="str">
        <f>IF(G8&lt;&gt;"",IF(EXACT(G8,"July"),"GOOD",IF(TRIM(G8)="july","J not j","  ?"))," ")</f>
        <v xml:space="preserve"> 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22" x14ac:dyDescent="0.7">
      <c r="C9" s="32"/>
      <c r="D9" s="44" t="s">
        <v>35</v>
      </c>
      <c r="E9" s="24"/>
      <c r="G9" s="44" t="s">
        <v>36</v>
      </c>
      <c r="H9" s="27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22" x14ac:dyDescent="0.7">
      <c r="C10" s="26"/>
      <c r="D10" s="39"/>
      <c r="E10" s="40"/>
      <c r="G10" s="44" t="s">
        <v>38</v>
      </c>
      <c r="H10" s="24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22" x14ac:dyDescent="0.7">
      <c r="C11" s="32"/>
      <c r="D11" s="37"/>
      <c r="E11" s="37"/>
      <c r="G11" s="45"/>
      <c r="H11" s="27" t="str">
        <f>IF(G11&lt;&gt;"",IF(EXACT(G11,"October"),"GOOD",IF(TRIM(G11)="october","O not o","  ?"))," ")</f>
        <v xml:space="preserve"> 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22" x14ac:dyDescent="0.7">
      <c r="C12" s="26"/>
      <c r="D12" s="37"/>
      <c r="E12" s="37"/>
      <c r="G12" s="44" t="s">
        <v>40</v>
      </c>
      <c r="H12" s="37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3" spans="2:22" x14ac:dyDescent="0.7">
      <c r="G13" s="45"/>
      <c r="H13" s="27" t="str">
        <f>IF(G13&lt;&gt;"",IF(EXACT(G13,"December"),"GOOD",IF(TRIM(G13)="december","D not d","  ?"))," ")</f>
        <v xml:space="preserve"> 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4" spans="2:22" s="18" customFormat="1" x14ac:dyDescent="0.7"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</row>
    <row r="15" spans="2:22" s="18" customFormat="1" x14ac:dyDescent="0.7"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</row>
    <row r="16" spans="2:22" s="18" customFormat="1" x14ac:dyDescent="0.7"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</row>
    <row r="17" spans="4:16" s="18" customFormat="1" x14ac:dyDescent="0.7"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</row>
    <row r="18" spans="4:16" s="18" customFormat="1" x14ac:dyDescent="0.7"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</row>
    <row r="19" spans="4:16" s="18" customFormat="1" x14ac:dyDescent="0.7"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</row>
    <row r="20" spans="4:16" s="18" customFormat="1" x14ac:dyDescent="0.7"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</row>
    <row r="21" spans="4:16" s="18" customFormat="1" x14ac:dyDescent="0.7"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</row>
    <row r="22" spans="4:16" s="18" customFormat="1" x14ac:dyDescent="0.7"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</row>
    <row r="23" spans="4:16" s="18" customFormat="1" x14ac:dyDescent="0.7">
      <c r="D23" s="41"/>
      <c r="G23" s="24"/>
    </row>
    <row r="24" spans="4:16" s="18" customFormat="1" x14ac:dyDescent="0.7">
      <c r="D24" s="41"/>
      <c r="G24" s="38"/>
    </row>
    <row r="25" spans="4:16" s="18" customFormat="1" x14ac:dyDescent="0.7">
      <c r="D25" s="41"/>
      <c r="G25" s="38"/>
    </row>
    <row r="26" spans="4:16" s="18" customFormat="1" x14ac:dyDescent="0.7">
      <c r="D26" s="41"/>
      <c r="G26" s="38"/>
    </row>
    <row r="27" spans="4:16" s="18" customFormat="1" x14ac:dyDescent="0.7">
      <c r="D27" s="41"/>
      <c r="G27" s="38"/>
    </row>
    <row r="28" spans="4:16" s="18" customFormat="1" x14ac:dyDescent="0.7">
      <c r="D28" s="41"/>
      <c r="G28" s="38"/>
    </row>
    <row r="29" spans="4:16" s="18" customFormat="1" x14ac:dyDescent="0.7">
      <c r="D29" s="41"/>
      <c r="G29" s="38"/>
    </row>
    <row r="30" spans="4:16" s="18" customFormat="1" x14ac:dyDescent="0.7">
      <c r="D30" s="41"/>
      <c r="G30" s="38"/>
    </row>
    <row r="31" spans="4:16" s="18" customFormat="1" x14ac:dyDescent="0.7">
      <c r="D31" s="41"/>
      <c r="G31" s="38"/>
    </row>
    <row r="32" spans="4:16" s="18" customFormat="1" x14ac:dyDescent="0.7">
      <c r="D32" s="41"/>
      <c r="G32" s="38"/>
    </row>
    <row r="33" spans="4:7" s="18" customFormat="1" x14ac:dyDescent="0.7">
      <c r="D33" s="41"/>
      <c r="G33" s="38"/>
    </row>
    <row r="34" spans="4:7" s="18" customFormat="1" x14ac:dyDescent="0.7">
      <c r="D34" s="41"/>
      <c r="G34" s="38"/>
    </row>
    <row r="35" spans="4:7" s="18" customFormat="1" x14ac:dyDescent="0.7">
      <c r="D35" s="41"/>
      <c r="G35" s="38"/>
    </row>
    <row r="36" spans="4:7" s="18" customFormat="1" x14ac:dyDescent="0.7">
      <c r="D36" s="41"/>
      <c r="G36" s="38"/>
    </row>
    <row r="37" spans="4:7" s="18" customFormat="1" x14ac:dyDescent="0.7">
      <c r="D37" s="41"/>
      <c r="G37" s="38"/>
    </row>
    <row r="38" spans="4:7" s="18" customFormat="1" x14ac:dyDescent="0.7">
      <c r="D38" s="41"/>
      <c r="G38" s="38"/>
    </row>
    <row r="39" spans="4:7" s="18" customFormat="1" x14ac:dyDescent="0.7">
      <c r="D39" s="41"/>
      <c r="G39" s="38"/>
    </row>
    <row r="40" spans="4:7" s="18" customFormat="1" x14ac:dyDescent="0.7">
      <c r="D40" s="41"/>
      <c r="G40" s="38"/>
    </row>
    <row r="41" spans="4:7" s="18" customFormat="1" x14ac:dyDescent="0.7">
      <c r="D41" s="41"/>
      <c r="G41" s="38"/>
    </row>
    <row r="42" spans="4:7" s="18" customFormat="1" x14ac:dyDescent="0.7">
      <c r="D42" s="41"/>
      <c r="G42" s="38"/>
    </row>
    <row r="43" spans="4:7" s="18" customFormat="1" x14ac:dyDescent="0.7">
      <c r="D43" s="41"/>
      <c r="G43" s="38"/>
    </row>
    <row r="44" spans="4:7" s="18" customFormat="1" x14ac:dyDescent="0.7">
      <c r="D44" s="41"/>
      <c r="G44" s="38"/>
    </row>
    <row r="45" spans="4:7" s="18" customFormat="1" x14ac:dyDescent="0.7">
      <c r="D45" s="41"/>
      <c r="G45" s="38"/>
    </row>
    <row r="46" spans="4:7" s="18" customFormat="1" x14ac:dyDescent="0.7">
      <c r="D46" s="41"/>
      <c r="G46" s="38"/>
    </row>
    <row r="47" spans="4:7" s="18" customFormat="1" x14ac:dyDescent="0.7">
      <c r="D47" s="41"/>
      <c r="G47" s="38"/>
    </row>
    <row r="48" spans="4:7" s="18" customFormat="1" x14ac:dyDescent="0.7">
      <c r="D48" s="41"/>
      <c r="G48" s="38"/>
    </row>
    <row r="49" spans="4:7" s="18" customFormat="1" x14ac:dyDescent="0.7">
      <c r="D49" s="41"/>
      <c r="G49" s="38"/>
    </row>
    <row r="50" spans="4:7" s="18" customFormat="1" x14ac:dyDescent="0.7">
      <c r="D50" s="41"/>
      <c r="G50" s="38"/>
    </row>
    <row r="51" spans="4:7" s="18" customFormat="1" x14ac:dyDescent="0.7">
      <c r="D51" s="41"/>
      <c r="G51" s="38"/>
    </row>
    <row r="52" spans="4:7" s="18" customFormat="1" x14ac:dyDescent="0.7">
      <c r="D52" s="41"/>
      <c r="G52" s="38"/>
    </row>
    <row r="53" spans="4:7" s="18" customFormat="1" x14ac:dyDescent="0.7">
      <c r="D53" s="41"/>
      <c r="G53" s="38"/>
    </row>
    <row r="54" spans="4:7" s="18" customFormat="1" x14ac:dyDescent="0.7">
      <c r="D54" s="41"/>
      <c r="G54" s="38"/>
    </row>
    <row r="55" spans="4:7" s="18" customFormat="1" x14ac:dyDescent="0.7">
      <c r="D55" s="41"/>
      <c r="G55" s="38"/>
    </row>
    <row r="56" spans="4:7" s="18" customFormat="1" x14ac:dyDescent="0.7">
      <c r="D56" s="41"/>
      <c r="G56" s="38"/>
    </row>
    <row r="57" spans="4:7" s="18" customFormat="1" x14ac:dyDescent="0.7">
      <c r="D57" s="41"/>
      <c r="G57" s="38"/>
    </row>
    <row r="58" spans="4:7" s="18" customFormat="1" x14ac:dyDescent="0.7">
      <c r="D58" s="41"/>
      <c r="G58" s="38"/>
    </row>
    <row r="59" spans="4:7" s="18" customFormat="1" x14ac:dyDescent="0.7">
      <c r="D59" s="41"/>
      <c r="G59" s="38"/>
    </row>
    <row r="60" spans="4:7" s="18" customFormat="1" x14ac:dyDescent="0.7">
      <c r="D60" s="41"/>
      <c r="G60" s="38"/>
    </row>
    <row r="61" spans="4:7" s="18" customFormat="1" x14ac:dyDescent="0.7">
      <c r="D61" s="41"/>
      <c r="G61" s="38"/>
    </row>
    <row r="62" spans="4:7" s="18" customFormat="1" x14ac:dyDescent="0.7">
      <c r="D62" s="41"/>
      <c r="G62" s="38"/>
    </row>
    <row r="63" spans="4:7" s="18" customFormat="1" x14ac:dyDescent="0.7">
      <c r="D63" s="41"/>
      <c r="G63" s="38"/>
    </row>
    <row r="64" spans="4:7" s="18" customFormat="1" x14ac:dyDescent="0.7">
      <c r="D64" s="41"/>
      <c r="G64" s="38"/>
    </row>
    <row r="65" spans="4:7" s="18" customFormat="1" x14ac:dyDescent="0.7">
      <c r="D65" s="41"/>
      <c r="G65" s="38"/>
    </row>
    <row r="66" spans="4:7" s="18" customFormat="1" x14ac:dyDescent="0.7">
      <c r="D66" s="41"/>
      <c r="G66" s="38"/>
    </row>
    <row r="67" spans="4:7" s="18" customFormat="1" x14ac:dyDescent="0.7">
      <c r="D67" s="41"/>
      <c r="G67" s="38"/>
    </row>
    <row r="68" spans="4:7" s="18" customFormat="1" x14ac:dyDescent="0.7">
      <c r="D68" s="41"/>
      <c r="G68" s="38"/>
    </row>
    <row r="69" spans="4:7" s="18" customFormat="1" x14ac:dyDescent="0.7">
      <c r="D69" s="41"/>
      <c r="G69" s="38"/>
    </row>
    <row r="70" spans="4:7" s="18" customFormat="1" x14ac:dyDescent="0.7">
      <c r="D70" s="41"/>
      <c r="G70" s="38"/>
    </row>
    <row r="71" spans="4:7" s="18" customFormat="1" x14ac:dyDescent="0.7">
      <c r="D71" s="41"/>
      <c r="G71" s="38"/>
    </row>
    <row r="72" spans="4:7" s="18" customFormat="1" x14ac:dyDescent="0.7">
      <c r="D72" s="41"/>
      <c r="G72" s="38"/>
    </row>
    <row r="73" spans="4:7" s="18" customFormat="1" x14ac:dyDescent="0.7">
      <c r="D73" s="41"/>
      <c r="G73" s="38"/>
    </row>
    <row r="74" spans="4:7" s="18" customFormat="1" x14ac:dyDescent="0.7">
      <c r="D74" s="41"/>
      <c r="G74" s="38"/>
    </row>
    <row r="75" spans="4:7" s="18" customFormat="1" x14ac:dyDescent="0.7">
      <c r="D75" s="41"/>
      <c r="G75" s="38"/>
    </row>
    <row r="76" spans="4:7" s="18" customFormat="1" x14ac:dyDescent="0.7">
      <c r="D76" s="41"/>
      <c r="G76" s="38"/>
    </row>
    <row r="77" spans="4:7" s="18" customFormat="1" x14ac:dyDescent="0.7">
      <c r="D77" s="41"/>
      <c r="G77" s="38"/>
    </row>
    <row r="78" spans="4:7" s="18" customFormat="1" x14ac:dyDescent="0.7">
      <c r="D78" s="41"/>
      <c r="G78" s="38"/>
    </row>
    <row r="79" spans="4:7" s="18" customFormat="1" x14ac:dyDescent="0.7">
      <c r="D79" s="41"/>
      <c r="G79" s="38"/>
    </row>
    <row r="80" spans="4:7" s="18" customFormat="1" x14ac:dyDescent="0.7">
      <c r="D80" s="41"/>
      <c r="G80" s="38"/>
    </row>
    <row r="81" spans="4:7" s="18" customFormat="1" x14ac:dyDescent="0.7">
      <c r="D81" s="41"/>
      <c r="G81" s="38"/>
    </row>
    <row r="82" spans="4:7" s="18" customFormat="1" x14ac:dyDescent="0.7">
      <c r="D82" s="41"/>
      <c r="G82" s="38"/>
    </row>
    <row r="83" spans="4:7" s="18" customFormat="1" x14ac:dyDescent="0.7">
      <c r="D83" s="41"/>
      <c r="G83" s="38"/>
    </row>
    <row r="84" spans="4:7" s="18" customFormat="1" x14ac:dyDescent="0.7">
      <c r="D84" s="41"/>
      <c r="G84" s="38"/>
    </row>
    <row r="85" spans="4:7" s="18" customFormat="1" x14ac:dyDescent="0.7">
      <c r="D85" s="41"/>
      <c r="G85" s="38"/>
    </row>
    <row r="86" spans="4:7" s="18" customFormat="1" x14ac:dyDescent="0.7">
      <c r="D86" s="41"/>
      <c r="G86" s="38"/>
    </row>
    <row r="87" spans="4:7" s="18" customFormat="1" x14ac:dyDescent="0.7">
      <c r="D87" s="41"/>
      <c r="G87" s="38"/>
    </row>
    <row r="88" spans="4:7" s="18" customFormat="1" x14ac:dyDescent="0.7">
      <c r="D88" s="41"/>
      <c r="G88" s="38"/>
    </row>
    <row r="89" spans="4:7" s="18" customFormat="1" x14ac:dyDescent="0.7">
      <c r="D89" s="41"/>
      <c r="G89" s="38"/>
    </row>
    <row r="90" spans="4:7" s="18" customFormat="1" x14ac:dyDescent="0.7">
      <c r="D90" s="41"/>
      <c r="G90" s="38"/>
    </row>
    <row r="91" spans="4:7" s="18" customFormat="1" x14ac:dyDescent="0.7">
      <c r="D91" s="41"/>
      <c r="G91" s="38"/>
    </row>
    <row r="92" spans="4:7" s="18" customFormat="1" x14ac:dyDescent="0.7">
      <c r="D92" s="41"/>
      <c r="G92" s="38"/>
    </row>
    <row r="93" spans="4:7" s="18" customFormat="1" x14ac:dyDescent="0.7">
      <c r="D93" s="41"/>
      <c r="G93" s="38"/>
    </row>
    <row r="94" spans="4:7" s="18" customFormat="1" x14ac:dyDescent="0.7">
      <c r="D94" s="41"/>
      <c r="G94" s="38"/>
    </row>
    <row r="95" spans="4:7" s="18" customFormat="1" x14ac:dyDescent="0.7">
      <c r="D95" s="41"/>
      <c r="G95" s="38"/>
    </row>
    <row r="96" spans="4:7" s="18" customFormat="1" x14ac:dyDescent="0.7">
      <c r="D96" s="41"/>
      <c r="G96" s="38"/>
    </row>
    <row r="97" spans="4:7" s="18" customFormat="1" x14ac:dyDescent="0.7">
      <c r="D97" s="41"/>
      <c r="G97" s="38"/>
    </row>
    <row r="98" spans="4:7" s="18" customFormat="1" x14ac:dyDescent="0.7">
      <c r="D98" s="41"/>
      <c r="G98" s="38"/>
    </row>
    <row r="99" spans="4:7" s="18" customFormat="1" x14ac:dyDescent="0.7">
      <c r="D99" s="41"/>
      <c r="G99" s="38"/>
    </row>
    <row r="100" spans="4:7" s="18" customFormat="1" x14ac:dyDescent="0.7">
      <c r="D100" s="41"/>
      <c r="G100" s="38"/>
    </row>
    <row r="101" spans="4:7" s="18" customFormat="1" x14ac:dyDescent="0.7">
      <c r="D101" s="41"/>
      <c r="G101" s="38"/>
    </row>
    <row r="102" spans="4:7" s="18" customFormat="1" x14ac:dyDescent="0.7">
      <c r="D102" s="41"/>
      <c r="G102" s="38"/>
    </row>
    <row r="103" spans="4:7" s="18" customFormat="1" x14ac:dyDescent="0.7">
      <c r="D103" s="41"/>
      <c r="G103" s="38"/>
    </row>
    <row r="104" spans="4:7" s="18" customFormat="1" x14ac:dyDescent="0.7">
      <c r="D104" s="41"/>
      <c r="G104" s="38"/>
    </row>
    <row r="105" spans="4:7" s="18" customFormat="1" x14ac:dyDescent="0.7">
      <c r="D105" s="41"/>
      <c r="G105" s="38"/>
    </row>
    <row r="106" spans="4:7" s="18" customFormat="1" x14ac:dyDescent="0.7">
      <c r="D106" s="41"/>
      <c r="G106" s="38"/>
    </row>
    <row r="107" spans="4:7" s="18" customFormat="1" x14ac:dyDescent="0.7">
      <c r="D107" s="41"/>
      <c r="G107" s="38"/>
    </row>
    <row r="108" spans="4:7" s="18" customFormat="1" x14ac:dyDescent="0.7">
      <c r="D108" s="41"/>
      <c r="G108" s="38"/>
    </row>
    <row r="109" spans="4:7" s="18" customFormat="1" x14ac:dyDescent="0.7">
      <c r="D109" s="41"/>
      <c r="G109" s="38"/>
    </row>
    <row r="110" spans="4:7" s="18" customFormat="1" x14ac:dyDescent="0.7">
      <c r="D110" s="41"/>
      <c r="G110" s="38"/>
    </row>
    <row r="111" spans="4:7" s="18" customFormat="1" x14ac:dyDescent="0.7">
      <c r="D111" s="41"/>
      <c r="G111" s="38"/>
    </row>
    <row r="112" spans="4:7" s="18" customFormat="1" x14ac:dyDescent="0.7">
      <c r="D112" s="41"/>
      <c r="G112" s="38"/>
    </row>
    <row r="113" spans="4:7" s="18" customFormat="1" x14ac:dyDescent="0.7">
      <c r="D113" s="41"/>
      <c r="G113" s="38"/>
    </row>
    <row r="114" spans="4:7" s="18" customFormat="1" x14ac:dyDescent="0.7">
      <c r="D114" s="41"/>
      <c r="G114" s="38"/>
    </row>
    <row r="115" spans="4:7" s="18" customFormat="1" x14ac:dyDescent="0.7">
      <c r="D115" s="41"/>
      <c r="G115" s="38"/>
    </row>
    <row r="116" spans="4:7" s="18" customFormat="1" x14ac:dyDescent="0.7">
      <c r="D116" s="41"/>
      <c r="G116" s="38"/>
    </row>
    <row r="117" spans="4:7" s="18" customFormat="1" x14ac:dyDescent="0.7">
      <c r="D117" s="41"/>
      <c r="G117" s="38"/>
    </row>
    <row r="118" spans="4:7" s="18" customFormat="1" x14ac:dyDescent="0.7">
      <c r="D118" s="41"/>
      <c r="G118" s="38"/>
    </row>
    <row r="119" spans="4:7" s="18" customFormat="1" x14ac:dyDescent="0.7">
      <c r="D119" s="41"/>
      <c r="G119" s="38"/>
    </row>
    <row r="120" spans="4:7" s="18" customFormat="1" x14ac:dyDescent="0.7">
      <c r="D120" s="41"/>
      <c r="G120" s="38"/>
    </row>
    <row r="121" spans="4:7" s="18" customFormat="1" x14ac:dyDescent="0.7">
      <c r="D121" s="41"/>
      <c r="G121" s="38"/>
    </row>
    <row r="122" spans="4:7" s="18" customFormat="1" x14ac:dyDescent="0.7">
      <c r="D122" s="41"/>
      <c r="G122" s="38"/>
    </row>
    <row r="123" spans="4:7" s="18" customFormat="1" x14ac:dyDescent="0.7">
      <c r="D123" s="41"/>
      <c r="G123" s="38"/>
    </row>
    <row r="124" spans="4:7" s="18" customFormat="1" x14ac:dyDescent="0.7">
      <c r="D124" s="41"/>
      <c r="G124" s="38"/>
    </row>
    <row r="125" spans="4:7" s="18" customFormat="1" x14ac:dyDescent="0.7">
      <c r="D125" s="41"/>
      <c r="G125" s="38"/>
    </row>
    <row r="126" spans="4:7" s="18" customFormat="1" x14ac:dyDescent="0.7">
      <c r="D126" s="41"/>
      <c r="G126" s="38"/>
    </row>
    <row r="127" spans="4:7" s="18" customFormat="1" x14ac:dyDescent="0.7">
      <c r="D127" s="41"/>
      <c r="G127" s="38"/>
    </row>
    <row r="128" spans="4:7" s="18" customFormat="1" x14ac:dyDescent="0.7">
      <c r="D128" s="41"/>
      <c r="G128" s="38"/>
    </row>
    <row r="129" spans="4:7" s="18" customFormat="1" x14ac:dyDescent="0.7">
      <c r="D129" s="41"/>
      <c r="G129" s="38"/>
    </row>
    <row r="130" spans="4:7" s="18" customFormat="1" x14ac:dyDescent="0.7">
      <c r="D130" s="41"/>
      <c r="G130" s="38"/>
    </row>
    <row r="131" spans="4:7" s="18" customFormat="1" x14ac:dyDescent="0.7">
      <c r="D131" s="41"/>
      <c r="G131" s="38"/>
    </row>
    <row r="132" spans="4:7" s="18" customFormat="1" x14ac:dyDescent="0.7">
      <c r="D132" s="41"/>
      <c r="G132" s="38"/>
    </row>
    <row r="133" spans="4:7" s="18" customFormat="1" x14ac:dyDescent="0.7">
      <c r="D133" s="41"/>
      <c r="G133" s="38"/>
    </row>
    <row r="134" spans="4:7" s="18" customFormat="1" x14ac:dyDescent="0.7">
      <c r="D134" s="41"/>
      <c r="G134" s="38"/>
    </row>
    <row r="135" spans="4:7" s="18" customFormat="1" x14ac:dyDescent="0.7">
      <c r="D135" s="41"/>
      <c r="G135" s="38"/>
    </row>
    <row r="136" spans="4:7" s="18" customFormat="1" x14ac:dyDescent="0.7">
      <c r="D136" s="41"/>
      <c r="G136" s="38"/>
    </row>
    <row r="137" spans="4:7" s="18" customFormat="1" x14ac:dyDescent="0.7">
      <c r="D137" s="41"/>
      <c r="G137" s="38"/>
    </row>
    <row r="138" spans="4:7" s="18" customFormat="1" x14ac:dyDescent="0.7">
      <c r="D138" s="41"/>
      <c r="G138" s="38"/>
    </row>
    <row r="139" spans="4:7" s="18" customFormat="1" x14ac:dyDescent="0.7">
      <c r="D139" s="41"/>
      <c r="G139" s="38"/>
    </row>
    <row r="140" spans="4:7" s="18" customFormat="1" x14ac:dyDescent="0.7">
      <c r="D140" s="41"/>
      <c r="G140" s="38"/>
    </row>
    <row r="141" spans="4:7" s="18" customFormat="1" x14ac:dyDescent="0.7">
      <c r="D141" s="41"/>
      <c r="G141" s="38"/>
    </row>
    <row r="142" spans="4:7" s="18" customFormat="1" x14ac:dyDescent="0.7">
      <c r="D142" s="41"/>
      <c r="G142" s="38"/>
    </row>
    <row r="143" spans="4:7" s="18" customFormat="1" x14ac:dyDescent="0.7">
      <c r="D143" s="41"/>
      <c r="G143" s="38"/>
    </row>
    <row r="144" spans="4:7" s="18" customFormat="1" x14ac:dyDescent="0.7">
      <c r="D144" s="41"/>
      <c r="G144" s="38"/>
    </row>
    <row r="145" spans="4:7" s="18" customFormat="1" x14ac:dyDescent="0.7">
      <c r="D145" s="41"/>
      <c r="G145" s="38"/>
    </row>
    <row r="146" spans="4:7" s="18" customFormat="1" x14ac:dyDescent="0.7">
      <c r="D146" s="41"/>
      <c r="G146" s="38"/>
    </row>
    <row r="147" spans="4:7" s="18" customFormat="1" x14ac:dyDescent="0.7">
      <c r="D147" s="41"/>
      <c r="G147" s="38"/>
    </row>
    <row r="148" spans="4:7" s="18" customFormat="1" x14ac:dyDescent="0.7">
      <c r="D148" s="41"/>
      <c r="G148" s="38"/>
    </row>
    <row r="149" spans="4:7" s="18" customFormat="1" x14ac:dyDescent="0.7">
      <c r="D149" s="41"/>
      <c r="G149" s="38"/>
    </row>
    <row r="150" spans="4:7" s="18" customFormat="1" x14ac:dyDescent="0.7">
      <c r="D150" s="41"/>
      <c r="G150" s="38"/>
    </row>
    <row r="151" spans="4:7" s="18" customFormat="1" x14ac:dyDescent="0.7">
      <c r="D151" s="41"/>
      <c r="G151" s="38"/>
    </row>
    <row r="152" spans="4:7" s="18" customFormat="1" x14ac:dyDescent="0.7">
      <c r="D152" s="41"/>
      <c r="G152" s="38"/>
    </row>
    <row r="153" spans="4:7" s="18" customFormat="1" x14ac:dyDescent="0.7">
      <c r="D153" s="41"/>
      <c r="G153" s="38"/>
    </row>
    <row r="154" spans="4:7" s="18" customFormat="1" x14ac:dyDescent="0.7">
      <c r="D154" s="41"/>
      <c r="G154" s="38"/>
    </row>
    <row r="155" spans="4:7" s="18" customFormat="1" x14ac:dyDescent="0.7">
      <c r="D155" s="41"/>
      <c r="G155" s="38"/>
    </row>
    <row r="156" spans="4:7" s="18" customFormat="1" x14ac:dyDescent="0.7">
      <c r="D156" s="41"/>
      <c r="G156" s="38"/>
    </row>
    <row r="157" spans="4:7" s="18" customFormat="1" x14ac:dyDescent="0.7">
      <c r="D157" s="41"/>
      <c r="G157" s="38"/>
    </row>
    <row r="158" spans="4:7" s="18" customFormat="1" x14ac:dyDescent="0.7">
      <c r="D158" s="41"/>
      <c r="G158" s="38"/>
    </row>
    <row r="159" spans="4:7" s="18" customFormat="1" x14ac:dyDescent="0.7">
      <c r="D159" s="41"/>
      <c r="G159" s="38"/>
    </row>
    <row r="160" spans="4:7" s="18" customFormat="1" x14ac:dyDescent="0.7">
      <c r="D160" s="41"/>
      <c r="G160" s="38"/>
    </row>
    <row r="161" spans="4:7" s="18" customFormat="1" x14ac:dyDescent="0.7">
      <c r="D161" s="41"/>
      <c r="G161" s="38"/>
    </row>
    <row r="162" spans="4:7" s="18" customFormat="1" x14ac:dyDescent="0.7">
      <c r="D162" s="41"/>
      <c r="G162" s="38"/>
    </row>
    <row r="163" spans="4:7" s="18" customFormat="1" x14ac:dyDescent="0.7">
      <c r="D163" s="41"/>
      <c r="G163" s="38"/>
    </row>
    <row r="164" spans="4:7" s="18" customFormat="1" x14ac:dyDescent="0.7">
      <c r="D164" s="41"/>
      <c r="G164" s="38"/>
    </row>
    <row r="165" spans="4:7" s="18" customFormat="1" x14ac:dyDescent="0.7">
      <c r="D165" s="41"/>
      <c r="G165" s="38"/>
    </row>
    <row r="166" spans="4:7" s="18" customFormat="1" x14ac:dyDescent="0.7">
      <c r="D166" s="41"/>
      <c r="G166" s="38"/>
    </row>
    <row r="167" spans="4:7" s="18" customFormat="1" x14ac:dyDescent="0.7">
      <c r="D167" s="41"/>
      <c r="G167" s="38"/>
    </row>
    <row r="168" spans="4:7" s="18" customFormat="1" x14ac:dyDescent="0.7">
      <c r="D168" s="41"/>
      <c r="G168" s="38"/>
    </row>
    <row r="169" spans="4:7" s="18" customFormat="1" x14ac:dyDescent="0.7">
      <c r="D169" s="41"/>
      <c r="G169" s="38"/>
    </row>
    <row r="170" spans="4:7" s="18" customFormat="1" x14ac:dyDescent="0.7">
      <c r="D170" s="41"/>
      <c r="G170" s="38"/>
    </row>
    <row r="171" spans="4:7" s="18" customFormat="1" x14ac:dyDescent="0.7">
      <c r="D171" s="41"/>
      <c r="G171" s="38"/>
    </row>
    <row r="172" spans="4:7" s="18" customFormat="1" x14ac:dyDescent="0.7">
      <c r="D172" s="41"/>
      <c r="G172" s="38"/>
    </row>
    <row r="173" spans="4:7" s="18" customFormat="1" x14ac:dyDescent="0.7">
      <c r="D173" s="41"/>
      <c r="G173" s="38"/>
    </row>
    <row r="174" spans="4:7" s="18" customFormat="1" x14ac:dyDescent="0.7">
      <c r="D174" s="41"/>
      <c r="G174" s="38"/>
    </row>
    <row r="175" spans="4:7" s="18" customFormat="1" x14ac:dyDescent="0.7">
      <c r="D175" s="41"/>
      <c r="G175" s="38"/>
    </row>
    <row r="176" spans="4:7" s="18" customFormat="1" x14ac:dyDescent="0.7">
      <c r="D176" s="41"/>
      <c r="G176" s="38"/>
    </row>
    <row r="177" spans="4:7" s="18" customFormat="1" x14ac:dyDescent="0.7">
      <c r="D177" s="41"/>
      <c r="G177" s="38"/>
    </row>
    <row r="178" spans="4:7" s="18" customFormat="1" x14ac:dyDescent="0.7">
      <c r="D178" s="41"/>
      <c r="G178" s="38"/>
    </row>
    <row r="179" spans="4:7" s="18" customFormat="1" x14ac:dyDescent="0.7">
      <c r="D179" s="41"/>
      <c r="G179" s="38"/>
    </row>
    <row r="180" spans="4:7" s="18" customFormat="1" x14ac:dyDescent="0.7">
      <c r="D180" s="41"/>
      <c r="G180" s="38"/>
    </row>
    <row r="181" spans="4:7" s="18" customFormat="1" x14ac:dyDescent="0.7">
      <c r="D181" s="41"/>
      <c r="G181" s="38"/>
    </row>
    <row r="182" spans="4:7" s="18" customFormat="1" x14ac:dyDescent="0.7">
      <c r="D182" s="41"/>
      <c r="G182" s="38"/>
    </row>
    <row r="183" spans="4:7" s="18" customFormat="1" x14ac:dyDescent="0.7">
      <c r="D183" s="41"/>
      <c r="G183" s="38"/>
    </row>
    <row r="184" spans="4:7" s="18" customFormat="1" x14ac:dyDescent="0.7">
      <c r="D184" s="41"/>
      <c r="G184" s="38"/>
    </row>
    <row r="185" spans="4:7" s="18" customFormat="1" x14ac:dyDescent="0.7">
      <c r="D185" s="41"/>
      <c r="G185" s="38"/>
    </row>
    <row r="186" spans="4:7" s="18" customFormat="1" x14ac:dyDescent="0.7">
      <c r="D186" s="41"/>
      <c r="G186" s="38"/>
    </row>
    <row r="187" spans="4:7" s="18" customFormat="1" x14ac:dyDescent="0.7">
      <c r="D187" s="41"/>
      <c r="G187" s="38"/>
    </row>
    <row r="188" spans="4:7" s="18" customFormat="1" x14ac:dyDescent="0.7">
      <c r="D188" s="41"/>
      <c r="G188" s="38"/>
    </row>
    <row r="189" spans="4:7" s="18" customFormat="1" x14ac:dyDescent="0.7">
      <c r="D189" s="41"/>
      <c r="G189" s="38"/>
    </row>
    <row r="190" spans="4:7" s="18" customFormat="1" x14ac:dyDescent="0.7">
      <c r="D190" s="41"/>
      <c r="G190" s="38"/>
    </row>
    <row r="191" spans="4:7" s="18" customFormat="1" x14ac:dyDescent="0.7">
      <c r="D191" s="41"/>
      <c r="G191" s="38"/>
    </row>
    <row r="192" spans="4:7" s="18" customFormat="1" x14ac:dyDescent="0.7">
      <c r="D192" s="41"/>
      <c r="G192" s="38"/>
    </row>
    <row r="193" spans="4:7" s="18" customFormat="1" x14ac:dyDescent="0.7">
      <c r="D193" s="41"/>
      <c r="G193" s="38"/>
    </row>
    <row r="194" spans="4:7" s="18" customFormat="1" x14ac:dyDescent="0.7">
      <c r="D194" s="41"/>
      <c r="G194" s="38"/>
    </row>
    <row r="195" spans="4:7" s="18" customFormat="1" x14ac:dyDescent="0.7">
      <c r="D195" s="41"/>
      <c r="G195" s="38"/>
    </row>
    <row r="196" spans="4:7" s="18" customFormat="1" x14ac:dyDescent="0.7">
      <c r="D196" s="41"/>
      <c r="G196" s="38"/>
    </row>
    <row r="197" spans="4:7" s="18" customFormat="1" x14ac:dyDescent="0.7">
      <c r="D197" s="41"/>
      <c r="G197" s="38"/>
    </row>
    <row r="198" spans="4:7" s="18" customFormat="1" x14ac:dyDescent="0.7">
      <c r="D198" s="41"/>
      <c r="G198" s="38"/>
    </row>
    <row r="199" spans="4:7" s="18" customFormat="1" x14ac:dyDescent="0.7">
      <c r="D199" s="41"/>
      <c r="G199" s="38"/>
    </row>
    <row r="200" spans="4:7" s="18" customFormat="1" x14ac:dyDescent="0.7">
      <c r="D200" s="41"/>
      <c r="G200" s="38"/>
    </row>
    <row r="201" spans="4:7" s="18" customFormat="1" x14ac:dyDescent="0.7">
      <c r="D201" s="41"/>
      <c r="G201" s="38"/>
    </row>
    <row r="202" spans="4:7" s="18" customFormat="1" x14ac:dyDescent="0.7">
      <c r="D202" s="41"/>
      <c r="G202" s="38"/>
    </row>
    <row r="203" spans="4:7" s="18" customFormat="1" x14ac:dyDescent="0.7">
      <c r="D203" s="41"/>
      <c r="G203" s="38"/>
    </row>
    <row r="204" spans="4:7" s="18" customFormat="1" x14ac:dyDescent="0.7">
      <c r="D204" s="41"/>
      <c r="G204" s="38"/>
    </row>
    <row r="205" spans="4:7" s="18" customFormat="1" x14ac:dyDescent="0.7">
      <c r="D205" s="41"/>
      <c r="G205" s="38"/>
    </row>
    <row r="206" spans="4:7" s="18" customFormat="1" x14ac:dyDescent="0.7">
      <c r="D206" s="41"/>
      <c r="G206" s="38"/>
    </row>
    <row r="207" spans="4:7" s="18" customFormat="1" x14ac:dyDescent="0.7">
      <c r="D207" s="41"/>
      <c r="G207" s="38"/>
    </row>
    <row r="208" spans="4:7" s="18" customFormat="1" x14ac:dyDescent="0.7">
      <c r="D208" s="41"/>
      <c r="G208" s="38"/>
    </row>
    <row r="209" spans="4:7" s="18" customFormat="1" x14ac:dyDescent="0.7">
      <c r="D209" s="41"/>
      <c r="G209" s="38"/>
    </row>
    <row r="210" spans="4:7" s="18" customFormat="1" x14ac:dyDescent="0.7">
      <c r="D210" s="41"/>
      <c r="G210" s="38"/>
    </row>
    <row r="211" spans="4:7" s="18" customFormat="1" x14ac:dyDescent="0.7">
      <c r="D211" s="41"/>
      <c r="G211" s="38"/>
    </row>
    <row r="212" spans="4:7" s="18" customFormat="1" x14ac:dyDescent="0.7">
      <c r="D212" s="41"/>
      <c r="G212" s="38"/>
    </row>
    <row r="213" spans="4:7" s="18" customFormat="1" x14ac:dyDescent="0.7">
      <c r="D213" s="41"/>
      <c r="G213" s="38"/>
    </row>
    <row r="214" spans="4:7" s="18" customFormat="1" x14ac:dyDescent="0.7">
      <c r="D214" s="41"/>
      <c r="G214" s="38"/>
    </row>
    <row r="215" spans="4:7" s="18" customFormat="1" x14ac:dyDescent="0.7">
      <c r="D215" s="41"/>
      <c r="G215" s="38"/>
    </row>
    <row r="216" spans="4:7" s="18" customFormat="1" x14ac:dyDescent="0.7">
      <c r="D216" s="41"/>
      <c r="G216" s="38"/>
    </row>
    <row r="217" spans="4:7" s="18" customFormat="1" x14ac:dyDescent="0.7">
      <c r="D217" s="41"/>
      <c r="G217" s="38"/>
    </row>
    <row r="218" spans="4:7" s="18" customFormat="1" x14ac:dyDescent="0.7">
      <c r="D218" s="41"/>
      <c r="G218" s="38"/>
    </row>
    <row r="219" spans="4:7" s="18" customFormat="1" x14ac:dyDescent="0.7">
      <c r="D219" s="41"/>
      <c r="G219" s="38"/>
    </row>
    <row r="220" spans="4:7" s="18" customFormat="1" x14ac:dyDescent="0.7">
      <c r="D220" s="41"/>
      <c r="G220" s="38"/>
    </row>
    <row r="221" spans="4:7" s="18" customFormat="1" x14ac:dyDescent="0.7">
      <c r="D221" s="41"/>
      <c r="G221" s="38"/>
    </row>
    <row r="222" spans="4:7" s="18" customFormat="1" x14ac:dyDescent="0.7">
      <c r="D222" s="41"/>
      <c r="G222" s="38"/>
    </row>
    <row r="223" spans="4:7" s="18" customFormat="1" x14ac:dyDescent="0.7">
      <c r="D223" s="41"/>
      <c r="G223" s="38"/>
    </row>
    <row r="224" spans="4:7" s="18" customFormat="1" x14ac:dyDescent="0.7">
      <c r="D224" s="41"/>
      <c r="G224" s="38"/>
    </row>
    <row r="225" spans="4:7" s="18" customFormat="1" x14ac:dyDescent="0.7">
      <c r="D225" s="41"/>
      <c r="G225" s="38"/>
    </row>
    <row r="226" spans="4:7" s="18" customFormat="1" x14ac:dyDescent="0.7">
      <c r="D226" s="41"/>
      <c r="G226" s="38"/>
    </row>
  </sheetData>
  <sheetProtection sheet="1" selectLockedCells="1"/>
  <conditionalFormatting sqref="E11:E12 E1 E4:E5 E9 E7">
    <cfRule type="cellIs" dxfId="80" priority="58" operator="equal">
      <formula>"Correct!"</formula>
    </cfRule>
    <cfRule type="cellIs" dxfId="79" priority="59" operator="equal">
      <formula>"Correct!"</formula>
    </cfRule>
  </conditionalFormatting>
  <conditionalFormatting sqref="E11:E12 E4:E5 E9 E7">
    <cfRule type="cellIs" dxfId="78" priority="54" operator="equal">
      <formula>"Please try again"</formula>
    </cfRule>
  </conditionalFormatting>
  <conditionalFormatting sqref="E4">
    <cfRule type="cellIs" dxfId="77" priority="56" operator="equal">
      <formula>"Correct!"</formula>
    </cfRule>
    <cfRule type="cellIs" dxfId="76" priority="57" operator="equal">
      <formula>"Correct!"</formula>
    </cfRule>
  </conditionalFormatting>
  <conditionalFormatting sqref="E4">
    <cfRule type="cellIs" dxfId="75" priority="55" operator="equal">
      <formula>"Please try again"</formula>
    </cfRule>
  </conditionalFormatting>
  <conditionalFormatting sqref="H12 H2 H5 H7 H9:H10">
    <cfRule type="cellIs" dxfId="74" priority="52" operator="equal">
      <formula>"Correct!"</formula>
    </cfRule>
    <cfRule type="cellIs" dxfId="73" priority="53" operator="equal">
      <formula>"Correct!"</formula>
    </cfRule>
  </conditionalFormatting>
  <conditionalFormatting sqref="H12 H5 H7 H9:H10">
    <cfRule type="cellIs" dxfId="72" priority="48" operator="equal">
      <formula>"Please try again"</formula>
    </cfRule>
  </conditionalFormatting>
  <conditionalFormatting sqref="H5">
    <cfRule type="cellIs" dxfId="71" priority="50" operator="equal">
      <formula>"Correct!"</formula>
    </cfRule>
    <cfRule type="cellIs" dxfId="70" priority="51" operator="equal">
      <formula>"Correct!"</formula>
    </cfRule>
  </conditionalFormatting>
  <conditionalFormatting sqref="H5">
    <cfRule type="cellIs" dxfId="69" priority="49" operator="equal">
      <formula>"Please try again"</formula>
    </cfRule>
  </conditionalFormatting>
  <conditionalFormatting sqref="E6">
    <cfRule type="cellIs" dxfId="68" priority="29" operator="equal">
      <formula>"Correct!"</formula>
    </cfRule>
    <cfRule type="cellIs" dxfId="67" priority="30" operator="equal">
      <formula>"Correct!"</formula>
    </cfRule>
  </conditionalFormatting>
  <conditionalFormatting sqref="E6">
    <cfRule type="cellIs" dxfId="66" priority="28" operator="equal">
      <formula>"Please try again"</formula>
    </cfRule>
  </conditionalFormatting>
  <conditionalFormatting sqref="E8">
    <cfRule type="cellIs" dxfId="65" priority="17" operator="equal">
      <formula>"Correct!"</formula>
    </cfRule>
    <cfRule type="cellIs" dxfId="64" priority="18" operator="equal">
      <formula>"Correct!"</formula>
    </cfRule>
  </conditionalFormatting>
  <conditionalFormatting sqref="E8">
    <cfRule type="cellIs" dxfId="63" priority="16" operator="equal">
      <formula>"Please try again"</formula>
    </cfRule>
  </conditionalFormatting>
  <conditionalFormatting sqref="H4">
    <cfRule type="cellIs" dxfId="62" priority="14" operator="equal">
      <formula>"Correct!"</formula>
    </cfRule>
    <cfRule type="cellIs" dxfId="61" priority="15" operator="equal">
      <formula>"Correct!"</formula>
    </cfRule>
  </conditionalFormatting>
  <conditionalFormatting sqref="H4">
    <cfRule type="cellIs" dxfId="60" priority="13" operator="equal">
      <formula>"Please try again"</formula>
    </cfRule>
  </conditionalFormatting>
  <conditionalFormatting sqref="H6">
    <cfRule type="cellIs" dxfId="59" priority="11" operator="equal">
      <formula>"Correct!"</formula>
    </cfRule>
    <cfRule type="cellIs" dxfId="58" priority="12" operator="equal">
      <formula>"Correct!"</formula>
    </cfRule>
  </conditionalFormatting>
  <conditionalFormatting sqref="H6">
    <cfRule type="cellIs" dxfId="57" priority="10" operator="equal">
      <formula>"Please try again"</formula>
    </cfRule>
  </conditionalFormatting>
  <conditionalFormatting sqref="H8">
    <cfRule type="cellIs" dxfId="56" priority="8" operator="equal">
      <formula>"Correct!"</formula>
    </cfRule>
    <cfRule type="cellIs" dxfId="55" priority="9" operator="equal">
      <formula>"Correct!"</formula>
    </cfRule>
  </conditionalFormatting>
  <conditionalFormatting sqref="H8">
    <cfRule type="cellIs" dxfId="54" priority="7" operator="equal">
      <formula>"Please try again"</formula>
    </cfRule>
  </conditionalFormatting>
  <conditionalFormatting sqref="H11">
    <cfRule type="cellIs" dxfId="53" priority="5" operator="equal">
      <formula>"Correct!"</formula>
    </cfRule>
    <cfRule type="cellIs" dxfId="52" priority="6" operator="equal">
      <formula>"Correct!"</formula>
    </cfRule>
  </conditionalFormatting>
  <conditionalFormatting sqref="H11">
    <cfRule type="cellIs" dxfId="51" priority="4" operator="equal">
      <formula>"Please try again"</formula>
    </cfRule>
  </conditionalFormatting>
  <conditionalFormatting sqref="H13">
    <cfRule type="cellIs" dxfId="50" priority="2" operator="equal">
      <formula>"Correct!"</formula>
    </cfRule>
    <cfRule type="cellIs" dxfId="49" priority="3" operator="equal">
      <formula>"Correct!"</formula>
    </cfRule>
  </conditionalFormatting>
  <conditionalFormatting sqref="H13">
    <cfRule type="cellIs" dxfId="48" priority="1" operator="equal">
      <formula>"Please try again"</formula>
    </cfRule>
  </conditionalFormatting>
  <pageMargins left="0.7" right="0.7" top="0.75" bottom="0.75" header="0.3" footer="0.3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M112"/>
  <sheetViews>
    <sheetView showGridLines="0" tabSelected="1" workbookViewId="0">
      <selection sqref="A1:L21"/>
    </sheetView>
  </sheetViews>
  <sheetFormatPr defaultRowHeight="14.4" x14ac:dyDescent="0.3"/>
  <cols>
    <col min="1" max="2" width="8.88671875" style="18"/>
    <col min="4" max="5" width="8.88671875" style="18"/>
    <col min="7" max="7" width="8.88671875" style="18"/>
    <col min="9" max="10" width="8.88671875" style="18"/>
    <col min="12" max="15" width="8.88671875" style="18"/>
  </cols>
  <sheetData>
    <row r="1" spans="1:39" s="18" customFormat="1" x14ac:dyDescent="0.3"/>
    <row r="2" spans="1:39" s="18" customFormat="1" x14ac:dyDescent="0.3">
      <c r="B2" s="57"/>
      <c r="C2" s="58" t="str">
        <f>IF(C3,IF(C3=2,"yes","no"),"")</f>
        <v>yes</v>
      </c>
      <c r="D2" s="59"/>
      <c r="E2" s="59"/>
      <c r="F2" s="58" t="str">
        <f>IF(F3,IF(F3=5,"yes","no"),"")</f>
        <v/>
      </c>
      <c r="G2" s="59"/>
      <c r="H2" s="58" t="str">
        <f>IF(H3,IF(H3=7,"yes","no"),"")</f>
        <v/>
      </c>
      <c r="I2" s="59"/>
      <c r="J2" s="59"/>
      <c r="K2" s="58" t="str">
        <f>IF(K3,IF(K3=10,"yes","no"),"")</f>
        <v/>
      </c>
    </row>
    <row r="3" spans="1:39" ht="30" x14ac:dyDescent="0.7">
      <c r="B3" s="44">
        <v>1</v>
      </c>
      <c r="C3" s="45">
        <v>2</v>
      </c>
      <c r="D3" s="44">
        <v>3</v>
      </c>
      <c r="E3" s="44">
        <v>4</v>
      </c>
      <c r="F3" s="45"/>
      <c r="G3" s="44">
        <v>6</v>
      </c>
      <c r="H3" s="45"/>
      <c r="I3" s="44">
        <v>8</v>
      </c>
      <c r="J3" s="44">
        <v>9</v>
      </c>
      <c r="K3" s="45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</row>
    <row r="4" spans="1:39" s="18" customFormat="1" x14ac:dyDescent="0.3"/>
    <row r="5" spans="1:39" s="18" customFormat="1" x14ac:dyDescent="0.3"/>
    <row r="6" spans="1:39" s="18" customFormat="1" x14ac:dyDescent="0.3">
      <c r="B6" s="58" t="str">
        <f>IF(B7,IF(B7=11,"yes","no"),"")</f>
        <v/>
      </c>
      <c r="C6" s="58" t="str">
        <f>IF(C7,IF(C7=12,"yes","no"),"")</f>
        <v/>
      </c>
      <c r="D6" s="59"/>
      <c r="E6" s="59"/>
      <c r="F6" s="58" t="str">
        <f>IF(F7,IF(F7=15,"yes","no"),"")</f>
        <v/>
      </c>
      <c r="G6" s="58" t="str">
        <f>IF(G7,IF(G7=16,"yes","no"),"")</f>
        <v/>
      </c>
      <c r="H6" s="58" t="str">
        <f>IF(H7,IF(H7=17,"yes","no"),"")</f>
        <v/>
      </c>
      <c r="I6" s="59"/>
      <c r="J6" s="59"/>
      <c r="K6" s="58" t="str">
        <f>IF(K7,IF(K7=20,"yes","no"),"")</f>
        <v/>
      </c>
    </row>
    <row r="7" spans="1:39" ht="30" x14ac:dyDescent="0.7">
      <c r="A7" s="89">
        <v>10</v>
      </c>
      <c r="B7" s="88"/>
      <c r="C7" s="45"/>
      <c r="D7" s="44">
        <v>13</v>
      </c>
      <c r="E7" s="44">
        <v>14</v>
      </c>
      <c r="F7" s="45"/>
      <c r="G7" s="45"/>
      <c r="H7" s="45"/>
      <c r="I7" s="44">
        <v>18</v>
      </c>
      <c r="J7" s="44">
        <v>19</v>
      </c>
      <c r="K7" s="45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</row>
    <row r="8" spans="1:39" s="18" customFormat="1" x14ac:dyDescent="0.3"/>
    <row r="9" spans="1:39" s="18" customFormat="1" x14ac:dyDescent="0.3"/>
    <row r="10" spans="1:39" s="18" customFormat="1" x14ac:dyDescent="0.3">
      <c r="B10" s="58"/>
      <c r="C10" s="58" t="str">
        <f>IF(C11,IF(C11=20,"yes","no"),"")</f>
        <v/>
      </c>
      <c r="D10" s="59"/>
      <c r="E10" s="59"/>
      <c r="F10" s="58" t="str">
        <f>IF(F11,IF(F11=50,"yes","no"),"")</f>
        <v/>
      </c>
      <c r="G10" s="59"/>
      <c r="H10" s="58" t="str">
        <f>IF(H11,IF(H11=70,"yes","no"),"")</f>
        <v/>
      </c>
      <c r="I10" s="59"/>
      <c r="J10" s="59"/>
      <c r="K10" s="58" t="str">
        <f>IF(K11,IF(K11=100,"yes","no"),"")</f>
        <v/>
      </c>
    </row>
    <row r="11" spans="1:39" ht="30" x14ac:dyDescent="0.7">
      <c r="B11" s="44">
        <v>10</v>
      </c>
      <c r="C11" s="45"/>
      <c r="D11" s="44">
        <v>30</v>
      </c>
      <c r="E11" s="44">
        <v>40</v>
      </c>
      <c r="F11" s="45"/>
      <c r="G11" s="44">
        <v>60</v>
      </c>
      <c r="H11" s="45"/>
      <c r="I11" s="44">
        <v>80</v>
      </c>
      <c r="J11" s="44">
        <v>90</v>
      </c>
      <c r="K11" s="45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</row>
    <row r="12" spans="1:39" s="18" customFormat="1" x14ac:dyDescent="0.3"/>
    <row r="13" spans="1:39" s="18" customFormat="1" x14ac:dyDescent="0.3"/>
    <row r="14" spans="1:39" s="18" customFormat="1" x14ac:dyDescent="0.3">
      <c r="C14" s="58" t="str">
        <f>IF(C15,IF(C15=10,"yes","no"),"")</f>
        <v/>
      </c>
      <c r="D14" s="59"/>
      <c r="E14" s="59"/>
      <c r="F14" s="58" t="str">
        <f>IF(F15,IF(F15=25,"yes","no"),"")</f>
        <v/>
      </c>
      <c r="G14" s="59"/>
      <c r="H14" s="58" t="str">
        <f>IF(H15,IF(H15=35,"yes","no"),"")</f>
        <v/>
      </c>
      <c r="I14" s="59"/>
      <c r="J14" s="59"/>
      <c r="K14" s="58" t="str">
        <f>IF(K15,IF(K15=50,"yes","no"),"")</f>
        <v/>
      </c>
    </row>
    <row r="15" spans="1:39" ht="30" x14ac:dyDescent="0.7">
      <c r="A15" s="89">
        <v>10</v>
      </c>
      <c r="B15" s="90">
        <v>5</v>
      </c>
      <c r="C15" s="45"/>
      <c r="D15" s="44">
        <v>15</v>
      </c>
      <c r="E15" s="44">
        <v>20</v>
      </c>
      <c r="F15" s="45"/>
      <c r="G15" s="44">
        <v>30</v>
      </c>
      <c r="H15" s="45"/>
      <c r="I15" s="44">
        <v>40</v>
      </c>
      <c r="J15" s="44">
        <v>45</v>
      </c>
      <c r="K15" s="45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</row>
    <row r="16" spans="1:39" s="18" customFormat="1" x14ac:dyDescent="0.3"/>
    <row r="17" spans="2:39" s="18" customFormat="1" x14ac:dyDescent="0.3"/>
    <row r="18" spans="2:39" s="18" customFormat="1" x14ac:dyDescent="0.3">
      <c r="C18" s="58" t="str">
        <f>IF(C19,IF(C19=4,"yes","no"),"")</f>
        <v/>
      </c>
      <c r="D18" s="59"/>
      <c r="E18" s="59"/>
      <c r="F18" s="58" t="str">
        <f>IF(F19,IF(F19=10,"yes","no"),"")</f>
        <v/>
      </c>
      <c r="G18" s="58" t="str">
        <f>IF(G19,IF(G19=12,"yes","no"),"")</f>
        <v/>
      </c>
      <c r="H18" s="58" t="str">
        <f>IF(H19,IF(H19=14,"yes","no"),"")</f>
        <v/>
      </c>
      <c r="I18" s="59"/>
      <c r="J18" s="59"/>
      <c r="K18" s="58" t="str">
        <f>IF(K19,IF(K19=20,"yes","no"),"")</f>
        <v/>
      </c>
    </row>
    <row r="19" spans="2:39" ht="30" x14ac:dyDescent="0.7">
      <c r="B19" s="44">
        <v>2</v>
      </c>
      <c r="C19" s="45"/>
      <c r="D19" s="44">
        <v>6</v>
      </c>
      <c r="E19" s="44">
        <v>8</v>
      </c>
      <c r="F19" s="45"/>
      <c r="G19" s="45"/>
      <c r="H19" s="45"/>
      <c r="I19" s="44">
        <v>16</v>
      </c>
      <c r="J19" s="44">
        <v>18</v>
      </c>
      <c r="K19" s="45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</row>
    <row r="20" spans="2:39" s="18" customFormat="1" x14ac:dyDescent="0.3"/>
    <row r="21" spans="2:39" s="18" customFormat="1" x14ac:dyDescent="0.3"/>
    <row r="22" spans="2:39" s="18" customFormat="1" x14ac:dyDescent="0.3"/>
    <row r="23" spans="2:39" s="18" customFormat="1" x14ac:dyDescent="0.3"/>
    <row r="24" spans="2:39" s="18" customFormat="1" x14ac:dyDescent="0.3"/>
    <row r="25" spans="2:39" s="18" customFormat="1" x14ac:dyDescent="0.3"/>
    <row r="26" spans="2:39" s="18" customFormat="1" x14ac:dyDescent="0.3"/>
    <row r="27" spans="2:39" s="18" customFormat="1" x14ac:dyDescent="0.3"/>
    <row r="28" spans="2:39" s="18" customFormat="1" x14ac:dyDescent="0.3"/>
    <row r="29" spans="2:39" s="18" customFormat="1" x14ac:dyDescent="0.3"/>
    <row r="30" spans="2:39" s="18" customFormat="1" x14ac:dyDescent="0.3"/>
    <row r="31" spans="2:39" s="18" customFormat="1" x14ac:dyDescent="0.3"/>
    <row r="32" spans="2:39" s="18" customFormat="1" x14ac:dyDescent="0.3"/>
    <row r="33" spans="3:24" x14ac:dyDescent="0.3">
      <c r="C33" s="18"/>
      <c r="F33" s="18"/>
      <c r="H33" s="18"/>
      <c r="K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3:24" x14ac:dyDescent="0.3">
      <c r="C34" s="18"/>
      <c r="F34" s="18"/>
      <c r="H34" s="18"/>
      <c r="K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3:24" x14ac:dyDescent="0.3">
      <c r="C35" s="18"/>
      <c r="F35" s="18"/>
      <c r="H35" s="18"/>
      <c r="K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3:24" x14ac:dyDescent="0.3">
      <c r="C36" s="18"/>
      <c r="F36" s="18"/>
      <c r="H36" s="18"/>
      <c r="K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3:24" x14ac:dyDescent="0.3">
      <c r="C37" s="18"/>
      <c r="F37" s="18"/>
      <c r="H37" s="18"/>
      <c r="K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3:24" x14ac:dyDescent="0.3">
      <c r="C38" s="18"/>
      <c r="F38" s="18"/>
      <c r="H38" s="18"/>
      <c r="K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3:24" x14ac:dyDescent="0.3">
      <c r="C39" s="18"/>
      <c r="F39" s="18"/>
      <c r="H39" s="18"/>
      <c r="K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3:24" x14ac:dyDescent="0.3">
      <c r="C40" s="18"/>
      <c r="F40" s="18"/>
      <c r="H40" s="18"/>
      <c r="K40" s="18"/>
      <c r="P40" s="18"/>
      <c r="Q40" s="18"/>
      <c r="R40" s="18"/>
      <c r="S40" s="18"/>
      <c r="T40" s="18"/>
      <c r="U40" s="18"/>
      <c r="V40" s="18"/>
      <c r="W40" s="18"/>
      <c r="X40" s="18"/>
    </row>
    <row r="41" spans="3:24" x14ac:dyDescent="0.3">
      <c r="C41" s="18"/>
      <c r="F41" s="18"/>
      <c r="H41" s="18"/>
      <c r="K41" s="18"/>
      <c r="P41" s="18"/>
      <c r="Q41" s="18"/>
      <c r="R41" s="18"/>
      <c r="S41" s="18"/>
      <c r="T41" s="18"/>
      <c r="U41" s="18"/>
      <c r="V41" s="18"/>
      <c r="W41" s="18"/>
      <c r="X41" s="18"/>
    </row>
    <row r="42" spans="3:24" x14ac:dyDescent="0.3">
      <c r="C42" s="18"/>
      <c r="F42" s="18"/>
      <c r="H42" s="18"/>
      <c r="K42" s="18"/>
      <c r="P42" s="18"/>
      <c r="Q42" s="18"/>
      <c r="R42" s="18"/>
      <c r="S42" s="18"/>
      <c r="T42" s="18"/>
      <c r="U42" s="18"/>
      <c r="V42" s="18"/>
      <c r="W42" s="18"/>
      <c r="X42" s="18"/>
    </row>
    <row r="43" spans="3:24" x14ac:dyDescent="0.3">
      <c r="C43" s="18"/>
      <c r="F43" s="18"/>
      <c r="H43" s="18"/>
      <c r="K43" s="18"/>
      <c r="P43" s="18"/>
      <c r="Q43" s="18"/>
      <c r="R43" s="18"/>
      <c r="S43" s="18"/>
      <c r="T43" s="18"/>
      <c r="U43" s="18"/>
      <c r="V43" s="18"/>
      <c r="W43" s="18"/>
      <c r="X43" s="18"/>
    </row>
    <row r="44" spans="3:24" x14ac:dyDescent="0.3">
      <c r="C44" s="18"/>
      <c r="F44" s="18"/>
      <c r="H44" s="18"/>
      <c r="K44" s="18"/>
      <c r="P44" s="18"/>
      <c r="Q44" s="18"/>
      <c r="R44" s="18"/>
      <c r="S44" s="18"/>
      <c r="T44" s="18"/>
      <c r="U44" s="18"/>
      <c r="V44" s="18"/>
      <c r="W44" s="18"/>
      <c r="X44" s="18"/>
    </row>
    <row r="45" spans="3:24" x14ac:dyDescent="0.3">
      <c r="C45" s="18"/>
      <c r="F45" s="18"/>
      <c r="H45" s="18"/>
      <c r="K45" s="18"/>
      <c r="P45" s="18"/>
      <c r="Q45" s="18"/>
      <c r="R45" s="18"/>
      <c r="S45" s="18"/>
      <c r="T45" s="18"/>
      <c r="U45" s="18"/>
      <c r="V45" s="18"/>
      <c r="W45" s="18"/>
      <c r="X45" s="18"/>
    </row>
    <row r="46" spans="3:24" x14ac:dyDescent="0.3">
      <c r="C46" s="18"/>
      <c r="F46" s="18"/>
      <c r="H46" s="18"/>
      <c r="K46" s="18"/>
      <c r="P46" s="18"/>
      <c r="Q46" s="18"/>
      <c r="R46" s="18"/>
      <c r="S46" s="18"/>
      <c r="T46" s="18"/>
      <c r="U46" s="18"/>
      <c r="V46" s="18"/>
      <c r="W46" s="18"/>
      <c r="X46" s="18"/>
    </row>
    <row r="47" spans="3:24" x14ac:dyDescent="0.3">
      <c r="C47" s="18"/>
      <c r="F47" s="18"/>
      <c r="H47" s="18"/>
      <c r="K47" s="18"/>
      <c r="P47" s="18"/>
      <c r="Q47" s="18"/>
      <c r="R47" s="18"/>
      <c r="S47" s="18"/>
      <c r="T47" s="18"/>
      <c r="U47" s="18"/>
      <c r="V47" s="18"/>
      <c r="W47" s="18"/>
      <c r="X47" s="18"/>
    </row>
    <row r="48" spans="3:24" x14ac:dyDescent="0.3">
      <c r="C48" s="18"/>
      <c r="F48" s="18"/>
      <c r="H48" s="18"/>
      <c r="K48" s="18"/>
      <c r="P48" s="18"/>
      <c r="Q48" s="18"/>
      <c r="R48" s="18"/>
      <c r="S48" s="18"/>
      <c r="T48" s="18"/>
      <c r="U48" s="18"/>
      <c r="V48" s="18"/>
      <c r="W48" s="18"/>
      <c r="X48" s="18"/>
    </row>
    <row r="49" spans="3:24" x14ac:dyDescent="0.3">
      <c r="C49" s="18"/>
      <c r="F49" s="18"/>
      <c r="H49" s="18"/>
      <c r="K49" s="18"/>
      <c r="P49" s="18"/>
      <c r="Q49" s="18"/>
      <c r="R49" s="18"/>
      <c r="S49" s="18"/>
      <c r="T49" s="18"/>
      <c r="U49" s="18"/>
      <c r="V49" s="18"/>
      <c r="W49" s="18"/>
      <c r="X49" s="18"/>
    </row>
    <row r="50" spans="3:24" x14ac:dyDescent="0.3">
      <c r="C50" s="18"/>
      <c r="F50" s="18"/>
      <c r="H50" s="18"/>
      <c r="K50" s="18"/>
      <c r="P50" s="18"/>
      <c r="Q50" s="18"/>
      <c r="R50" s="18"/>
      <c r="S50" s="18"/>
      <c r="T50" s="18"/>
      <c r="U50" s="18"/>
      <c r="V50" s="18"/>
      <c r="W50" s="18"/>
      <c r="X50" s="18"/>
    </row>
    <row r="51" spans="3:24" x14ac:dyDescent="0.3">
      <c r="C51" s="18"/>
      <c r="F51" s="18"/>
      <c r="H51" s="18"/>
      <c r="K51" s="18"/>
      <c r="P51" s="18"/>
      <c r="Q51" s="18"/>
      <c r="R51" s="18"/>
      <c r="S51" s="18"/>
      <c r="T51" s="18"/>
      <c r="U51" s="18"/>
      <c r="V51" s="18"/>
      <c r="W51" s="18"/>
      <c r="X51" s="18"/>
    </row>
    <row r="52" spans="3:24" x14ac:dyDescent="0.3">
      <c r="C52" s="18"/>
      <c r="F52" s="18"/>
      <c r="H52" s="18"/>
      <c r="K52" s="18"/>
      <c r="P52" s="18"/>
      <c r="Q52" s="18"/>
      <c r="R52" s="18"/>
      <c r="S52" s="18"/>
      <c r="T52" s="18"/>
      <c r="U52" s="18"/>
      <c r="V52" s="18"/>
      <c r="W52" s="18"/>
      <c r="X52" s="18"/>
    </row>
    <row r="53" spans="3:24" x14ac:dyDescent="0.3">
      <c r="C53" s="18"/>
      <c r="F53" s="18"/>
      <c r="H53" s="18"/>
      <c r="K53" s="18"/>
      <c r="P53" s="18"/>
      <c r="Q53" s="18"/>
      <c r="R53" s="18"/>
      <c r="S53" s="18"/>
      <c r="T53" s="18"/>
      <c r="U53" s="18"/>
      <c r="V53" s="18"/>
      <c r="W53" s="18"/>
      <c r="X53" s="18"/>
    </row>
    <row r="54" spans="3:24" x14ac:dyDescent="0.3">
      <c r="C54" s="18"/>
      <c r="F54" s="18"/>
      <c r="H54" s="18"/>
      <c r="K54" s="18"/>
      <c r="P54" s="18"/>
      <c r="Q54" s="18"/>
      <c r="R54" s="18"/>
      <c r="S54" s="18"/>
      <c r="T54" s="18"/>
      <c r="U54" s="18"/>
      <c r="V54" s="18"/>
      <c r="W54" s="18"/>
      <c r="X54" s="18"/>
    </row>
    <row r="55" spans="3:24" x14ac:dyDescent="0.3">
      <c r="C55" s="18"/>
      <c r="F55" s="18"/>
      <c r="H55" s="18"/>
      <c r="K55" s="18"/>
      <c r="P55" s="18"/>
      <c r="Q55" s="18"/>
      <c r="R55" s="18"/>
      <c r="S55" s="18"/>
      <c r="T55" s="18"/>
      <c r="U55" s="18"/>
      <c r="V55" s="18"/>
      <c r="W55" s="18"/>
      <c r="X55" s="18"/>
    </row>
    <row r="56" spans="3:24" x14ac:dyDescent="0.3">
      <c r="C56" s="18"/>
      <c r="F56" s="18"/>
      <c r="H56" s="18"/>
      <c r="K56" s="18"/>
      <c r="P56" s="18"/>
      <c r="Q56" s="18"/>
      <c r="R56" s="18"/>
      <c r="S56" s="18"/>
      <c r="T56" s="18"/>
      <c r="U56" s="18"/>
      <c r="V56" s="18"/>
      <c r="W56" s="18"/>
      <c r="X56" s="18"/>
    </row>
    <row r="57" spans="3:24" x14ac:dyDescent="0.3">
      <c r="C57" s="18"/>
      <c r="F57" s="18"/>
      <c r="H57" s="18"/>
      <c r="K57" s="18"/>
      <c r="P57" s="18"/>
      <c r="Q57" s="18"/>
      <c r="R57" s="18"/>
      <c r="S57" s="18"/>
      <c r="T57" s="18"/>
      <c r="U57" s="18"/>
      <c r="V57" s="18"/>
      <c r="W57" s="18"/>
      <c r="X57" s="18"/>
    </row>
    <row r="58" spans="3:24" x14ac:dyDescent="0.3">
      <c r="C58" s="18"/>
      <c r="F58" s="18"/>
      <c r="H58" s="18"/>
      <c r="K58" s="18"/>
      <c r="P58" s="18"/>
      <c r="Q58" s="18"/>
      <c r="R58" s="18"/>
      <c r="S58" s="18"/>
      <c r="T58" s="18"/>
      <c r="U58" s="18"/>
      <c r="V58" s="18"/>
      <c r="W58" s="18"/>
      <c r="X58" s="18"/>
    </row>
    <row r="59" spans="3:24" x14ac:dyDescent="0.3">
      <c r="C59" s="18"/>
      <c r="F59" s="18"/>
      <c r="H59" s="18"/>
      <c r="K59" s="18"/>
      <c r="P59" s="18"/>
      <c r="Q59" s="18"/>
      <c r="R59" s="18"/>
      <c r="S59" s="18"/>
      <c r="T59" s="18"/>
      <c r="U59" s="18"/>
      <c r="V59" s="18"/>
      <c r="W59" s="18"/>
      <c r="X59" s="18"/>
    </row>
    <row r="60" spans="3:24" x14ac:dyDescent="0.3">
      <c r="C60" s="18"/>
      <c r="F60" s="18"/>
      <c r="H60" s="18"/>
      <c r="K60" s="18"/>
      <c r="P60" s="18"/>
      <c r="Q60" s="18"/>
      <c r="R60" s="18"/>
      <c r="S60" s="18"/>
      <c r="T60" s="18"/>
      <c r="U60" s="18"/>
      <c r="V60" s="18"/>
      <c r="W60" s="18"/>
      <c r="X60" s="18"/>
    </row>
    <row r="61" spans="3:24" x14ac:dyDescent="0.3">
      <c r="C61" s="18"/>
      <c r="F61" s="18"/>
      <c r="H61" s="18"/>
      <c r="K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3:24" x14ac:dyDescent="0.3">
      <c r="C62" s="18"/>
      <c r="F62" s="18"/>
      <c r="H62" s="18"/>
      <c r="K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3:24" x14ac:dyDescent="0.3">
      <c r="C63" s="18"/>
      <c r="F63" s="18"/>
      <c r="H63" s="18"/>
      <c r="K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3:24" x14ac:dyDescent="0.3">
      <c r="C64" s="18"/>
      <c r="F64" s="18"/>
      <c r="H64" s="18"/>
      <c r="K64" s="18"/>
      <c r="P64" s="18"/>
      <c r="Q64" s="18"/>
      <c r="R64" s="18"/>
      <c r="S64" s="18"/>
      <c r="T64" s="18"/>
      <c r="U64" s="18"/>
      <c r="V64" s="18"/>
      <c r="W64" s="18"/>
      <c r="X64" s="18"/>
    </row>
    <row r="65" spans="3:24" x14ac:dyDescent="0.3">
      <c r="C65" s="18"/>
      <c r="F65" s="18"/>
      <c r="H65" s="18"/>
      <c r="K65" s="18"/>
      <c r="P65" s="18"/>
      <c r="Q65" s="18"/>
      <c r="R65" s="18"/>
      <c r="S65" s="18"/>
      <c r="T65" s="18"/>
      <c r="U65" s="18"/>
      <c r="V65" s="18"/>
      <c r="W65" s="18"/>
      <c r="X65" s="18"/>
    </row>
    <row r="66" spans="3:24" x14ac:dyDescent="0.3">
      <c r="C66" s="18"/>
      <c r="F66" s="18"/>
      <c r="H66" s="18"/>
      <c r="K66" s="18"/>
      <c r="P66" s="18"/>
      <c r="Q66" s="18"/>
      <c r="R66" s="18"/>
      <c r="S66" s="18"/>
      <c r="T66" s="18"/>
      <c r="U66" s="18"/>
      <c r="V66" s="18"/>
      <c r="W66" s="18"/>
      <c r="X66" s="18"/>
    </row>
    <row r="67" spans="3:24" x14ac:dyDescent="0.3">
      <c r="C67" s="18"/>
      <c r="F67" s="18"/>
      <c r="H67" s="18"/>
      <c r="K67" s="18"/>
      <c r="P67" s="18"/>
      <c r="Q67" s="18"/>
      <c r="R67" s="18"/>
      <c r="S67" s="18"/>
      <c r="T67" s="18"/>
      <c r="U67" s="18"/>
      <c r="V67" s="18"/>
      <c r="W67" s="18"/>
      <c r="X67" s="18"/>
    </row>
    <row r="68" spans="3:24" x14ac:dyDescent="0.3">
      <c r="C68" s="18"/>
      <c r="F68" s="18"/>
      <c r="H68" s="18"/>
      <c r="K68" s="18"/>
      <c r="P68" s="18"/>
      <c r="Q68" s="18"/>
      <c r="R68" s="18"/>
      <c r="S68" s="18"/>
      <c r="T68" s="18"/>
      <c r="U68" s="18"/>
      <c r="V68" s="18"/>
      <c r="W68" s="18"/>
      <c r="X68" s="18"/>
    </row>
    <row r="69" spans="3:24" x14ac:dyDescent="0.3">
      <c r="C69" s="18"/>
      <c r="F69" s="18"/>
      <c r="H69" s="18"/>
      <c r="K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3:24" x14ac:dyDescent="0.3">
      <c r="C70" s="18"/>
      <c r="F70" s="18"/>
      <c r="H70" s="18"/>
      <c r="K70" s="18"/>
      <c r="P70" s="18"/>
      <c r="Q70" s="18"/>
      <c r="R70" s="18"/>
      <c r="S70" s="18"/>
      <c r="T70" s="18"/>
      <c r="U70" s="18"/>
      <c r="V70" s="18"/>
      <c r="W70" s="18"/>
      <c r="X70" s="18"/>
    </row>
    <row r="71" spans="3:24" x14ac:dyDescent="0.3">
      <c r="C71" s="18"/>
      <c r="F71" s="18"/>
      <c r="H71" s="18"/>
      <c r="K71" s="18"/>
      <c r="P71" s="18"/>
      <c r="Q71" s="18"/>
      <c r="R71" s="18"/>
      <c r="S71" s="18"/>
      <c r="T71" s="18"/>
      <c r="U71" s="18"/>
      <c r="V71" s="18"/>
      <c r="W71" s="18"/>
      <c r="X71" s="18"/>
    </row>
    <row r="72" spans="3:24" x14ac:dyDescent="0.3">
      <c r="C72" s="18"/>
      <c r="F72" s="18"/>
      <c r="H72" s="18"/>
      <c r="K72" s="18"/>
      <c r="P72" s="18"/>
      <c r="Q72" s="18"/>
      <c r="R72" s="18"/>
      <c r="S72" s="18"/>
      <c r="T72" s="18"/>
      <c r="U72" s="18"/>
      <c r="V72" s="18"/>
      <c r="W72" s="18"/>
      <c r="X72" s="18"/>
    </row>
    <row r="73" spans="3:24" x14ac:dyDescent="0.3">
      <c r="C73" s="18"/>
      <c r="F73" s="18"/>
      <c r="H73" s="18"/>
      <c r="K73" s="18"/>
      <c r="P73" s="18"/>
      <c r="Q73" s="18"/>
      <c r="R73" s="18"/>
      <c r="S73" s="18"/>
      <c r="T73" s="18"/>
      <c r="U73" s="18"/>
      <c r="V73" s="18"/>
      <c r="W73" s="18"/>
      <c r="X73" s="18"/>
    </row>
    <row r="74" spans="3:24" x14ac:dyDescent="0.3">
      <c r="C74" s="18"/>
      <c r="F74" s="18"/>
      <c r="H74" s="18"/>
      <c r="K74" s="18"/>
      <c r="P74" s="18"/>
      <c r="Q74" s="18"/>
      <c r="R74" s="18"/>
      <c r="S74" s="18"/>
      <c r="T74" s="18"/>
      <c r="U74" s="18"/>
      <c r="V74" s="18"/>
      <c r="W74" s="18"/>
      <c r="X74" s="18"/>
    </row>
    <row r="75" spans="3:24" x14ac:dyDescent="0.3">
      <c r="C75" s="18"/>
      <c r="F75" s="18"/>
      <c r="H75" s="18"/>
      <c r="K75" s="18"/>
      <c r="P75" s="18"/>
      <c r="Q75" s="18"/>
      <c r="R75" s="18"/>
      <c r="S75" s="18"/>
      <c r="T75" s="18"/>
      <c r="U75" s="18"/>
      <c r="V75" s="18"/>
      <c r="W75" s="18"/>
      <c r="X75" s="18"/>
    </row>
    <row r="76" spans="3:24" x14ac:dyDescent="0.3">
      <c r="C76" s="18"/>
      <c r="F76" s="18"/>
      <c r="H76" s="18"/>
      <c r="K76" s="18"/>
      <c r="P76" s="18"/>
      <c r="Q76" s="18"/>
      <c r="R76" s="18"/>
      <c r="S76" s="18"/>
      <c r="T76" s="18"/>
      <c r="U76" s="18"/>
      <c r="V76" s="18"/>
      <c r="W76" s="18"/>
      <c r="X76" s="18"/>
    </row>
    <row r="77" spans="3:24" x14ac:dyDescent="0.3">
      <c r="C77" s="18"/>
      <c r="F77" s="18"/>
      <c r="H77" s="18"/>
      <c r="K77" s="18"/>
      <c r="P77" s="18"/>
      <c r="Q77" s="18"/>
      <c r="R77" s="18"/>
      <c r="S77" s="18"/>
      <c r="T77" s="18"/>
      <c r="U77" s="18"/>
      <c r="V77" s="18"/>
      <c r="W77" s="18"/>
      <c r="X77" s="18"/>
    </row>
    <row r="78" spans="3:24" x14ac:dyDescent="0.3">
      <c r="C78" s="18"/>
      <c r="F78" s="18"/>
      <c r="H78" s="18"/>
      <c r="K78" s="18"/>
      <c r="P78" s="18"/>
      <c r="Q78" s="18"/>
      <c r="R78" s="18"/>
      <c r="S78" s="18"/>
      <c r="T78" s="18"/>
      <c r="U78" s="18"/>
      <c r="V78" s="18"/>
      <c r="W78" s="18"/>
      <c r="X78" s="18"/>
    </row>
    <row r="79" spans="3:24" x14ac:dyDescent="0.3">
      <c r="C79" s="18"/>
      <c r="F79" s="18"/>
      <c r="H79" s="18"/>
      <c r="K79" s="18"/>
      <c r="P79" s="18"/>
      <c r="Q79" s="18"/>
      <c r="R79" s="18"/>
      <c r="S79" s="18"/>
      <c r="T79" s="18"/>
      <c r="U79" s="18"/>
      <c r="V79" s="18"/>
      <c r="W79" s="18"/>
      <c r="X79" s="18"/>
    </row>
    <row r="80" spans="3:24" x14ac:dyDescent="0.3">
      <c r="C80" s="18"/>
      <c r="F80" s="18"/>
      <c r="H80" s="18"/>
      <c r="K80" s="18"/>
      <c r="P80" s="18"/>
      <c r="Q80" s="18"/>
      <c r="R80" s="18"/>
      <c r="S80" s="18"/>
      <c r="T80" s="18"/>
      <c r="U80" s="18"/>
      <c r="V80" s="18"/>
      <c r="W80" s="18"/>
      <c r="X80" s="18"/>
    </row>
    <row r="81" spans="3:24" x14ac:dyDescent="0.3">
      <c r="C81" s="18"/>
      <c r="F81" s="18"/>
      <c r="H81" s="18"/>
      <c r="K81" s="18"/>
      <c r="P81" s="18"/>
      <c r="Q81" s="18"/>
      <c r="R81" s="18"/>
      <c r="S81" s="18"/>
      <c r="T81" s="18"/>
      <c r="U81" s="18"/>
      <c r="V81" s="18"/>
      <c r="W81" s="18"/>
      <c r="X81" s="18"/>
    </row>
    <row r="82" spans="3:24" x14ac:dyDescent="0.3">
      <c r="C82" s="18"/>
      <c r="F82" s="18"/>
      <c r="H82" s="18"/>
      <c r="K82" s="18"/>
      <c r="P82" s="18"/>
      <c r="Q82" s="18"/>
      <c r="R82" s="18"/>
      <c r="S82" s="18"/>
      <c r="T82" s="18"/>
      <c r="U82" s="18"/>
      <c r="V82" s="18"/>
      <c r="W82" s="18"/>
      <c r="X82" s="18"/>
    </row>
    <row r="83" spans="3:24" x14ac:dyDescent="0.3">
      <c r="C83" s="18"/>
      <c r="F83" s="18"/>
      <c r="H83" s="18"/>
      <c r="K83" s="18"/>
      <c r="P83" s="18"/>
      <c r="Q83" s="18"/>
      <c r="R83" s="18"/>
      <c r="S83" s="18"/>
      <c r="T83" s="18"/>
      <c r="U83" s="18"/>
      <c r="V83" s="18"/>
      <c r="W83" s="18"/>
      <c r="X83" s="18"/>
    </row>
    <row r="84" spans="3:24" x14ac:dyDescent="0.3">
      <c r="C84" s="18"/>
      <c r="F84" s="18"/>
      <c r="H84" s="18"/>
      <c r="K84" s="18"/>
      <c r="P84" s="18"/>
      <c r="Q84" s="18"/>
      <c r="R84" s="18"/>
      <c r="S84" s="18"/>
      <c r="T84" s="18"/>
      <c r="U84" s="18"/>
      <c r="V84" s="18"/>
      <c r="W84" s="18"/>
      <c r="X84" s="18"/>
    </row>
    <row r="85" spans="3:24" x14ac:dyDescent="0.3">
      <c r="C85" s="18"/>
      <c r="F85" s="18"/>
      <c r="H85" s="18"/>
      <c r="K85" s="18"/>
      <c r="P85" s="18"/>
      <c r="Q85" s="18"/>
      <c r="R85" s="18"/>
      <c r="S85" s="18"/>
      <c r="T85" s="18"/>
      <c r="U85" s="18"/>
      <c r="V85" s="18"/>
      <c r="W85" s="18"/>
      <c r="X85" s="18"/>
    </row>
    <row r="86" spans="3:24" x14ac:dyDescent="0.3">
      <c r="C86" s="18"/>
      <c r="F86" s="18"/>
      <c r="H86" s="18"/>
      <c r="K86" s="18"/>
      <c r="P86" s="18"/>
      <c r="Q86" s="18"/>
      <c r="R86" s="18"/>
      <c r="S86" s="18"/>
      <c r="T86" s="18"/>
      <c r="U86" s="18"/>
      <c r="V86" s="18"/>
      <c r="W86" s="18"/>
      <c r="X86" s="18"/>
    </row>
    <row r="87" spans="3:24" x14ac:dyDescent="0.3">
      <c r="C87" s="18"/>
      <c r="F87" s="18"/>
      <c r="H87" s="18"/>
      <c r="K87" s="18"/>
      <c r="P87" s="18"/>
      <c r="Q87" s="18"/>
      <c r="R87" s="18"/>
      <c r="S87" s="18"/>
      <c r="T87" s="18"/>
      <c r="U87" s="18"/>
      <c r="V87" s="18"/>
      <c r="W87" s="18"/>
      <c r="X87" s="18"/>
    </row>
    <row r="88" spans="3:24" x14ac:dyDescent="0.3">
      <c r="C88" s="18"/>
      <c r="F88" s="18"/>
      <c r="H88" s="18"/>
      <c r="K88" s="18"/>
      <c r="P88" s="18"/>
      <c r="Q88" s="18"/>
      <c r="R88" s="18"/>
      <c r="S88" s="18"/>
      <c r="T88" s="18"/>
      <c r="U88" s="18"/>
      <c r="V88" s="18"/>
      <c r="W88" s="18"/>
      <c r="X88" s="18"/>
    </row>
    <row r="89" spans="3:24" x14ac:dyDescent="0.3">
      <c r="C89" s="18"/>
      <c r="F89" s="18"/>
      <c r="H89" s="18"/>
      <c r="K89" s="18"/>
      <c r="P89" s="18"/>
      <c r="Q89" s="18"/>
      <c r="R89" s="18"/>
      <c r="S89" s="18"/>
      <c r="T89" s="18"/>
      <c r="U89" s="18"/>
      <c r="V89" s="18"/>
      <c r="W89" s="18"/>
      <c r="X89" s="18"/>
    </row>
    <row r="90" spans="3:24" x14ac:dyDescent="0.3">
      <c r="C90" s="18"/>
      <c r="F90" s="18"/>
      <c r="H90" s="18"/>
      <c r="K90" s="18"/>
      <c r="P90" s="18"/>
      <c r="Q90" s="18"/>
      <c r="R90" s="18"/>
      <c r="S90" s="18"/>
      <c r="T90" s="18"/>
      <c r="U90" s="18"/>
      <c r="V90" s="18"/>
      <c r="W90" s="18"/>
      <c r="X90" s="18"/>
    </row>
    <row r="91" spans="3:24" x14ac:dyDescent="0.3">
      <c r="C91" s="18"/>
      <c r="F91" s="18"/>
      <c r="H91" s="18"/>
      <c r="K91" s="18"/>
      <c r="P91" s="18"/>
      <c r="Q91" s="18"/>
      <c r="R91" s="18"/>
      <c r="S91" s="18"/>
      <c r="T91" s="18"/>
      <c r="U91" s="18"/>
      <c r="V91" s="18"/>
      <c r="W91" s="18"/>
      <c r="X91" s="18"/>
    </row>
    <row r="92" spans="3:24" x14ac:dyDescent="0.3">
      <c r="C92" s="18"/>
      <c r="F92" s="18"/>
      <c r="H92" s="18"/>
      <c r="K92" s="18"/>
      <c r="P92" s="18"/>
      <c r="Q92" s="18"/>
      <c r="R92" s="18"/>
      <c r="S92" s="18"/>
      <c r="T92" s="18"/>
      <c r="U92" s="18"/>
      <c r="V92" s="18"/>
      <c r="W92" s="18"/>
      <c r="X92" s="18"/>
    </row>
    <row r="93" spans="3:24" x14ac:dyDescent="0.3">
      <c r="C93" s="18"/>
      <c r="F93" s="18"/>
      <c r="H93" s="18"/>
      <c r="K93" s="18"/>
      <c r="P93" s="18"/>
      <c r="Q93" s="18"/>
      <c r="R93" s="18"/>
      <c r="S93" s="18"/>
      <c r="T93" s="18"/>
      <c r="U93" s="18"/>
      <c r="V93" s="18"/>
      <c r="W93" s="18"/>
      <c r="X93" s="18"/>
    </row>
    <row r="94" spans="3:24" x14ac:dyDescent="0.3">
      <c r="C94" s="18"/>
      <c r="F94" s="18"/>
      <c r="H94" s="18"/>
      <c r="K94" s="18"/>
      <c r="P94" s="18"/>
      <c r="Q94" s="18"/>
      <c r="R94" s="18"/>
      <c r="S94" s="18"/>
      <c r="T94" s="18"/>
      <c r="U94" s="18"/>
      <c r="V94" s="18"/>
      <c r="W94" s="18"/>
      <c r="X94" s="18"/>
    </row>
    <row r="95" spans="3:24" x14ac:dyDescent="0.3">
      <c r="C95" s="18"/>
      <c r="F95" s="18"/>
      <c r="H95" s="18"/>
      <c r="K95" s="18"/>
      <c r="P95" s="18"/>
      <c r="Q95" s="18"/>
      <c r="R95" s="18"/>
      <c r="S95" s="18"/>
      <c r="T95" s="18"/>
      <c r="U95" s="18"/>
      <c r="V95" s="18"/>
      <c r="W95" s="18"/>
      <c r="X95" s="18"/>
    </row>
    <row r="96" spans="3:24" x14ac:dyDescent="0.3">
      <c r="C96" s="18"/>
      <c r="F96" s="18"/>
      <c r="H96" s="18"/>
      <c r="K96" s="18"/>
      <c r="P96" s="18"/>
      <c r="Q96" s="18"/>
      <c r="R96" s="18"/>
      <c r="S96" s="18"/>
      <c r="T96" s="18"/>
      <c r="U96" s="18"/>
      <c r="V96" s="18"/>
      <c r="W96" s="18"/>
      <c r="X96" s="18"/>
    </row>
    <row r="97" spans="3:24" x14ac:dyDescent="0.3">
      <c r="C97" s="18"/>
      <c r="F97" s="18"/>
      <c r="H97" s="18"/>
      <c r="K97" s="18"/>
      <c r="P97" s="18"/>
      <c r="Q97" s="18"/>
      <c r="R97" s="18"/>
      <c r="S97" s="18"/>
      <c r="T97" s="18"/>
      <c r="U97" s="18"/>
      <c r="V97" s="18"/>
      <c r="W97" s="18"/>
      <c r="X97" s="18"/>
    </row>
    <row r="98" spans="3:24" x14ac:dyDescent="0.3">
      <c r="C98" s="18"/>
      <c r="F98" s="18"/>
      <c r="H98" s="18"/>
      <c r="K98" s="18"/>
      <c r="P98" s="18"/>
      <c r="Q98" s="18"/>
      <c r="R98" s="18"/>
      <c r="S98" s="18"/>
      <c r="T98" s="18"/>
      <c r="U98" s="18"/>
      <c r="V98" s="18"/>
      <c r="W98" s="18"/>
      <c r="X98" s="18"/>
    </row>
    <row r="99" spans="3:24" x14ac:dyDescent="0.3">
      <c r="C99" s="18"/>
      <c r="F99" s="18"/>
      <c r="H99" s="18"/>
      <c r="K99" s="18"/>
      <c r="P99" s="18"/>
      <c r="Q99" s="18"/>
      <c r="R99" s="18"/>
      <c r="S99" s="18"/>
      <c r="T99" s="18"/>
      <c r="U99" s="18"/>
      <c r="V99" s="18"/>
      <c r="W99" s="18"/>
      <c r="X99" s="18"/>
    </row>
    <row r="100" spans="3:24" x14ac:dyDescent="0.3">
      <c r="C100" s="18"/>
      <c r="F100" s="18"/>
      <c r="H100" s="18"/>
      <c r="K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spans="3:24" x14ac:dyDescent="0.3">
      <c r="C101" s="18"/>
      <c r="F101" s="18"/>
      <c r="H101" s="18"/>
      <c r="K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spans="3:24" x14ac:dyDescent="0.3">
      <c r="C102" s="18"/>
      <c r="F102" s="18"/>
      <c r="H102" s="18"/>
      <c r="K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spans="3:24" x14ac:dyDescent="0.3">
      <c r="C103" s="18"/>
      <c r="F103" s="18"/>
      <c r="H103" s="18"/>
      <c r="K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spans="3:24" x14ac:dyDescent="0.3">
      <c r="C104" s="18"/>
      <c r="F104" s="18"/>
      <c r="H104" s="18"/>
      <c r="K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spans="3:24" x14ac:dyDescent="0.3">
      <c r="C105" s="18"/>
      <c r="F105" s="18"/>
      <c r="H105" s="18"/>
      <c r="K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spans="3:24" x14ac:dyDescent="0.3">
      <c r="C106" s="18"/>
      <c r="F106" s="18"/>
      <c r="H106" s="18"/>
      <c r="K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spans="3:24" x14ac:dyDescent="0.3">
      <c r="C107" s="18"/>
      <c r="F107" s="18"/>
      <c r="H107" s="18"/>
      <c r="K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spans="3:24" x14ac:dyDescent="0.3">
      <c r="C108" s="18"/>
      <c r="F108" s="18"/>
      <c r="H108" s="18"/>
      <c r="K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spans="3:24" x14ac:dyDescent="0.3">
      <c r="C109" s="18"/>
      <c r="F109" s="18"/>
      <c r="H109" s="18"/>
      <c r="K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spans="3:24" x14ac:dyDescent="0.3">
      <c r="C110" s="18"/>
      <c r="F110" s="18"/>
      <c r="H110" s="18"/>
      <c r="K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spans="3:24" x14ac:dyDescent="0.3">
      <c r="C111" s="18"/>
      <c r="F111" s="18"/>
      <c r="H111" s="18"/>
      <c r="K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spans="3:24" x14ac:dyDescent="0.3">
      <c r="C112" s="18"/>
      <c r="F112" s="18"/>
      <c r="H112" s="18"/>
      <c r="K112" s="18"/>
      <c r="P112" s="18"/>
      <c r="Q112" s="18"/>
      <c r="R112" s="18"/>
      <c r="S112" s="18"/>
      <c r="T112" s="18"/>
      <c r="U112" s="18"/>
      <c r="V112" s="18"/>
      <c r="W112" s="18"/>
      <c r="X112" s="18"/>
    </row>
  </sheetData>
  <sheetProtection selectLockedCells="1"/>
  <conditionalFormatting sqref="C2">
    <cfRule type="expression" dxfId="47" priority="40">
      <formula>"if(c2=""yes"")"</formula>
    </cfRule>
  </conditionalFormatting>
  <conditionalFormatting sqref="C14">
    <cfRule type="expression" dxfId="46" priority="20">
      <formula>"if(c2=""yes"")"</formula>
    </cfRule>
  </conditionalFormatting>
  <conditionalFormatting sqref="B6">
    <cfRule type="expression" dxfId="45" priority="21">
      <formula>"if(c2=""yes"")"</formula>
    </cfRule>
  </conditionalFormatting>
  <conditionalFormatting sqref="C6">
    <cfRule type="expression" dxfId="44" priority="23">
      <formula>"if(c2=""yes"")"</formula>
    </cfRule>
  </conditionalFormatting>
  <conditionalFormatting sqref="C10">
    <cfRule type="expression" dxfId="43" priority="22">
      <formula>"if(c2=""yes"")"</formula>
    </cfRule>
  </conditionalFormatting>
  <conditionalFormatting sqref="C18">
    <cfRule type="expression" dxfId="42" priority="18">
      <formula>"if(c2=""yes"")"</formula>
    </cfRule>
  </conditionalFormatting>
  <conditionalFormatting sqref="F2">
    <cfRule type="expression" dxfId="41" priority="17">
      <formula>"if(c2=""yes"")"</formula>
    </cfRule>
  </conditionalFormatting>
  <conditionalFormatting sqref="H2">
    <cfRule type="expression" dxfId="40" priority="16">
      <formula>"if(c2=""yes"")"</formula>
    </cfRule>
  </conditionalFormatting>
  <conditionalFormatting sqref="K2">
    <cfRule type="expression" dxfId="39" priority="15">
      <formula>"if(c2=""yes"")"</formula>
    </cfRule>
  </conditionalFormatting>
  <conditionalFormatting sqref="F6">
    <cfRule type="expression" dxfId="38" priority="14">
      <formula>"if(c2=""yes"")"</formula>
    </cfRule>
  </conditionalFormatting>
  <conditionalFormatting sqref="G6">
    <cfRule type="expression" dxfId="37" priority="13">
      <formula>"if(c2=""yes"")"</formula>
    </cfRule>
  </conditionalFormatting>
  <conditionalFormatting sqref="H6">
    <cfRule type="expression" dxfId="36" priority="12">
      <formula>"if(c2=""yes"")"</formula>
    </cfRule>
  </conditionalFormatting>
  <conditionalFormatting sqref="K6">
    <cfRule type="expression" dxfId="35" priority="11">
      <formula>"if(c2=""yes"")"</formula>
    </cfRule>
  </conditionalFormatting>
  <conditionalFormatting sqref="F10">
    <cfRule type="expression" dxfId="34" priority="10">
      <formula>"if(c2=""yes"")"</formula>
    </cfRule>
  </conditionalFormatting>
  <conditionalFormatting sqref="H10">
    <cfRule type="expression" dxfId="33" priority="9">
      <formula>"if(c2=""yes"")"</formula>
    </cfRule>
  </conditionalFormatting>
  <conditionalFormatting sqref="K10">
    <cfRule type="expression" dxfId="32" priority="8">
      <formula>"if(c2=""yes"")"</formula>
    </cfRule>
  </conditionalFormatting>
  <conditionalFormatting sqref="F14">
    <cfRule type="expression" dxfId="31" priority="7">
      <formula>"if(c2=""yes"")"</formula>
    </cfRule>
  </conditionalFormatting>
  <conditionalFormatting sqref="H14">
    <cfRule type="expression" dxfId="30" priority="6">
      <formula>"if(c2=""yes"")"</formula>
    </cfRule>
  </conditionalFormatting>
  <conditionalFormatting sqref="K14">
    <cfRule type="expression" dxfId="29" priority="5">
      <formula>"if(c2=""yes"")"</formula>
    </cfRule>
  </conditionalFormatting>
  <conditionalFormatting sqref="F18">
    <cfRule type="expression" dxfId="28" priority="4">
      <formula>"if(c2=""yes"")"</formula>
    </cfRule>
  </conditionalFormatting>
  <conditionalFormatting sqref="G18">
    <cfRule type="expression" dxfId="27" priority="3">
      <formula>"if(c2=""yes"")"</formula>
    </cfRule>
  </conditionalFormatting>
  <conditionalFormatting sqref="H18">
    <cfRule type="expression" dxfId="26" priority="2">
      <formula>"if(c2=""yes"")"</formula>
    </cfRule>
  </conditionalFormatting>
  <conditionalFormatting sqref="K18">
    <cfRule type="expression" dxfId="25" priority="1">
      <formula>"if(c2=""yes"")"</formula>
    </cfRule>
  </conditionalFormatting>
  <pageMargins left="0.7" right="0.7" top="0.75" bottom="0.75" header="0.3" footer="0.3"/>
  <pageSetup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E315"/>
  <sheetViews>
    <sheetView showGridLines="0" topLeftCell="D4" workbookViewId="0">
      <selection activeCell="K18" sqref="K18:K22"/>
    </sheetView>
  </sheetViews>
  <sheetFormatPr defaultRowHeight="34.200000000000003" x14ac:dyDescent="0.8"/>
  <cols>
    <col min="1" max="1" width="26.109375" customWidth="1"/>
    <col min="2" max="2" width="5.33203125" customWidth="1"/>
    <col min="3" max="3" width="12.6640625" customWidth="1"/>
    <col min="4" max="4" width="4.6640625" customWidth="1"/>
    <col min="5" max="5" width="23.33203125" customWidth="1"/>
    <col min="6" max="6" width="3.88671875" customWidth="1"/>
    <col min="7" max="7" width="7.6640625" customWidth="1"/>
    <col min="8" max="8" width="3.44140625" customWidth="1"/>
    <col min="9" max="9" width="13.33203125" customWidth="1"/>
    <col min="10" max="10" width="9" style="76" customWidth="1"/>
    <col min="11" max="11" width="9.33203125" style="46" bestFit="1" customWidth="1"/>
    <col min="12" max="12" width="15.6640625" style="46" customWidth="1"/>
    <col min="13" max="13" width="3.88671875" style="46" customWidth="1"/>
    <col min="14" max="14" width="13.5546875" style="55" customWidth="1"/>
    <col min="15" max="15" width="4.6640625" style="46" customWidth="1"/>
    <col min="16" max="16" width="13.88671875" style="47" customWidth="1"/>
    <col min="17" max="17" width="16.109375" style="48" customWidth="1"/>
    <col min="18" max="18" width="15.88671875" style="46" bestFit="1" customWidth="1"/>
    <col min="19" max="19" width="15.88671875" style="46" customWidth="1"/>
    <col min="20" max="20" width="2.109375" style="46" customWidth="1"/>
    <col min="21" max="21" width="11.33203125" style="55" customWidth="1"/>
    <col min="22" max="22" width="4.6640625" style="46" customWidth="1"/>
    <col min="23" max="23" width="17.33203125" style="53" customWidth="1"/>
    <col min="24" max="24" width="9.109375" style="46"/>
    <col min="25" max="25" width="18.5546875" style="46" customWidth="1"/>
    <col min="26" max="26" width="3" style="46" customWidth="1"/>
    <col min="27" max="27" width="5.6640625" style="46" customWidth="1"/>
    <col min="28" max="28" width="20" customWidth="1"/>
  </cols>
  <sheetData>
    <row r="1" spans="1:31" s="18" customFormat="1" ht="28.2" thickBot="1" x14ac:dyDescent="0.7">
      <c r="B1" s="91"/>
      <c r="C1" s="91"/>
      <c r="D1" s="91"/>
      <c r="E1" s="91"/>
      <c r="F1" s="91"/>
      <c r="G1" s="91"/>
      <c r="H1" s="91"/>
      <c r="I1" s="91"/>
      <c r="J1" s="92"/>
      <c r="K1" s="93"/>
      <c r="L1" s="94"/>
      <c r="M1" s="95"/>
      <c r="N1" s="96"/>
      <c r="O1" s="91"/>
      <c r="P1" s="97" t="str">
        <f>IF('Mos-Days'!C1&lt;&gt;"",'Mos-Days'!C1," ")</f>
        <v xml:space="preserve"> </v>
      </c>
      <c r="Q1" s="91"/>
    </row>
    <row r="2" spans="1:31" ht="34.799999999999997" thickTop="1" x14ac:dyDescent="0.8">
      <c r="A2" s="68"/>
      <c r="B2" s="98" t="s">
        <v>42</v>
      </c>
      <c r="C2" s="98" t="s">
        <v>43</v>
      </c>
      <c r="D2" s="99" t="s">
        <v>44</v>
      </c>
      <c r="E2" s="99" t="s">
        <v>45</v>
      </c>
      <c r="F2" s="99" t="s">
        <v>44</v>
      </c>
      <c r="G2" s="99" t="s">
        <v>46</v>
      </c>
      <c r="H2" s="99" t="s">
        <v>44</v>
      </c>
      <c r="I2" s="100">
        <v>0.01</v>
      </c>
      <c r="J2" s="101"/>
      <c r="K2" s="102"/>
      <c r="L2" s="91" t="str">
        <f>IF(K2=1,"cent","cents")</f>
        <v>cents</v>
      </c>
      <c r="M2" s="99" t="s">
        <v>44</v>
      </c>
      <c r="N2" s="96" t="str">
        <f>IF(K2&gt;0,CONCATENATE(K2,"¢")," ")</f>
        <v xml:space="preserve"> </v>
      </c>
      <c r="O2" s="99" t="s">
        <v>44</v>
      </c>
      <c r="P2" s="97">
        <f>K2/100</f>
        <v>0</v>
      </c>
      <c r="Q2" s="103"/>
      <c r="R2" s="56"/>
      <c r="S2" s="48"/>
      <c r="T2" s="48"/>
      <c r="U2" s="54"/>
    </row>
    <row r="3" spans="1:31" ht="33.6" customHeight="1" x14ac:dyDescent="0.8">
      <c r="A3" s="68"/>
      <c r="B3" s="98" t="s">
        <v>42</v>
      </c>
      <c r="C3" s="98" t="s">
        <v>47</v>
      </c>
      <c r="D3" s="99" t="s">
        <v>44</v>
      </c>
      <c r="E3" s="99" t="s">
        <v>48</v>
      </c>
      <c r="F3" s="99" t="s">
        <v>44</v>
      </c>
      <c r="G3" s="99" t="s">
        <v>49</v>
      </c>
      <c r="H3" s="99" t="s">
        <v>44</v>
      </c>
      <c r="I3" s="100">
        <v>0.05</v>
      </c>
      <c r="J3" s="101"/>
      <c r="K3" s="102"/>
      <c r="L3" s="91" t="str">
        <f>IF(K3=1,"nickel","nickels")</f>
        <v>nickels</v>
      </c>
      <c r="M3" s="99" t="s">
        <v>44</v>
      </c>
      <c r="N3" s="96" t="str">
        <f>IF(K3&gt;0,CONCATENATE(5*K3,"¢")," ")</f>
        <v xml:space="preserve"> </v>
      </c>
      <c r="O3" s="99" t="s">
        <v>44</v>
      </c>
      <c r="P3" s="97">
        <f>5*K3/100</f>
        <v>0</v>
      </c>
      <c r="Q3" s="91"/>
      <c r="R3" s="48"/>
      <c r="S3" s="48"/>
      <c r="T3" s="48"/>
      <c r="U3" s="54"/>
    </row>
    <row r="4" spans="1:31" x14ac:dyDescent="0.8">
      <c r="A4" s="68"/>
      <c r="B4" s="98" t="s">
        <v>42</v>
      </c>
      <c r="C4" s="98" t="s">
        <v>50</v>
      </c>
      <c r="D4" s="99" t="s">
        <v>44</v>
      </c>
      <c r="E4" s="99" t="s">
        <v>51</v>
      </c>
      <c r="F4" s="99" t="s">
        <v>44</v>
      </c>
      <c r="G4" s="99" t="s">
        <v>52</v>
      </c>
      <c r="H4" s="99" t="s">
        <v>44</v>
      </c>
      <c r="I4" s="100">
        <v>0.1</v>
      </c>
      <c r="J4" s="101"/>
      <c r="K4" s="102"/>
      <c r="L4" s="91" t="str">
        <f>IF(K4=1,"dime","dimes")</f>
        <v>dimes</v>
      </c>
      <c r="M4" s="99" t="s">
        <v>44</v>
      </c>
      <c r="N4" s="96" t="str">
        <f>IF(K4&gt;0,CONCATENATE(10*K4,"¢")," ")</f>
        <v xml:space="preserve"> </v>
      </c>
      <c r="O4" s="99" t="s">
        <v>44</v>
      </c>
      <c r="P4" s="97">
        <f>10*K4/100</f>
        <v>0</v>
      </c>
      <c r="Q4" s="91"/>
      <c r="R4" s="48"/>
      <c r="S4" s="48"/>
      <c r="T4" s="48"/>
      <c r="U4" s="54"/>
    </row>
    <row r="5" spans="1:31" x14ac:dyDescent="0.8">
      <c r="A5" s="68"/>
      <c r="B5" s="98" t="s">
        <v>42</v>
      </c>
      <c r="C5" s="98" t="s">
        <v>53</v>
      </c>
      <c r="D5" s="99" t="s">
        <v>44</v>
      </c>
      <c r="E5" s="99" t="s">
        <v>54</v>
      </c>
      <c r="F5" s="99" t="s">
        <v>44</v>
      </c>
      <c r="G5" s="99" t="s">
        <v>55</v>
      </c>
      <c r="H5" s="99" t="s">
        <v>44</v>
      </c>
      <c r="I5" s="100">
        <v>0.25</v>
      </c>
      <c r="J5" s="101"/>
      <c r="K5" s="102"/>
      <c r="L5" s="91" t="str">
        <f>IF(K5=1,"quarter","quarters")</f>
        <v>quarters</v>
      </c>
      <c r="M5" s="99" t="s">
        <v>44</v>
      </c>
      <c r="N5" s="96" t="str">
        <f>IF(K5&gt;0,CONCATENATE(25*K5,"¢")," ")</f>
        <v xml:space="preserve"> </v>
      </c>
      <c r="O5" s="99" t="s">
        <v>44</v>
      </c>
      <c r="P5" s="97">
        <f>25*K5/100</f>
        <v>0</v>
      </c>
      <c r="Q5" s="91"/>
      <c r="R5" s="48"/>
      <c r="S5" s="48"/>
      <c r="T5" s="48"/>
      <c r="U5" s="54"/>
    </row>
    <row r="6" spans="1:31" x14ac:dyDescent="0.8">
      <c r="A6" s="68"/>
      <c r="B6" s="98" t="s">
        <v>42</v>
      </c>
      <c r="C6" s="98" t="s">
        <v>56</v>
      </c>
      <c r="D6" s="99" t="s">
        <v>44</v>
      </c>
      <c r="E6" s="99" t="s">
        <v>57</v>
      </c>
      <c r="F6" s="99" t="s">
        <v>44</v>
      </c>
      <c r="G6" s="99" t="s">
        <v>58</v>
      </c>
      <c r="H6" s="99" t="s">
        <v>44</v>
      </c>
      <c r="I6" s="100">
        <v>1</v>
      </c>
      <c r="J6" s="101"/>
      <c r="K6" s="102"/>
      <c r="L6" s="91" t="str">
        <f>IF(K6=1,"dollar","dollars")</f>
        <v>dollars</v>
      </c>
      <c r="M6" s="99" t="s">
        <v>44</v>
      </c>
      <c r="N6" s="96" t="str">
        <f>IF(K6&gt;0,CONCATENATE(100*K6,"¢")," ")</f>
        <v xml:space="preserve"> </v>
      </c>
      <c r="O6" s="99" t="s">
        <v>44</v>
      </c>
      <c r="P6" s="97">
        <f>K6</f>
        <v>0</v>
      </c>
      <c r="Q6" s="91"/>
      <c r="R6" s="48"/>
      <c r="S6" s="48"/>
      <c r="T6" s="48"/>
      <c r="U6" s="54"/>
      <c r="V6" s="48"/>
      <c r="W6" s="52"/>
      <c r="X6" s="48"/>
      <c r="Y6" s="48"/>
      <c r="Z6" s="48"/>
      <c r="AA6" s="48"/>
      <c r="AB6" s="18"/>
      <c r="AC6" s="18"/>
      <c r="AD6" s="18"/>
      <c r="AE6" s="18"/>
    </row>
    <row r="7" spans="1:31" x14ac:dyDescent="0.8">
      <c r="A7" s="18"/>
      <c r="B7" s="99"/>
      <c r="C7" s="99"/>
      <c r="D7" s="99"/>
      <c r="E7" s="99"/>
      <c r="F7" s="99"/>
      <c r="G7" s="99"/>
      <c r="H7" s="99"/>
      <c r="I7" s="99"/>
      <c r="J7" s="101"/>
      <c r="K7" s="105"/>
      <c r="L7" s="91"/>
      <c r="M7" s="99"/>
      <c r="N7" s="96"/>
      <c r="O7" s="99" t="s">
        <v>44</v>
      </c>
      <c r="P7" s="97">
        <f>SUM(P2:P6)</f>
        <v>0</v>
      </c>
      <c r="Q7" s="91"/>
      <c r="R7" s="48"/>
      <c r="S7" s="48"/>
      <c r="T7" s="48"/>
      <c r="U7" s="54"/>
      <c r="V7" s="48"/>
      <c r="W7" s="52"/>
      <c r="X7" s="48"/>
      <c r="Y7" s="48"/>
      <c r="Z7" s="48"/>
      <c r="AA7" s="48"/>
      <c r="AB7" s="18"/>
      <c r="AC7" s="18"/>
      <c r="AD7" s="18"/>
      <c r="AE7" s="18"/>
    </row>
    <row r="8" spans="1:31" s="7" customFormat="1" ht="1.95" customHeight="1" x14ac:dyDescent="0.8">
      <c r="A8" s="18"/>
      <c r="B8" s="99"/>
      <c r="C8" s="99"/>
      <c r="D8" s="99"/>
      <c r="E8" s="99"/>
      <c r="F8" s="99"/>
      <c r="G8" s="99"/>
      <c r="H8" s="99"/>
      <c r="I8" s="99"/>
      <c r="J8" s="101"/>
      <c r="K8" s="91"/>
      <c r="L8" s="91"/>
      <c r="M8" s="91"/>
      <c r="N8" s="96"/>
      <c r="O8" s="91"/>
      <c r="P8" s="97"/>
      <c r="Q8" s="91"/>
      <c r="R8" s="48"/>
      <c r="S8" s="48"/>
      <c r="T8" s="48"/>
      <c r="U8" s="54"/>
      <c r="V8" s="48"/>
      <c r="W8" s="18"/>
      <c r="X8" s="48"/>
      <c r="Y8" s="48"/>
      <c r="Z8" s="48"/>
      <c r="AA8" s="48"/>
      <c r="AB8" s="48"/>
      <c r="AC8" s="18"/>
      <c r="AD8" s="18"/>
      <c r="AE8" s="18"/>
    </row>
    <row r="9" spans="1:31" s="7" customFormat="1" ht="25.2" customHeight="1" thickBot="1" x14ac:dyDescent="0.85">
      <c r="A9" s="18"/>
      <c r="B9" s="99"/>
      <c r="C9" s="99"/>
      <c r="D9" s="99"/>
      <c r="E9" s="99"/>
      <c r="F9" s="99"/>
      <c r="G9" s="99"/>
      <c r="H9" s="99"/>
      <c r="I9" s="99"/>
      <c r="J9" s="101"/>
      <c r="K9" s="105" t="s">
        <v>59</v>
      </c>
      <c r="L9" s="106">
        <v>1.75</v>
      </c>
      <c r="M9" s="95"/>
      <c r="N9" s="96"/>
      <c r="O9" s="91"/>
      <c r="P9" s="97"/>
      <c r="Q9" s="91"/>
      <c r="R9" s="48"/>
      <c r="S9" s="48"/>
      <c r="T9" s="48"/>
      <c r="U9" s="54"/>
      <c r="V9" s="48"/>
      <c r="W9" s="52"/>
      <c r="X9" s="48"/>
      <c r="Y9" s="48"/>
      <c r="Z9" s="48"/>
      <c r="AA9" s="48"/>
      <c r="AB9" s="18"/>
      <c r="AC9" s="18"/>
      <c r="AD9" s="18"/>
      <c r="AE9" s="18"/>
    </row>
    <row r="10" spans="1:31" ht="25.2" customHeight="1" thickTop="1" x14ac:dyDescent="0.8">
      <c r="A10" s="18"/>
      <c r="B10" s="99"/>
      <c r="C10" s="99"/>
      <c r="D10" s="99"/>
      <c r="E10" s="99"/>
      <c r="F10" s="99"/>
      <c r="G10" s="99"/>
      <c r="H10" s="99"/>
      <c r="I10" s="99"/>
      <c r="J10" s="101"/>
      <c r="K10" s="102"/>
      <c r="L10" s="91" t="str">
        <f>IF(K10=1,"cent","cents")</f>
        <v>cents</v>
      </c>
      <c r="M10" s="99" t="s">
        <v>44</v>
      </c>
      <c r="N10" s="96" t="str">
        <f>IF(K10&gt;0,CONCATENATE(K10,"¢")," ")</f>
        <v xml:space="preserve"> </v>
      </c>
      <c r="O10" s="99" t="s">
        <v>44</v>
      </c>
      <c r="P10" s="97">
        <f>K10/100</f>
        <v>0</v>
      </c>
      <c r="Q10" s="103"/>
      <c r="R10" s="48"/>
      <c r="S10" s="48"/>
      <c r="T10" s="48"/>
      <c r="U10" s="54"/>
      <c r="V10" s="48"/>
      <c r="W10" s="52"/>
      <c r="X10" s="48"/>
      <c r="Y10" s="48"/>
      <c r="Z10" s="48"/>
      <c r="AA10" s="48"/>
      <c r="AB10" s="18"/>
      <c r="AC10" s="18"/>
      <c r="AD10" s="18"/>
      <c r="AE10" s="18"/>
    </row>
    <row r="11" spans="1:31" ht="25.2" customHeight="1" x14ac:dyDescent="0.8">
      <c r="A11" s="18"/>
      <c r="B11" s="99"/>
      <c r="C11" s="99"/>
      <c r="D11" s="99"/>
      <c r="E11" s="99"/>
      <c r="F11" s="99"/>
      <c r="G11" s="99"/>
      <c r="H11" s="99"/>
      <c r="I11" s="99"/>
      <c r="J11" s="101"/>
      <c r="K11" s="102"/>
      <c r="L11" s="91" t="str">
        <f>IF(K11=1,"nickel","nickels")</f>
        <v>nickels</v>
      </c>
      <c r="M11" s="99" t="s">
        <v>44</v>
      </c>
      <c r="N11" s="96" t="str">
        <f>IF(K11&gt;0,CONCATENATE(5*K11,"¢")," ")</f>
        <v xml:space="preserve"> </v>
      </c>
      <c r="O11" s="99" t="s">
        <v>44</v>
      </c>
      <c r="P11" s="97">
        <f t="shared" ref="P11" si="0">5*K11/100</f>
        <v>0</v>
      </c>
      <c r="Q11" s="91"/>
      <c r="R11" s="48"/>
      <c r="S11" s="48"/>
      <c r="T11" s="48"/>
      <c r="U11" s="54"/>
      <c r="V11" s="48"/>
      <c r="W11" s="52"/>
      <c r="X11" s="48"/>
      <c r="Y11" s="48"/>
      <c r="Z11" s="48"/>
      <c r="AA11" s="48"/>
      <c r="AB11" s="18"/>
      <c r="AC11" s="18"/>
      <c r="AD11" s="18"/>
      <c r="AE11" s="18"/>
    </row>
    <row r="12" spans="1:31" ht="25.2" customHeight="1" x14ac:dyDescent="0.8">
      <c r="A12" s="18"/>
      <c r="B12" s="99"/>
      <c r="C12" s="99"/>
      <c r="D12" s="99"/>
      <c r="E12" s="99"/>
      <c r="F12" s="99"/>
      <c r="G12" s="99"/>
      <c r="H12" s="99"/>
      <c r="I12" s="99"/>
      <c r="J12" s="101"/>
      <c r="K12" s="102"/>
      <c r="L12" s="91" t="str">
        <f>IF(K12=1,"dime","dimes")</f>
        <v>dimes</v>
      </c>
      <c r="M12" s="99" t="s">
        <v>44</v>
      </c>
      <c r="N12" s="96" t="str">
        <f>IF(K12&gt;0,CONCATENATE(10*K12,"¢")," ")</f>
        <v xml:space="preserve"> </v>
      </c>
      <c r="O12" s="99" t="s">
        <v>44</v>
      </c>
      <c r="P12" s="97">
        <f>10*K12/100</f>
        <v>0</v>
      </c>
      <c r="Q12" s="91"/>
      <c r="R12" s="48"/>
      <c r="S12" s="48"/>
      <c r="T12" s="48"/>
      <c r="U12" s="54"/>
      <c r="V12" s="48"/>
      <c r="W12" s="52"/>
      <c r="X12" s="48"/>
      <c r="Y12" s="48"/>
      <c r="Z12" s="48"/>
      <c r="AA12" s="48"/>
      <c r="AB12" s="18"/>
      <c r="AC12" s="18"/>
      <c r="AD12" s="18"/>
      <c r="AE12" s="18"/>
    </row>
    <row r="13" spans="1:31" ht="25.2" customHeight="1" x14ac:dyDescent="0.8">
      <c r="A13" s="18"/>
      <c r="B13" s="99"/>
      <c r="C13" s="99"/>
      <c r="D13" s="99"/>
      <c r="E13" s="99"/>
      <c r="F13" s="99"/>
      <c r="G13" s="99"/>
      <c r="H13" s="99"/>
      <c r="I13" s="99"/>
      <c r="J13" s="101"/>
      <c r="K13" s="102"/>
      <c r="L13" s="91" t="str">
        <f>IF(K13=1,"quarter","quarters")</f>
        <v>quarters</v>
      </c>
      <c r="M13" s="99" t="s">
        <v>44</v>
      </c>
      <c r="N13" s="96" t="str">
        <f>IF(K13&gt;0,CONCATENATE(25*K13,"¢")," ")</f>
        <v xml:space="preserve"> </v>
      </c>
      <c r="O13" s="99" t="s">
        <v>44</v>
      </c>
      <c r="P13" s="97">
        <f>25*K13/100</f>
        <v>0</v>
      </c>
      <c r="Q13" s="91"/>
      <c r="R13" s="48"/>
      <c r="S13" s="48"/>
      <c r="T13" s="48"/>
      <c r="U13" s="54"/>
      <c r="V13" s="48"/>
      <c r="W13" s="52"/>
      <c r="X13" s="48"/>
      <c r="Y13" s="48"/>
      <c r="Z13" s="48"/>
      <c r="AA13" s="48"/>
      <c r="AB13" s="18"/>
      <c r="AC13" s="18"/>
      <c r="AD13" s="18"/>
      <c r="AE13" s="18"/>
    </row>
    <row r="14" spans="1:31" ht="25.2" customHeight="1" x14ac:dyDescent="0.8">
      <c r="A14" s="18"/>
      <c r="B14" s="99"/>
      <c r="C14" s="99"/>
      <c r="D14" s="99"/>
      <c r="E14" s="99"/>
      <c r="F14" s="99"/>
      <c r="G14" s="99"/>
      <c r="H14" s="99"/>
      <c r="I14" s="99"/>
      <c r="J14" s="101"/>
      <c r="K14" s="102"/>
      <c r="L14" s="91" t="str">
        <f>IF(K14=1,"dollar","dollars")</f>
        <v>dollars</v>
      </c>
      <c r="M14" s="99" t="s">
        <v>44</v>
      </c>
      <c r="N14" s="96" t="str">
        <f>IF(K14&gt;0,CONCATENATE(100*K14,"¢")," ")</f>
        <v xml:space="preserve"> </v>
      </c>
      <c r="O14" s="99" t="s">
        <v>44</v>
      </c>
      <c r="P14" s="97">
        <f>K14</f>
        <v>0</v>
      </c>
      <c r="Q14" s="91"/>
      <c r="R14" s="48"/>
      <c r="S14" s="48"/>
      <c r="T14" s="48"/>
      <c r="U14" s="54"/>
      <c r="V14" s="48"/>
      <c r="W14" s="52"/>
      <c r="X14" s="48"/>
      <c r="Y14" s="48"/>
      <c r="Z14" s="48"/>
      <c r="AA14" s="48"/>
      <c r="AB14" s="18"/>
      <c r="AC14" s="18"/>
      <c r="AD14" s="18"/>
      <c r="AE14" s="18"/>
    </row>
    <row r="15" spans="1:31" ht="25.2" customHeight="1" x14ac:dyDescent="0.8">
      <c r="A15" s="18"/>
      <c r="B15" s="99"/>
      <c r="C15" s="99"/>
      <c r="D15" s="99"/>
      <c r="E15" s="99"/>
      <c r="F15" s="99"/>
      <c r="G15" s="99"/>
      <c r="H15" s="99"/>
      <c r="I15" s="99"/>
      <c r="J15" s="101"/>
      <c r="K15" s="91"/>
      <c r="L15" s="91"/>
      <c r="M15" s="99"/>
      <c r="N15" s="96"/>
      <c r="O15" s="99" t="s">
        <v>44</v>
      </c>
      <c r="P15" s="97">
        <f>SUM(P10:P14)</f>
        <v>0</v>
      </c>
      <c r="Q15" s="91" t="str">
        <f>IF(P15&gt;0,IF(L9=P15,"Good","Please try again")," ")</f>
        <v xml:space="preserve"> </v>
      </c>
      <c r="R15" s="48"/>
      <c r="S15" s="48"/>
      <c r="T15" s="48"/>
      <c r="U15" s="54"/>
      <c r="V15" s="48"/>
      <c r="W15" s="52"/>
      <c r="X15" s="48"/>
      <c r="Y15" s="48"/>
      <c r="Z15" s="48"/>
      <c r="AA15" s="48"/>
      <c r="AB15" s="18"/>
      <c r="AC15" s="18"/>
      <c r="AD15" s="18"/>
      <c r="AE15" s="18"/>
    </row>
    <row r="16" spans="1:31" ht="25.2" customHeight="1" x14ac:dyDescent="0.8">
      <c r="A16" s="18"/>
      <c r="B16" s="99"/>
      <c r="C16" s="99"/>
      <c r="D16" s="99"/>
      <c r="E16" s="99"/>
      <c r="F16" s="99"/>
      <c r="G16" s="99"/>
      <c r="H16" s="99"/>
      <c r="I16" s="99"/>
      <c r="J16" s="101"/>
      <c r="K16" s="91"/>
      <c r="L16" s="91"/>
      <c r="M16" s="91"/>
      <c r="N16" s="96"/>
      <c r="O16" s="104"/>
      <c r="P16" s="97"/>
      <c r="Q16" s="91"/>
      <c r="R16" s="48"/>
      <c r="S16" s="48"/>
      <c r="T16" s="48"/>
      <c r="U16" s="54"/>
      <c r="V16" s="48"/>
      <c r="W16" s="52"/>
      <c r="X16" s="48"/>
      <c r="Y16" s="48"/>
      <c r="Z16" s="48"/>
      <c r="AA16" s="48"/>
      <c r="AB16" s="18"/>
      <c r="AC16" s="18"/>
      <c r="AD16" s="18"/>
      <c r="AE16" s="18"/>
    </row>
    <row r="17" spans="1:31" ht="25.2" customHeight="1" thickBot="1" x14ac:dyDescent="0.85">
      <c r="A17" s="18"/>
      <c r="B17" s="99"/>
      <c r="C17" s="99"/>
      <c r="D17" s="99"/>
      <c r="E17" s="99"/>
      <c r="F17" s="99"/>
      <c r="G17" s="99"/>
      <c r="H17" s="99"/>
      <c r="I17" s="99"/>
      <c r="J17" s="101"/>
      <c r="K17" s="105" t="s">
        <v>59</v>
      </c>
      <c r="L17" s="106">
        <v>13.49</v>
      </c>
      <c r="M17" s="94">
        <v>13.49</v>
      </c>
      <c r="N17" s="94"/>
      <c r="O17" s="91"/>
      <c r="P17" s="97"/>
      <c r="Q17" s="91"/>
      <c r="R17" s="18"/>
      <c r="S17" s="48"/>
      <c r="T17" s="48"/>
      <c r="U17" s="54"/>
      <c r="V17" s="48"/>
      <c r="W17" s="52"/>
      <c r="X17" s="48"/>
      <c r="Y17" s="48"/>
      <c r="Z17" s="48"/>
      <c r="AA17" s="48"/>
      <c r="AB17" s="18"/>
      <c r="AC17" s="18"/>
      <c r="AD17" s="18"/>
      <c r="AE17" s="18"/>
    </row>
    <row r="18" spans="1:31" ht="25.2" customHeight="1" thickTop="1" x14ac:dyDescent="0.8">
      <c r="A18" s="18"/>
      <c r="B18" s="99"/>
      <c r="C18" s="99"/>
      <c r="D18" s="99"/>
      <c r="E18" s="99"/>
      <c r="F18" s="99"/>
      <c r="G18" s="99"/>
      <c r="H18" s="99"/>
      <c r="I18" s="99"/>
      <c r="J18" s="101"/>
      <c r="K18" s="102"/>
      <c r="L18" s="91" t="str">
        <f>IF(K18=1,"cent","cents")</f>
        <v>cents</v>
      </c>
      <c r="M18" s="99" t="s">
        <v>44</v>
      </c>
      <c r="N18" s="96" t="str">
        <f>IF(K18&gt;0,CONCATENATE(K18,"¢")," ")</f>
        <v xml:space="preserve"> </v>
      </c>
      <c r="O18" s="99" t="s">
        <v>44</v>
      </c>
      <c r="P18" s="97">
        <f>K18/100</f>
        <v>0</v>
      </c>
      <c r="Q18" s="103"/>
      <c r="R18" s="18"/>
      <c r="S18" s="48"/>
      <c r="T18" s="48"/>
      <c r="U18" s="54"/>
      <c r="V18" s="48"/>
      <c r="W18" s="52"/>
      <c r="X18" s="48"/>
      <c r="Y18" s="48"/>
      <c r="Z18" s="48"/>
      <c r="AA18" s="48"/>
      <c r="AB18" s="18"/>
      <c r="AC18" s="18"/>
      <c r="AD18" s="18"/>
      <c r="AE18" s="18"/>
    </row>
    <row r="19" spans="1:31" ht="25.2" customHeight="1" x14ac:dyDescent="0.8">
      <c r="A19" s="18"/>
      <c r="B19" s="99"/>
      <c r="C19" s="99"/>
      <c r="D19" s="99"/>
      <c r="E19" s="99"/>
      <c r="F19" s="99"/>
      <c r="G19" s="99"/>
      <c r="H19" s="99"/>
      <c r="I19" s="99"/>
      <c r="J19" s="101"/>
      <c r="K19" s="102"/>
      <c r="L19" s="91" t="str">
        <f>IF(K19=1,"nickel","nickels")</f>
        <v>nickels</v>
      </c>
      <c r="M19" s="99" t="s">
        <v>44</v>
      </c>
      <c r="N19" s="96" t="str">
        <f>IF(K19&gt;0,CONCATENATE(5*K19,"¢")," ")</f>
        <v xml:space="preserve"> </v>
      </c>
      <c r="O19" s="99" t="s">
        <v>44</v>
      </c>
      <c r="P19" s="97">
        <f t="shared" ref="P19" si="1">5*K19/100</f>
        <v>0</v>
      </c>
      <c r="Q19" s="91"/>
      <c r="R19" s="18"/>
      <c r="S19" s="48"/>
      <c r="T19" s="48"/>
      <c r="U19" s="54"/>
      <c r="V19" s="48"/>
      <c r="W19" s="52"/>
      <c r="X19" s="48"/>
      <c r="Y19" s="48"/>
      <c r="Z19" s="48"/>
      <c r="AA19" s="48"/>
      <c r="AB19" s="18"/>
      <c r="AC19" s="18"/>
      <c r="AD19" s="18"/>
      <c r="AE19" s="18"/>
    </row>
    <row r="20" spans="1:31" ht="25.2" customHeight="1" x14ac:dyDescent="0.8">
      <c r="A20" s="18"/>
      <c r="B20" s="99"/>
      <c r="C20" s="99"/>
      <c r="D20" s="99"/>
      <c r="E20" s="99"/>
      <c r="F20" s="99"/>
      <c r="G20" s="99"/>
      <c r="H20" s="99"/>
      <c r="I20" s="99"/>
      <c r="J20" s="101"/>
      <c r="K20" s="102"/>
      <c r="L20" s="91" t="str">
        <f>IF(K20=1,"dime","dimes")</f>
        <v>dimes</v>
      </c>
      <c r="M20" s="99" t="s">
        <v>44</v>
      </c>
      <c r="N20" s="96" t="str">
        <f>IF(K20&gt;0,CONCATENATE(10*K20,"¢")," ")</f>
        <v xml:space="preserve"> </v>
      </c>
      <c r="O20" s="99" t="s">
        <v>44</v>
      </c>
      <c r="P20" s="97">
        <f>10*K20/100</f>
        <v>0</v>
      </c>
      <c r="Q20" s="91"/>
      <c r="R20" s="18"/>
      <c r="S20" s="48"/>
      <c r="T20" s="48"/>
      <c r="U20" s="54"/>
      <c r="V20" s="48"/>
      <c r="W20" s="52"/>
      <c r="X20" s="48"/>
      <c r="Y20" s="48"/>
      <c r="Z20" s="48"/>
      <c r="AA20" s="48"/>
      <c r="AB20" s="18"/>
      <c r="AC20" s="18"/>
      <c r="AD20" s="18"/>
      <c r="AE20" s="18"/>
    </row>
    <row r="21" spans="1:31" ht="25.2" customHeight="1" x14ac:dyDescent="0.8">
      <c r="A21" s="18"/>
      <c r="B21" s="99"/>
      <c r="C21" s="99"/>
      <c r="D21" s="99"/>
      <c r="E21" s="99"/>
      <c r="F21" s="99"/>
      <c r="G21" s="99"/>
      <c r="H21" s="99"/>
      <c r="I21" s="99"/>
      <c r="J21" s="101"/>
      <c r="K21" s="102"/>
      <c r="L21" s="91" t="str">
        <f>IF(K21=1,"quarter","quarters")</f>
        <v>quarters</v>
      </c>
      <c r="M21" s="99" t="s">
        <v>44</v>
      </c>
      <c r="N21" s="96" t="str">
        <f>IF(K21&gt;0,CONCATENATE(25*K21,"¢")," ")</f>
        <v xml:space="preserve"> </v>
      </c>
      <c r="O21" s="99" t="s">
        <v>44</v>
      </c>
      <c r="P21" s="97">
        <f>25*K21/100</f>
        <v>0</v>
      </c>
      <c r="Q21" s="91"/>
      <c r="R21" s="18"/>
      <c r="S21" s="48"/>
      <c r="T21" s="48"/>
      <c r="U21" s="54"/>
      <c r="V21" s="48"/>
      <c r="W21" s="52"/>
      <c r="X21" s="48"/>
      <c r="Y21" s="48"/>
      <c r="Z21" s="48"/>
      <c r="AA21" s="48"/>
      <c r="AB21" s="18"/>
      <c r="AC21" s="18"/>
      <c r="AD21" s="18"/>
      <c r="AE21" s="18"/>
    </row>
    <row r="22" spans="1:31" ht="25.2" customHeight="1" x14ac:dyDescent="0.8">
      <c r="A22" s="18"/>
      <c r="B22" s="99"/>
      <c r="C22" s="99"/>
      <c r="D22" s="99"/>
      <c r="E22" s="99"/>
      <c r="F22" s="99"/>
      <c r="G22" s="99"/>
      <c r="H22" s="99"/>
      <c r="I22" s="99"/>
      <c r="J22" s="101"/>
      <c r="K22" s="102"/>
      <c r="L22" s="91" t="str">
        <f>IF(K22=1,"dollar","dollars")</f>
        <v>dollars</v>
      </c>
      <c r="M22" s="99" t="s">
        <v>44</v>
      </c>
      <c r="N22" s="96" t="str">
        <f>IF(K22&gt;0,CONCATENATE(100*K22,"¢")," ")</f>
        <v xml:space="preserve"> </v>
      </c>
      <c r="O22" s="99" t="s">
        <v>44</v>
      </c>
      <c r="P22" s="97">
        <f>K22</f>
        <v>0</v>
      </c>
      <c r="Q22" s="91"/>
      <c r="R22" s="18"/>
      <c r="S22" s="48"/>
      <c r="T22" s="48"/>
      <c r="U22" s="54"/>
      <c r="V22" s="48"/>
      <c r="W22" s="52"/>
      <c r="X22" s="48"/>
      <c r="Y22" s="48"/>
      <c r="Z22" s="48"/>
      <c r="AA22" s="48"/>
      <c r="AB22" s="18"/>
      <c r="AC22" s="18"/>
      <c r="AD22" s="18"/>
      <c r="AE22" s="18"/>
    </row>
    <row r="23" spans="1:31" ht="25.2" customHeight="1" x14ac:dyDescent="0.8">
      <c r="A23" s="18"/>
      <c r="B23" s="99"/>
      <c r="C23" s="99"/>
      <c r="D23" s="99"/>
      <c r="E23" s="99"/>
      <c r="F23" s="99"/>
      <c r="G23" s="99"/>
      <c r="H23" s="99"/>
      <c r="I23" s="99"/>
      <c r="J23" s="101"/>
      <c r="K23" s="91"/>
      <c r="L23" s="91"/>
      <c r="M23" s="99"/>
      <c r="N23" s="96"/>
      <c r="O23" s="99" t="s">
        <v>44</v>
      </c>
      <c r="P23" s="97">
        <f>SUM(P18:P22)</f>
        <v>0</v>
      </c>
      <c r="Q23" s="91" t="str">
        <f>IF(P23&gt;0,IF(L17=P23,"Good","Please try again")," ")</f>
        <v xml:space="preserve"> </v>
      </c>
      <c r="R23" s="18"/>
      <c r="S23" s="48"/>
      <c r="T23" s="48"/>
      <c r="U23" s="54"/>
      <c r="V23" s="48"/>
      <c r="W23" s="52"/>
      <c r="X23" s="48"/>
      <c r="Y23" s="48"/>
      <c r="Z23" s="48"/>
      <c r="AA23" s="48"/>
      <c r="AB23" s="18"/>
      <c r="AC23" s="18"/>
      <c r="AD23" s="18"/>
      <c r="AE23" s="18"/>
    </row>
    <row r="24" spans="1:31" x14ac:dyDescent="0.8">
      <c r="A24" s="18"/>
      <c r="B24" s="99"/>
      <c r="C24" s="99"/>
      <c r="D24" s="99"/>
      <c r="E24" s="99"/>
      <c r="F24" s="99"/>
      <c r="G24" s="99"/>
      <c r="H24" s="99"/>
      <c r="I24" s="99"/>
      <c r="J24" s="101"/>
      <c r="K24" s="91"/>
      <c r="L24" s="91"/>
      <c r="M24" s="91"/>
      <c r="N24" s="96"/>
      <c r="O24" s="104"/>
      <c r="P24" s="97"/>
      <c r="Q24" s="91"/>
      <c r="R24" s="48"/>
      <c r="S24" s="48"/>
      <c r="T24" s="48"/>
      <c r="U24" s="54"/>
      <c r="V24" s="48"/>
      <c r="W24" s="52"/>
      <c r="X24" s="48"/>
      <c r="Y24" s="48"/>
      <c r="Z24" s="48"/>
      <c r="AA24" s="48"/>
      <c r="AB24" s="18"/>
      <c r="AC24" s="18"/>
      <c r="AD24" s="18"/>
      <c r="AE24" s="18"/>
    </row>
    <row r="25" spans="1:31" x14ac:dyDescent="0.8">
      <c r="A25" s="18"/>
      <c r="B25" s="99"/>
      <c r="C25" s="99"/>
      <c r="D25" s="99"/>
      <c r="E25" s="99"/>
      <c r="F25" s="99"/>
      <c r="G25" s="99"/>
      <c r="H25" s="99"/>
      <c r="I25" s="99"/>
      <c r="J25" s="101"/>
      <c r="K25" s="91"/>
      <c r="L25" s="91"/>
      <c r="M25" s="91"/>
      <c r="N25" s="96"/>
      <c r="O25" s="91"/>
      <c r="P25" s="97"/>
      <c r="Q25" s="91"/>
      <c r="R25" s="48"/>
      <c r="S25" s="48"/>
      <c r="T25" s="48"/>
      <c r="U25" s="54"/>
      <c r="V25" s="48"/>
      <c r="W25" s="52"/>
      <c r="X25" s="48"/>
      <c r="Y25" s="48"/>
      <c r="Z25" s="48"/>
      <c r="AA25" s="48"/>
      <c r="AB25" s="18"/>
      <c r="AC25" s="18"/>
      <c r="AD25" s="18"/>
      <c r="AE25" s="18"/>
    </row>
    <row r="26" spans="1:31" x14ac:dyDescent="0.8">
      <c r="A26" s="18"/>
      <c r="B26" s="49"/>
      <c r="C26" s="49"/>
      <c r="D26" s="49"/>
      <c r="E26" s="49"/>
      <c r="F26" s="49"/>
      <c r="G26" s="49"/>
      <c r="H26" s="49"/>
      <c r="I26" s="49"/>
      <c r="J26" s="75"/>
      <c r="K26" s="48"/>
      <c r="L26" s="48"/>
      <c r="M26" s="48"/>
      <c r="N26" s="54"/>
      <c r="O26" s="48"/>
      <c r="P26" s="56"/>
      <c r="R26" s="48"/>
      <c r="S26" s="48"/>
      <c r="T26" s="48"/>
      <c r="U26" s="54"/>
      <c r="V26" s="48"/>
      <c r="W26" s="52"/>
      <c r="X26" s="48"/>
      <c r="Y26" s="48"/>
      <c r="Z26" s="48"/>
      <c r="AA26" s="48"/>
      <c r="AB26" s="18"/>
      <c r="AC26" s="18"/>
      <c r="AD26" s="18"/>
      <c r="AE26" s="18"/>
    </row>
    <row r="27" spans="1:31" x14ac:dyDescent="0.8">
      <c r="A27" s="18"/>
      <c r="B27" s="49"/>
      <c r="C27" s="49"/>
      <c r="D27" s="49"/>
      <c r="E27" s="49"/>
      <c r="F27" s="49"/>
      <c r="G27" s="49"/>
      <c r="H27" s="49"/>
      <c r="I27" s="49"/>
      <c r="J27" s="75"/>
      <c r="K27" s="48"/>
      <c r="L27" s="48"/>
      <c r="M27" s="48"/>
      <c r="N27" s="54"/>
      <c r="O27" s="48"/>
      <c r="P27" s="56"/>
      <c r="R27" s="48"/>
      <c r="S27" s="48"/>
      <c r="T27" s="48"/>
      <c r="U27" s="54"/>
      <c r="V27" s="48"/>
      <c r="W27" s="52"/>
      <c r="X27" s="48"/>
      <c r="Y27" s="48"/>
      <c r="Z27" s="48"/>
      <c r="AA27" s="48"/>
      <c r="AB27" s="18"/>
      <c r="AC27" s="18"/>
      <c r="AD27" s="18"/>
      <c r="AE27" s="18"/>
    </row>
    <row r="28" spans="1:31" x14ac:dyDescent="0.8">
      <c r="A28" s="18"/>
      <c r="B28" s="49"/>
      <c r="C28" s="49"/>
      <c r="D28" s="49"/>
      <c r="E28" s="49"/>
      <c r="F28" s="49"/>
      <c r="G28" s="49"/>
      <c r="H28" s="49"/>
      <c r="I28" s="49"/>
      <c r="J28" s="75"/>
      <c r="K28" s="48"/>
      <c r="L28" s="48"/>
      <c r="M28" s="48"/>
      <c r="N28" s="54"/>
      <c r="O28" s="48"/>
      <c r="P28" s="56"/>
      <c r="R28" s="48"/>
      <c r="S28" s="48"/>
      <c r="T28" s="48"/>
      <c r="U28" s="54"/>
      <c r="V28" s="48"/>
      <c r="W28" s="52"/>
      <c r="X28" s="48"/>
      <c r="Y28" s="48"/>
      <c r="Z28" s="48"/>
      <c r="AA28" s="48"/>
      <c r="AB28" s="18"/>
      <c r="AC28" s="18"/>
      <c r="AD28" s="18"/>
      <c r="AE28" s="18"/>
    </row>
    <row r="29" spans="1:31" x14ac:dyDescent="0.8">
      <c r="A29" s="18"/>
      <c r="B29" s="49"/>
      <c r="C29" s="49"/>
      <c r="D29" s="49"/>
      <c r="E29" s="49"/>
      <c r="F29" s="49"/>
      <c r="G29" s="49"/>
      <c r="H29" s="49"/>
      <c r="I29" s="49"/>
      <c r="J29" s="75"/>
      <c r="K29" s="48"/>
      <c r="L29" s="48"/>
      <c r="M29" s="48"/>
      <c r="N29" s="54"/>
      <c r="O29" s="48"/>
      <c r="P29" s="56"/>
      <c r="R29" s="48"/>
      <c r="S29" s="48"/>
      <c r="T29" s="48"/>
      <c r="U29" s="54"/>
      <c r="V29" s="48"/>
      <c r="W29" s="52"/>
      <c r="X29" s="48"/>
      <c r="Y29" s="48"/>
      <c r="Z29" s="48"/>
      <c r="AA29" s="48"/>
      <c r="AB29" s="18"/>
      <c r="AC29" s="18"/>
      <c r="AD29" s="18"/>
      <c r="AE29" s="18"/>
    </row>
    <row r="30" spans="1:31" x14ac:dyDescent="0.8">
      <c r="A30" s="18"/>
      <c r="B30" s="18"/>
      <c r="C30" s="18"/>
      <c r="D30" s="18"/>
      <c r="E30" s="18"/>
      <c r="F30" s="18"/>
      <c r="G30" s="18"/>
      <c r="H30" s="18"/>
      <c r="I30" s="18"/>
      <c r="J30" s="74"/>
      <c r="K30" s="48"/>
      <c r="L30" s="48"/>
      <c r="M30" s="48"/>
      <c r="N30" s="54"/>
      <c r="O30" s="48"/>
      <c r="P30" s="56"/>
      <c r="R30" s="48"/>
      <c r="S30" s="48"/>
      <c r="T30" s="48"/>
      <c r="U30" s="54"/>
      <c r="V30" s="48"/>
      <c r="W30" s="52"/>
      <c r="X30" s="48"/>
      <c r="Y30" s="48"/>
      <c r="Z30" s="48"/>
      <c r="AA30" s="48"/>
      <c r="AB30" s="18"/>
      <c r="AC30" s="18"/>
      <c r="AD30" s="18"/>
      <c r="AE30" s="18"/>
    </row>
    <row r="31" spans="1:31" x14ac:dyDescent="0.8">
      <c r="A31" s="18"/>
      <c r="B31" s="18"/>
      <c r="C31" s="18"/>
      <c r="D31" s="18"/>
      <c r="E31" s="18"/>
      <c r="F31" s="18"/>
      <c r="G31" s="18"/>
      <c r="H31" s="18"/>
      <c r="I31" s="18"/>
      <c r="J31" s="74"/>
      <c r="K31" s="48"/>
      <c r="L31" s="48"/>
      <c r="M31" s="48"/>
      <c r="N31" s="54"/>
      <c r="O31" s="48"/>
      <c r="P31" s="56"/>
      <c r="R31" s="48"/>
      <c r="S31" s="48"/>
      <c r="T31" s="48"/>
      <c r="U31" s="54"/>
      <c r="V31" s="48"/>
      <c r="W31" s="52"/>
      <c r="X31" s="48"/>
      <c r="Y31" s="48"/>
      <c r="Z31" s="48"/>
      <c r="AA31" s="48"/>
      <c r="AB31" s="18"/>
      <c r="AC31" s="18"/>
      <c r="AD31" s="18"/>
      <c r="AE31" s="18"/>
    </row>
    <row r="32" spans="1:31" x14ac:dyDescent="0.8">
      <c r="A32" s="18"/>
      <c r="B32" s="18"/>
      <c r="C32" s="18"/>
      <c r="D32" s="18"/>
      <c r="E32" s="18"/>
      <c r="F32" s="18"/>
      <c r="G32" s="18"/>
      <c r="H32" s="18"/>
      <c r="I32" s="18"/>
      <c r="J32" s="74"/>
      <c r="K32" s="48"/>
      <c r="L32" s="48"/>
      <c r="M32" s="48"/>
      <c r="N32" s="54"/>
      <c r="O32" s="48"/>
      <c r="P32" s="56"/>
      <c r="R32" s="48"/>
      <c r="S32" s="48"/>
      <c r="T32" s="48"/>
      <c r="U32" s="54"/>
      <c r="V32" s="48"/>
      <c r="W32" s="52"/>
      <c r="X32" s="48"/>
      <c r="Y32" s="48"/>
      <c r="Z32" s="48"/>
      <c r="AA32" s="48"/>
      <c r="AB32" s="18"/>
      <c r="AC32" s="18"/>
      <c r="AD32" s="18"/>
      <c r="AE32" s="18"/>
    </row>
    <row r="33" spans="1:31" x14ac:dyDescent="0.8">
      <c r="A33" s="18"/>
      <c r="B33" s="18"/>
      <c r="C33" s="18"/>
      <c r="D33" s="18"/>
      <c r="E33" s="18"/>
      <c r="F33" s="18"/>
      <c r="G33" s="18"/>
      <c r="H33" s="18"/>
      <c r="I33" s="18"/>
      <c r="J33" s="74"/>
      <c r="K33" s="48"/>
      <c r="L33" s="48"/>
      <c r="M33" s="48"/>
      <c r="N33" s="54"/>
      <c r="O33" s="48"/>
      <c r="P33" s="56"/>
      <c r="R33" s="48"/>
      <c r="S33" s="48"/>
      <c r="T33" s="48"/>
      <c r="U33" s="54"/>
      <c r="V33" s="48"/>
      <c r="W33" s="52"/>
      <c r="X33" s="48"/>
      <c r="Y33" s="48"/>
      <c r="Z33" s="48"/>
      <c r="AA33" s="48"/>
      <c r="AB33" s="18"/>
      <c r="AC33" s="18"/>
      <c r="AD33" s="18"/>
      <c r="AE33" s="18"/>
    </row>
    <row r="34" spans="1:31" x14ac:dyDescent="0.8">
      <c r="A34" s="18"/>
      <c r="B34" s="18"/>
      <c r="C34" s="18"/>
      <c r="D34" s="18"/>
      <c r="E34" s="18"/>
      <c r="F34" s="18"/>
      <c r="G34" s="18"/>
      <c r="H34" s="18"/>
      <c r="I34" s="18"/>
      <c r="J34" s="74"/>
      <c r="K34" s="48"/>
      <c r="L34" s="48"/>
      <c r="M34" s="48"/>
      <c r="N34" s="54"/>
      <c r="O34" s="48"/>
      <c r="P34" s="56"/>
      <c r="R34" s="48"/>
      <c r="S34" s="48"/>
      <c r="T34" s="48"/>
      <c r="U34" s="54"/>
      <c r="V34" s="48"/>
      <c r="W34" s="52"/>
      <c r="X34" s="48"/>
      <c r="Y34" s="48"/>
      <c r="Z34" s="48"/>
      <c r="AA34" s="48"/>
      <c r="AB34" s="18"/>
      <c r="AC34" s="18"/>
      <c r="AD34" s="18"/>
      <c r="AE34" s="18"/>
    </row>
    <row r="35" spans="1:31" x14ac:dyDescent="0.8">
      <c r="A35" s="18"/>
      <c r="B35" s="18"/>
      <c r="C35" s="18"/>
      <c r="D35" s="18"/>
      <c r="E35" s="18"/>
      <c r="F35" s="18"/>
      <c r="G35" s="18"/>
      <c r="H35" s="18"/>
      <c r="I35" s="18"/>
      <c r="J35" s="74"/>
      <c r="K35" s="48"/>
      <c r="L35" s="48"/>
      <c r="M35" s="48"/>
      <c r="N35" s="54"/>
      <c r="O35" s="48"/>
      <c r="P35" s="56"/>
      <c r="R35" s="48"/>
      <c r="S35" s="48"/>
      <c r="T35" s="48"/>
      <c r="U35" s="54"/>
      <c r="V35" s="48"/>
      <c r="W35" s="52"/>
      <c r="X35" s="48"/>
      <c r="Y35" s="48"/>
      <c r="Z35" s="48"/>
      <c r="AA35" s="48"/>
      <c r="AB35" s="18"/>
      <c r="AC35" s="18"/>
      <c r="AD35" s="18"/>
      <c r="AE35" s="18"/>
    </row>
    <row r="36" spans="1:31" x14ac:dyDescent="0.8">
      <c r="A36" s="18"/>
      <c r="B36" s="18"/>
      <c r="C36" s="18"/>
      <c r="D36" s="18"/>
      <c r="E36" s="18"/>
      <c r="F36" s="18"/>
      <c r="G36" s="18"/>
      <c r="H36" s="18"/>
      <c r="I36" s="18"/>
      <c r="J36" s="74"/>
      <c r="K36" s="48"/>
      <c r="L36" s="48"/>
      <c r="M36" s="48"/>
      <c r="N36" s="54"/>
      <c r="O36" s="48"/>
      <c r="P36" s="56"/>
      <c r="R36" s="48"/>
      <c r="S36" s="48"/>
      <c r="T36" s="48"/>
      <c r="U36" s="54"/>
      <c r="V36" s="48"/>
      <c r="W36" s="52"/>
      <c r="X36" s="48"/>
      <c r="Y36" s="48"/>
      <c r="Z36" s="48"/>
      <c r="AA36" s="48"/>
      <c r="AB36" s="18"/>
      <c r="AC36" s="18"/>
      <c r="AD36" s="18"/>
      <c r="AE36" s="18"/>
    </row>
    <row r="37" spans="1:31" x14ac:dyDescent="0.8">
      <c r="A37" s="18"/>
      <c r="B37" s="18"/>
      <c r="C37" s="18"/>
      <c r="D37" s="18"/>
      <c r="E37" s="18"/>
      <c r="F37" s="18"/>
      <c r="G37" s="18"/>
      <c r="H37" s="18"/>
      <c r="I37" s="18"/>
      <c r="J37" s="74"/>
      <c r="K37" s="48"/>
      <c r="L37" s="48"/>
      <c r="M37" s="48"/>
      <c r="N37" s="54"/>
      <c r="O37" s="48"/>
      <c r="P37" s="56"/>
      <c r="R37" s="48"/>
      <c r="S37" s="48"/>
      <c r="T37" s="48"/>
      <c r="U37" s="54"/>
      <c r="V37" s="48"/>
      <c r="W37" s="52"/>
      <c r="X37" s="48"/>
      <c r="Y37" s="48"/>
      <c r="Z37" s="48"/>
      <c r="AA37" s="48"/>
      <c r="AB37" s="18"/>
      <c r="AC37" s="18"/>
      <c r="AD37" s="18"/>
      <c r="AE37" s="18"/>
    </row>
    <row r="38" spans="1:31" x14ac:dyDescent="0.8">
      <c r="A38" s="18"/>
      <c r="B38" s="18"/>
      <c r="C38" s="18"/>
      <c r="D38" s="18"/>
      <c r="E38" s="18"/>
      <c r="F38" s="18"/>
      <c r="G38" s="18"/>
      <c r="H38" s="18"/>
      <c r="I38" s="18"/>
      <c r="J38" s="74"/>
      <c r="K38" s="48"/>
      <c r="L38" s="48"/>
      <c r="M38" s="48"/>
      <c r="N38" s="54"/>
      <c r="O38" s="48"/>
      <c r="P38" s="56"/>
      <c r="R38" s="48"/>
      <c r="S38" s="48"/>
      <c r="T38" s="48"/>
      <c r="U38" s="54"/>
      <c r="V38" s="48"/>
      <c r="W38" s="52"/>
      <c r="X38" s="48"/>
      <c r="Y38" s="48"/>
    </row>
    <row r="39" spans="1:31" x14ac:dyDescent="0.8">
      <c r="A39" s="18"/>
      <c r="B39" s="18"/>
      <c r="C39" s="18"/>
      <c r="D39" s="18"/>
      <c r="E39" s="18"/>
      <c r="F39" s="18"/>
      <c r="G39" s="18"/>
      <c r="H39" s="18"/>
      <c r="I39" s="18"/>
      <c r="J39" s="74"/>
      <c r="K39" s="48"/>
      <c r="L39" s="48"/>
      <c r="M39" s="48"/>
      <c r="N39" s="54"/>
      <c r="O39" s="48"/>
      <c r="P39" s="56"/>
      <c r="R39" s="48"/>
      <c r="S39" s="48"/>
      <c r="T39" s="48"/>
      <c r="U39" s="54"/>
      <c r="V39" s="48"/>
      <c r="W39" s="52"/>
      <c r="X39" s="48"/>
      <c r="Y39" s="48"/>
    </row>
    <row r="40" spans="1:31" x14ac:dyDescent="0.8">
      <c r="A40" s="18"/>
      <c r="B40" s="18"/>
      <c r="C40" s="18"/>
      <c r="D40" s="18"/>
      <c r="E40" s="18"/>
      <c r="F40" s="18"/>
      <c r="G40" s="18"/>
      <c r="H40" s="18"/>
      <c r="I40" s="18"/>
      <c r="J40" s="74"/>
      <c r="K40" s="48"/>
      <c r="L40" s="48"/>
      <c r="M40" s="48"/>
      <c r="N40" s="54"/>
      <c r="O40" s="48"/>
      <c r="P40" s="56"/>
      <c r="R40" s="48"/>
      <c r="S40" s="48"/>
      <c r="T40" s="48"/>
      <c r="U40" s="54"/>
      <c r="V40" s="48"/>
      <c r="W40" s="52"/>
      <c r="X40" s="48"/>
      <c r="Y40" s="48"/>
    </row>
    <row r="41" spans="1:31" x14ac:dyDescent="0.8">
      <c r="A41" s="18"/>
      <c r="B41" s="18"/>
      <c r="C41" s="18"/>
      <c r="D41" s="18"/>
      <c r="E41" s="18"/>
      <c r="F41" s="18"/>
      <c r="G41" s="18"/>
      <c r="H41" s="18"/>
      <c r="I41" s="18"/>
      <c r="J41" s="74"/>
      <c r="K41" s="48"/>
      <c r="L41" s="48"/>
      <c r="M41" s="48"/>
      <c r="N41" s="54"/>
      <c r="O41" s="48"/>
      <c r="P41" s="56"/>
      <c r="R41" s="48"/>
      <c r="S41" s="48"/>
      <c r="T41" s="48"/>
      <c r="U41" s="54"/>
      <c r="V41" s="48"/>
      <c r="W41" s="52"/>
      <c r="X41" s="48"/>
      <c r="Y41" s="48"/>
    </row>
    <row r="42" spans="1:31" x14ac:dyDescent="0.8">
      <c r="A42" s="18"/>
      <c r="B42" s="18"/>
      <c r="C42" s="18"/>
      <c r="D42" s="18"/>
      <c r="E42" s="18"/>
      <c r="F42" s="18"/>
      <c r="G42" s="18"/>
      <c r="H42" s="18"/>
      <c r="I42" s="18"/>
      <c r="J42" s="74"/>
      <c r="K42" s="48"/>
      <c r="L42" s="48"/>
      <c r="M42" s="48"/>
      <c r="N42" s="54"/>
      <c r="O42" s="48"/>
      <c r="P42" s="56"/>
      <c r="R42" s="48"/>
      <c r="S42" s="48"/>
      <c r="T42" s="48"/>
      <c r="U42" s="54"/>
      <c r="V42" s="48"/>
      <c r="W42" s="52"/>
      <c r="X42" s="48"/>
      <c r="Y42" s="48"/>
    </row>
    <row r="43" spans="1:31" x14ac:dyDescent="0.8">
      <c r="A43" s="18"/>
      <c r="B43" s="18"/>
      <c r="C43" s="18"/>
      <c r="D43" s="18"/>
      <c r="E43" s="18"/>
      <c r="F43" s="18"/>
      <c r="G43" s="18"/>
      <c r="H43" s="18"/>
      <c r="I43" s="18"/>
      <c r="J43" s="74"/>
      <c r="K43" s="48"/>
      <c r="L43" s="48"/>
      <c r="M43" s="48"/>
      <c r="N43" s="54"/>
      <c r="O43" s="48"/>
      <c r="P43" s="56"/>
      <c r="R43" s="48"/>
      <c r="S43" s="48"/>
      <c r="T43" s="48"/>
      <c r="U43" s="54"/>
      <c r="V43" s="48"/>
      <c r="W43" s="52"/>
      <c r="X43" s="48"/>
      <c r="Y43" s="48"/>
    </row>
    <row r="44" spans="1:31" x14ac:dyDescent="0.8">
      <c r="A44" s="18"/>
      <c r="B44" s="18"/>
      <c r="C44" s="18"/>
      <c r="D44" s="18"/>
      <c r="E44" s="18"/>
      <c r="F44" s="18"/>
      <c r="G44" s="18"/>
      <c r="H44" s="18"/>
      <c r="I44" s="18"/>
      <c r="J44" s="74"/>
      <c r="K44" s="48"/>
      <c r="L44" s="48"/>
      <c r="M44" s="48"/>
      <c r="N44" s="54"/>
      <c r="O44" s="48"/>
      <c r="P44" s="56"/>
      <c r="R44" s="48"/>
      <c r="S44" s="48"/>
      <c r="T44" s="48"/>
      <c r="U44" s="54"/>
      <c r="V44" s="48"/>
      <c r="W44" s="52"/>
      <c r="X44" s="48"/>
      <c r="Y44" s="48"/>
    </row>
    <row r="45" spans="1:31" x14ac:dyDescent="0.8">
      <c r="A45" s="18"/>
      <c r="B45" s="18"/>
      <c r="C45" s="18"/>
      <c r="D45" s="18"/>
      <c r="E45" s="18"/>
      <c r="F45" s="18"/>
      <c r="G45" s="18"/>
      <c r="H45" s="18"/>
      <c r="I45" s="18"/>
      <c r="J45" s="74"/>
      <c r="K45" s="48"/>
      <c r="L45" s="48"/>
      <c r="M45" s="48"/>
      <c r="N45" s="54"/>
      <c r="O45" s="48"/>
      <c r="P45" s="56"/>
      <c r="R45" s="48"/>
      <c r="S45" s="48"/>
      <c r="T45" s="48"/>
      <c r="U45" s="54"/>
      <c r="V45" s="48"/>
      <c r="W45" s="52"/>
      <c r="X45" s="48"/>
      <c r="Y45" s="48"/>
    </row>
    <row r="46" spans="1:31" x14ac:dyDescent="0.8">
      <c r="A46" s="18"/>
      <c r="B46" s="18"/>
      <c r="C46" s="18"/>
      <c r="D46" s="18"/>
      <c r="E46" s="18"/>
      <c r="F46" s="18"/>
      <c r="G46" s="18"/>
      <c r="H46" s="18"/>
      <c r="I46" s="18"/>
      <c r="J46" s="74"/>
      <c r="K46" s="48"/>
      <c r="L46" s="48"/>
      <c r="M46" s="48"/>
      <c r="N46" s="54"/>
      <c r="O46" s="48"/>
      <c r="P46" s="56"/>
      <c r="R46" s="48"/>
      <c r="S46" s="48"/>
      <c r="T46" s="48"/>
      <c r="U46" s="54"/>
      <c r="V46" s="48"/>
      <c r="W46" s="52"/>
      <c r="X46" s="48"/>
      <c r="Y46" s="48"/>
    </row>
    <row r="47" spans="1:31" x14ac:dyDescent="0.8">
      <c r="A47" s="18"/>
      <c r="B47" s="18"/>
      <c r="C47" s="18"/>
      <c r="D47" s="18"/>
      <c r="E47" s="18"/>
      <c r="F47" s="18"/>
      <c r="G47" s="18"/>
      <c r="H47" s="18"/>
      <c r="I47" s="18"/>
      <c r="J47" s="74"/>
      <c r="K47" s="48"/>
      <c r="L47" s="48"/>
      <c r="M47" s="48"/>
      <c r="N47" s="54"/>
      <c r="O47" s="48"/>
      <c r="P47" s="56"/>
      <c r="R47" s="48"/>
      <c r="S47" s="48"/>
      <c r="T47" s="48"/>
      <c r="U47" s="54"/>
      <c r="V47" s="48"/>
      <c r="W47" s="52"/>
      <c r="X47" s="48"/>
      <c r="Y47" s="48"/>
    </row>
    <row r="48" spans="1:31" x14ac:dyDescent="0.8">
      <c r="A48" s="18"/>
      <c r="B48" s="18"/>
      <c r="C48" s="18"/>
      <c r="D48" s="18"/>
      <c r="E48" s="18"/>
      <c r="F48" s="18"/>
      <c r="G48" s="18"/>
      <c r="H48" s="18"/>
      <c r="I48" s="18"/>
      <c r="J48" s="74"/>
      <c r="K48" s="48"/>
      <c r="L48" s="48"/>
      <c r="M48" s="48"/>
      <c r="N48" s="54"/>
      <c r="O48" s="48"/>
      <c r="P48" s="56"/>
      <c r="R48" s="48"/>
      <c r="S48" s="48"/>
      <c r="T48" s="48"/>
      <c r="U48" s="54"/>
      <c r="V48" s="48"/>
      <c r="W48" s="52"/>
      <c r="X48" s="48"/>
      <c r="Y48" s="48"/>
    </row>
    <row r="49" spans="1:25" x14ac:dyDescent="0.8">
      <c r="A49" s="18"/>
      <c r="B49" s="18"/>
      <c r="C49" s="18"/>
      <c r="D49" s="18"/>
      <c r="E49" s="18"/>
      <c r="F49" s="18"/>
      <c r="G49" s="18"/>
      <c r="H49" s="18"/>
      <c r="I49" s="18"/>
      <c r="J49" s="74"/>
      <c r="K49" s="48"/>
      <c r="L49" s="48"/>
      <c r="M49" s="48"/>
      <c r="N49" s="54"/>
      <c r="O49" s="48"/>
      <c r="P49" s="56"/>
      <c r="R49" s="48"/>
      <c r="S49" s="48"/>
      <c r="T49" s="48"/>
      <c r="U49" s="54"/>
      <c r="V49" s="48"/>
      <c r="W49" s="52"/>
      <c r="X49" s="48"/>
      <c r="Y49" s="48"/>
    </row>
    <row r="50" spans="1:25" x14ac:dyDescent="0.8">
      <c r="A50" s="18"/>
      <c r="B50" s="18"/>
      <c r="C50" s="18"/>
      <c r="D50" s="18"/>
      <c r="E50" s="18"/>
      <c r="F50" s="18"/>
      <c r="G50" s="18"/>
      <c r="H50" s="18"/>
      <c r="I50" s="18"/>
      <c r="J50" s="74"/>
      <c r="K50" s="48"/>
      <c r="L50" s="48"/>
      <c r="M50" s="48"/>
      <c r="N50" s="54"/>
      <c r="O50" s="48"/>
      <c r="P50" s="56"/>
      <c r="R50" s="48"/>
      <c r="S50" s="48"/>
      <c r="T50" s="48"/>
      <c r="U50" s="54"/>
      <c r="V50" s="48"/>
      <c r="W50" s="52"/>
      <c r="X50" s="48"/>
      <c r="Y50" s="48"/>
    </row>
    <row r="51" spans="1:25" x14ac:dyDescent="0.8">
      <c r="A51" s="18"/>
      <c r="B51" s="18"/>
      <c r="C51" s="18"/>
      <c r="D51" s="18"/>
      <c r="E51" s="18"/>
      <c r="F51" s="18"/>
      <c r="G51" s="18"/>
      <c r="H51" s="18"/>
      <c r="I51" s="18"/>
      <c r="J51" s="74"/>
      <c r="K51" s="48"/>
      <c r="L51" s="48"/>
      <c r="M51" s="48"/>
      <c r="N51" s="54"/>
      <c r="O51" s="48"/>
      <c r="P51" s="56"/>
      <c r="R51" s="48"/>
      <c r="S51" s="48"/>
      <c r="T51" s="48"/>
      <c r="U51" s="54"/>
      <c r="V51" s="48"/>
      <c r="W51" s="52"/>
      <c r="X51" s="48"/>
      <c r="Y51" s="48"/>
    </row>
    <row r="52" spans="1:25" x14ac:dyDescent="0.8">
      <c r="A52" s="18"/>
      <c r="B52" s="18"/>
      <c r="C52" s="18"/>
      <c r="D52" s="18"/>
      <c r="E52" s="18"/>
      <c r="F52" s="18"/>
      <c r="G52" s="18"/>
      <c r="H52" s="18"/>
      <c r="I52" s="18"/>
      <c r="J52" s="74"/>
      <c r="K52" s="48"/>
      <c r="L52" s="48"/>
      <c r="M52" s="48"/>
      <c r="N52" s="54"/>
      <c r="O52" s="48"/>
      <c r="P52" s="56"/>
      <c r="R52" s="48"/>
      <c r="S52" s="48"/>
      <c r="T52" s="48"/>
      <c r="U52" s="54"/>
      <c r="V52" s="48"/>
      <c r="W52" s="52"/>
      <c r="X52" s="48"/>
      <c r="Y52" s="48"/>
    </row>
    <row r="53" spans="1:25" x14ac:dyDescent="0.8">
      <c r="A53" s="18"/>
      <c r="B53" s="18"/>
      <c r="C53" s="18"/>
      <c r="D53" s="18"/>
      <c r="E53" s="18"/>
      <c r="F53" s="18"/>
      <c r="G53" s="18"/>
      <c r="H53" s="18"/>
      <c r="I53" s="18"/>
      <c r="J53" s="74"/>
      <c r="K53" s="48"/>
      <c r="L53" s="48"/>
      <c r="M53" s="48"/>
      <c r="N53" s="54"/>
      <c r="O53" s="48"/>
      <c r="P53" s="56"/>
      <c r="R53" s="48"/>
      <c r="S53" s="48"/>
      <c r="T53" s="48"/>
      <c r="U53" s="54"/>
      <c r="V53" s="48"/>
      <c r="W53" s="52"/>
      <c r="X53" s="48"/>
      <c r="Y53" s="48"/>
    </row>
    <row r="54" spans="1:25" x14ac:dyDescent="0.8">
      <c r="A54" s="18"/>
      <c r="B54" s="18"/>
      <c r="C54" s="18"/>
      <c r="D54" s="18"/>
      <c r="E54" s="18"/>
      <c r="F54" s="18"/>
      <c r="G54" s="18"/>
      <c r="H54" s="18"/>
      <c r="I54" s="18"/>
      <c r="J54" s="74"/>
      <c r="K54" s="48"/>
      <c r="L54" s="48"/>
      <c r="M54" s="48"/>
      <c r="N54" s="54"/>
      <c r="O54" s="48"/>
      <c r="P54" s="56"/>
      <c r="R54" s="48"/>
      <c r="S54" s="48"/>
      <c r="T54" s="48"/>
      <c r="U54" s="54"/>
      <c r="V54" s="48"/>
      <c r="W54" s="52"/>
      <c r="X54" s="48"/>
      <c r="Y54" s="48"/>
    </row>
    <row r="55" spans="1:25" x14ac:dyDescent="0.8">
      <c r="A55" s="18"/>
      <c r="B55" s="18"/>
      <c r="C55" s="18"/>
      <c r="D55" s="18"/>
      <c r="E55" s="18"/>
      <c r="F55" s="18"/>
      <c r="G55" s="18"/>
      <c r="H55" s="18"/>
      <c r="I55" s="18"/>
      <c r="J55" s="74"/>
      <c r="K55" s="48"/>
      <c r="L55" s="48"/>
      <c r="M55" s="48"/>
      <c r="N55" s="54"/>
      <c r="O55" s="48"/>
      <c r="P55" s="56"/>
      <c r="R55" s="48"/>
      <c r="S55" s="48"/>
      <c r="T55" s="48"/>
      <c r="U55" s="54"/>
      <c r="V55" s="48"/>
      <c r="W55" s="52"/>
      <c r="X55" s="48"/>
      <c r="Y55" s="48"/>
    </row>
    <row r="56" spans="1:25" x14ac:dyDescent="0.8">
      <c r="A56" s="18"/>
      <c r="B56" s="18"/>
      <c r="C56" s="18"/>
      <c r="D56" s="18"/>
      <c r="E56" s="18"/>
      <c r="F56" s="18"/>
      <c r="G56" s="18"/>
      <c r="H56" s="18"/>
      <c r="I56" s="18"/>
      <c r="J56" s="74"/>
      <c r="K56" s="48"/>
      <c r="L56" s="48"/>
      <c r="M56" s="48"/>
      <c r="N56" s="54"/>
      <c r="O56" s="48"/>
      <c r="P56" s="56"/>
      <c r="R56" s="48"/>
      <c r="S56" s="48"/>
      <c r="T56" s="48"/>
      <c r="U56" s="54"/>
      <c r="V56" s="48"/>
      <c r="W56" s="52"/>
      <c r="X56" s="48"/>
      <c r="Y56" s="48"/>
    </row>
    <row r="57" spans="1:25" x14ac:dyDescent="0.8">
      <c r="A57" s="18"/>
      <c r="B57" s="18"/>
      <c r="C57" s="18"/>
      <c r="D57" s="18"/>
      <c r="E57" s="18"/>
      <c r="F57" s="18"/>
      <c r="G57" s="18"/>
      <c r="H57" s="18"/>
      <c r="I57" s="18"/>
      <c r="J57" s="74"/>
      <c r="K57" s="48"/>
      <c r="L57" s="48"/>
      <c r="M57" s="48"/>
      <c r="N57" s="54"/>
      <c r="O57" s="48"/>
      <c r="P57" s="56"/>
      <c r="R57" s="48"/>
      <c r="S57" s="48"/>
      <c r="T57" s="48"/>
      <c r="U57" s="54"/>
      <c r="V57" s="48"/>
      <c r="W57" s="52"/>
      <c r="X57" s="48"/>
      <c r="Y57" s="48"/>
    </row>
    <row r="58" spans="1:25" x14ac:dyDescent="0.8">
      <c r="A58" s="18"/>
      <c r="B58" s="18"/>
      <c r="C58" s="18"/>
      <c r="D58" s="18"/>
      <c r="E58" s="18"/>
      <c r="F58" s="18"/>
      <c r="G58" s="18"/>
      <c r="H58" s="18"/>
      <c r="I58" s="18"/>
      <c r="J58" s="74"/>
      <c r="K58" s="48"/>
      <c r="L58" s="48"/>
      <c r="M58" s="48"/>
      <c r="N58" s="54"/>
      <c r="O58" s="48"/>
      <c r="P58" s="56"/>
      <c r="R58" s="48"/>
      <c r="S58" s="48"/>
      <c r="T58" s="48"/>
      <c r="U58" s="54"/>
      <c r="V58" s="48"/>
      <c r="W58" s="52"/>
      <c r="X58" s="48"/>
      <c r="Y58" s="48"/>
    </row>
    <row r="59" spans="1:25" x14ac:dyDescent="0.8">
      <c r="A59" s="18"/>
      <c r="B59" s="18"/>
      <c r="C59" s="18"/>
      <c r="D59" s="18"/>
      <c r="E59" s="18"/>
      <c r="F59" s="18"/>
      <c r="G59" s="18"/>
      <c r="H59" s="18"/>
      <c r="I59" s="18"/>
      <c r="J59" s="74"/>
      <c r="K59" s="48"/>
      <c r="L59" s="48"/>
      <c r="M59" s="48"/>
      <c r="N59" s="54"/>
      <c r="O59" s="48"/>
      <c r="P59" s="56"/>
      <c r="R59" s="48"/>
      <c r="S59" s="48"/>
      <c r="T59" s="48"/>
      <c r="U59" s="54"/>
      <c r="V59" s="48"/>
      <c r="W59" s="52"/>
      <c r="X59" s="48"/>
      <c r="Y59" s="48"/>
    </row>
    <row r="60" spans="1:25" x14ac:dyDescent="0.8">
      <c r="A60" s="18"/>
      <c r="B60" s="18"/>
      <c r="C60" s="18"/>
      <c r="D60" s="18"/>
      <c r="E60" s="18"/>
      <c r="F60" s="18"/>
      <c r="G60" s="18"/>
      <c r="H60" s="18"/>
      <c r="I60" s="18"/>
      <c r="J60" s="74"/>
      <c r="K60" s="48"/>
      <c r="L60" s="48"/>
      <c r="M60" s="48"/>
      <c r="N60" s="54"/>
      <c r="O60" s="48"/>
      <c r="P60" s="56"/>
      <c r="R60" s="48"/>
      <c r="S60" s="48"/>
      <c r="T60" s="48"/>
      <c r="U60" s="54"/>
      <c r="V60" s="48"/>
      <c r="W60" s="52"/>
      <c r="X60" s="48"/>
      <c r="Y60" s="48"/>
    </row>
    <row r="61" spans="1:25" x14ac:dyDescent="0.8">
      <c r="A61" s="18"/>
      <c r="B61" s="18"/>
      <c r="C61" s="18"/>
      <c r="D61" s="18"/>
      <c r="E61" s="18"/>
      <c r="F61" s="18"/>
      <c r="G61" s="18"/>
      <c r="H61" s="18"/>
      <c r="I61" s="18"/>
      <c r="J61" s="74"/>
      <c r="K61" s="48"/>
      <c r="L61" s="48"/>
      <c r="M61" s="48"/>
      <c r="N61" s="54"/>
      <c r="O61" s="48"/>
      <c r="P61" s="56"/>
      <c r="R61" s="48"/>
      <c r="S61" s="48"/>
      <c r="T61" s="48"/>
      <c r="U61" s="54"/>
      <c r="V61" s="48"/>
      <c r="W61" s="52"/>
      <c r="X61" s="48"/>
      <c r="Y61" s="48"/>
    </row>
    <row r="62" spans="1:25" x14ac:dyDescent="0.8">
      <c r="A62" s="18"/>
      <c r="B62" s="18"/>
      <c r="C62" s="18"/>
      <c r="D62" s="18"/>
      <c r="E62" s="18"/>
      <c r="F62" s="18"/>
      <c r="G62" s="18"/>
      <c r="H62" s="18"/>
      <c r="I62" s="18"/>
      <c r="J62" s="74"/>
      <c r="K62" s="48"/>
      <c r="L62" s="48"/>
      <c r="M62" s="48"/>
      <c r="N62" s="54"/>
      <c r="O62" s="48"/>
      <c r="P62" s="56"/>
      <c r="R62" s="48"/>
      <c r="S62" s="48"/>
      <c r="T62" s="48"/>
      <c r="U62" s="54"/>
      <c r="V62" s="48"/>
      <c r="W62" s="52"/>
      <c r="X62" s="48"/>
      <c r="Y62" s="48"/>
    </row>
    <row r="63" spans="1:25" x14ac:dyDescent="0.8">
      <c r="A63" s="18"/>
      <c r="B63" s="18"/>
      <c r="C63" s="18"/>
      <c r="D63" s="18"/>
      <c r="E63" s="18"/>
      <c r="F63" s="18"/>
      <c r="G63" s="18"/>
      <c r="H63" s="18"/>
      <c r="I63" s="18"/>
      <c r="J63" s="74"/>
      <c r="K63" s="48"/>
      <c r="L63" s="48"/>
      <c r="M63" s="48"/>
      <c r="N63" s="54"/>
      <c r="O63" s="48"/>
      <c r="P63" s="56"/>
      <c r="R63" s="48"/>
      <c r="S63" s="48"/>
      <c r="T63" s="48"/>
      <c r="U63" s="54"/>
      <c r="V63" s="48"/>
      <c r="W63" s="52"/>
      <c r="X63" s="48"/>
      <c r="Y63" s="48"/>
    </row>
    <row r="64" spans="1:25" x14ac:dyDescent="0.8">
      <c r="A64" s="18"/>
      <c r="B64" s="18"/>
      <c r="C64" s="18"/>
      <c r="D64" s="18"/>
      <c r="E64" s="18"/>
      <c r="F64" s="18"/>
      <c r="G64" s="18"/>
      <c r="H64" s="18"/>
      <c r="I64" s="18"/>
      <c r="J64" s="74"/>
      <c r="K64" s="48"/>
      <c r="L64" s="48"/>
      <c r="M64" s="48"/>
      <c r="N64" s="54"/>
      <c r="O64" s="48"/>
      <c r="P64" s="56"/>
      <c r="R64" s="48"/>
      <c r="S64" s="48"/>
      <c r="T64" s="48"/>
      <c r="U64" s="54"/>
      <c r="V64" s="48"/>
      <c r="W64" s="52"/>
      <c r="X64" s="48"/>
      <c r="Y64" s="48"/>
    </row>
    <row r="65" spans="1:25" x14ac:dyDescent="0.8">
      <c r="A65" s="18"/>
      <c r="B65" s="18"/>
      <c r="C65" s="18"/>
      <c r="D65" s="18"/>
      <c r="E65" s="18"/>
      <c r="F65" s="18"/>
      <c r="G65" s="18"/>
      <c r="H65" s="18"/>
      <c r="I65" s="18"/>
      <c r="J65" s="74"/>
      <c r="K65" s="48"/>
      <c r="L65" s="48"/>
      <c r="M65" s="48"/>
      <c r="N65" s="54"/>
      <c r="O65" s="48"/>
      <c r="P65" s="56"/>
      <c r="R65" s="48"/>
      <c r="S65" s="48"/>
      <c r="T65" s="48"/>
      <c r="U65" s="54"/>
      <c r="V65" s="48"/>
      <c r="W65" s="52"/>
      <c r="X65" s="48"/>
      <c r="Y65" s="48"/>
    </row>
    <row r="66" spans="1:25" x14ac:dyDescent="0.8">
      <c r="A66" s="18"/>
      <c r="B66" s="18"/>
      <c r="C66" s="18"/>
      <c r="D66" s="18"/>
      <c r="E66" s="18"/>
      <c r="F66" s="18"/>
      <c r="G66" s="18"/>
      <c r="H66" s="18"/>
      <c r="I66" s="18"/>
      <c r="J66" s="74"/>
      <c r="K66" s="48"/>
      <c r="L66" s="48"/>
      <c r="M66" s="48"/>
      <c r="N66" s="54"/>
      <c r="O66" s="48"/>
      <c r="P66" s="56"/>
      <c r="R66" s="48"/>
      <c r="S66" s="48"/>
      <c r="T66" s="48"/>
      <c r="U66" s="54"/>
      <c r="V66" s="48"/>
      <c r="W66" s="52"/>
      <c r="X66" s="48"/>
      <c r="Y66" s="48"/>
    </row>
    <row r="67" spans="1:25" x14ac:dyDescent="0.8">
      <c r="A67" s="18"/>
      <c r="B67" s="18"/>
      <c r="C67" s="18"/>
      <c r="D67" s="18"/>
      <c r="E67" s="18"/>
      <c r="F67" s="18"/>
      <c r="G67" s="18"/>
      <c r="H67" s="18"/>
      <c r="I67" s="18"/>
      <c r="J67" s="74"/>
      <c r="K67" s="48"/>
      <c r="L67" s="48"/>
      <c r="M67" s="48"/>
      <c r="N67" s="54"/>
      <c r="O67" s="48"/>
      <c r="P67" s="56"/>
      <c r="R67" s="48"/>
      <c r="S67" s="48"/>
      <c r="T67" s="48"/>
      <c r="U67" s="54"/>
      <c r="V67" s="48"/>
      <c r="W67" s="52"/>
      <c r="X67" s="48"/>
      <c r="Y67" s="48"/>
    </row>
    <row r="68" spans="1:25" x14ac:dyDescent="0.8">
      <c r="A68" s="18"/>
      <c r="B68" s="18"/>
      <c r="C68" s="18"/>
      <c r="D68" s="18"/>
      <c r="E68" s="18"/>
      <c r="F68" s="18"/>
      <c r="G68" s="18"/>
      <c r="H68" s="18"/>
      <c r="I68" s="18"/>
      <c r="J68" s="74"/>
      <c r="K68" s="48"/>
      <c r="L68" s="48"/>
      <c r="M68" s="48"/>
      <c r="N68" s="54"/>
      <c r="O68" s="48"/>
      <c r="P68" s="56"/>
      <c r="R68" s="48"/>
      <c r="S68" s="48"/>
      <c r="T68" s="48"/>
      <c r="U68" s="54"/>
      <c r="V68" s="48"/>
      <c r="W68" s="52"/>
      <c r="X68" s="48"/>
      <c r="Y68" s="48"/>
    </row>
    <row r="69" spans="1:25" x14ac:dyDescent="0.8">
      <c r="A69" s="18"/>
      <c r="B69" s="18"/>
      <c r="C69" s="18"/>
      <c r="D69" s="18"/>
      <c r="E69" s="18"/>
      <c r="F69" s="18"/>
      <c r="G69" s="18"/>
      <c r="H69" s="18"/>
      <c r="I69" s="18"/>
      <c r="J69" s="74"/>
      <c r="K69" s="48"/>
      <c r="L69" s="48"/>
      <c r="M69" s="48"/>
      <c r="N69" s="54"/>
      <c r="O69" s="48"/>
      <c r="P69" s="56"/>
      <c r="R69" s="48"/>
      <c r="S69" s="48"/>
      <c r="T69" s="48"/>
      <c r="U69" s="54"/>
      <c r="V69" s="48"/>
      <c r="W69" s="52"/>
      <c r="X69" s="48"/>
      <c r="Y69" s="48"/>
    </row>
    <row r="70" spans="1:25" x14ac:dyDescent="0.8">
      <c r="A70" s="18"/>
      <c r="B70" s="18"/>
      <c r="C70" s="18"/>
      <c r="D70" s="18"/>
      <c r="E70" s="18"/>
      <c r="F70" s="18"/>
      <c r="G70" s="18"/>
      <c r="H70" s="18"/>
      <c r="I70" s="18"/>
      <c r="J70" s="74"/>
      <c r="K70" s="48"/>
      <c r="L70" s="48"/>
      <c r="M70" s="48"/>
      <c r="N70" s="54"/>
      <c r="O70" s="48"/>
      <c r="P70" s="56"/>
      <c r="R70" s="48"/>
      <c r="S70" s="48"/>
      <c r="T70" s="48"/>
      <c r="U70" s="54"/>
      <c r="V70" s="48"/>
      <c r="W70" s="52"/>
      <c r="X70" s="48"/>
      <c r="Y70" s="48"/>
    </row>
    <row r="71" spans="1:25" x14ac:dyDescent="0.8">
      <c r="A71" s="18"/>
      <c r="B71" s="18"/>
      <c r="C71" s="18"/>
      <c r="D71" s="18"/>
      <c r="E71" s="18"/>
      <c r="F71" s="18"/>
      <c r="G71" s="18"/>
      <c r="H71" s="18"/>
      <c r="I71" s="18"/>
      <c r="J71" s="74"/>
      <c r="K71" s="48"/>
      <c r="L71" s="48"/>
      <c r="M71" s="48"/>
      <c r="N71" s="54"/>
      <c r="O71" s="48"/>
      <c r="P71" s="56"/>
      <c r="R71" s="48"/>
      <c r="S71" s="48"/>
      <c r="T71" s="48"/>
      <c r="U71" s="54"/>
      <c r="V71" s="48"/>
      <c r="W71" s="52"/>
      <c r="X71" s="48"/>
      <c r="Y71" s="48"/>
    </row>
    <row r="72" spans="1:25" x14ac:dyDescent="0.8">
      <c r="A72" s="18"/>
      <c r="B72" s="18"/>
      <c r="C72" s="18"/>
      <c r="D72" s="18"/>
      <c r="E72" s="18"/>
      <c r="F72" s="18"/>
      <c r="G72" s="18"/>
      <c r="H72" s="18"/>
      <c r="I72" s="18"/>
      <c r="J72" s="74"/>
      <c r="K72" s="48"/>
      <c r="L72" s="48"/>
      <c r="M72" s="48"/>
      <c r="N72" s="54"/>
      <c r="O72" s="48"/>
      <c r="P72" s="56"/>
      <c r="R72" s="48"/>
      <c r="S72" s="48"/>
      <c r="T72" s="48"/>
      <c r="U72" s="54"/>
      <c r="V72" s="48"/>
      <c r="W72" s="52"/>
      <c r="X72" s="48"/>
      <c r="Y72" s="48"/>
    </row>
    <row r="73" spans="1:25" x14ac:dyDescent="0.8">
      <c r="A73" s="18"/>
      <c r="B73" s="18"/>
      <c r="C73" s="18"/>
      <c r="D73" s="18"/>
      <c r="E73" s="18"/>
      <c r="F73" s="18"/>
      <c r="G73" s="18"/>
      <c r="H73" s="18"/>
      <c r="I73" s="18"/>
      <c r="J73" s="74"/>
      <c r="K73" s="48"/>
      <c r="L73" s="48"/>
      <c r="M73" s="48"/>
      <c r="N73" s="54"/>
      <c r="O73" s="48"/>
      <c r="P73" s="56"/>
      <c r="R73" s="48"/>
      <c r="S73" s="48"/>
      <c r="T73" s="48"/>
      <c r="U73" s="54"/>
      <c r="V73" s="48"/>
      <c r="W73" s="52"/>
      <c r="X73" s="48"/>
      <c r="Y73" s="48"/>
    </row>
    <row r="74" spans="1:25" x14ac:dyDescent="0.8">
      <c r="A74" s="18"/>
      <c r="B74" s="18"/>
      <c r="C74" s="18"/>
      <c r="D74" s="18"/>
      <c r="E74" s="18"/>
      <c r="F74" s="18"/>
      <c r="G74" s="18"/>
      <c r="H74" s="18"/>
      <c r="I74" s="18"/>
      <c r="J74" s="74"/>
      <c r="K74" s="48"/>
      <c r="L74" s="48"/>
      <c r="M74" s="48"/>
      <c r="N74" s="54"/>
      <c r="O74" s="48"/>
      <c r="P74" s="56"/>
      <c r="R74" s="48"/>
      <c r="S74" s="48"/>
      <c r="T74" s="48"/>
      <c r="U74" s="54"/>
      <c r="V74" s="48"/>
      <c r="W74" s="52"/>
      <c r="X74" s="48"/>
      <c r="Y74" s="48"/>
    </row>
    <row r="75" spans="1:25" x14ac:dyDescent="0.8">
      <c r="A75" s="18"/>
      <c r="B75" s="18"/>
      <c r="C75" s="18"/>
      <c r="D75" s="18"/>
      <c r="E75" s="18"/>
      <c r="F75" s="18"/>
      <c r="G75" s="18"/>
      <c r="H75" s="18"/>
      <c r="I75" s="18"/>
      <c r="J75" s="74"/>
      <c r="K75" s="48"/>
      <c r="L75" s="48"/>
      <c r="M75" s="48"/>
      <c r="N75" s="54"/>
      <c r="O75" s="48"/>
      <c r="P75" s="56"/>
      <c r="R75" s="48"/>
      <c r="S75" s="48"/>
      <c r="T75" s="48"/>
      <c r="U75" s="54"/>
      <c r="V75" s="48"/>
      <c r="W75" s="52"/>
      <c r="X75" s="48"/>
      <c r="Y75" s="48"/>
    </row>
    <row r="76" spans="1:25" x14ac:dyDescent="0.8">
      <c r="A76" s="18"/>
      <c r="B76" s="18"/>
      <c r="C76" s="18"/>
      <c r="D76" s="18"/>
      <c r="E76" s="18"/>
      <c r="F76" s="18"/>
      <c r="G76" s="18"/>
      <c r="H76" s="18"/>
      <c r="I76" s="18"/>
      <c r="J76" s="74"/>
      <c r="K76" s="48"/>
      <c r="L76" s="48"/>
      <c r="M76" s="48"/>
      <c r="N76" s="54"/>
      <c r="O76" s="48"/>
      <c r="P76" s="56"/>
      <c r="R76" s="48"/>
      <c r="S76" s="48"/>
      <c r="T76" s="48"/>
      <c r="U76" s="54"/>
      <c r="V76" s="48"/>
      <c r="W76" s="52"/>
      <c r="X76" s="48"/>
      <c r="Y76" s="48"/>
    </row>
    <row r="77" spans="1:25" x14ac:dyDescent="0.8">
      <c r="A77" s="18"/>
      <c r="B77" s="18"/>
      <c r="C77" s="18"/>
      <c r="D77" s="18"/>
      <c r="E77" s="18"/>
      <c r="F77" s="18"/>
      <c r="G77" s="18"/>
      <c r="H77" s="18"/>
      <c r="I77" s="18"/>
      <c r="J77" s="74"/>
      <c r="K77" s="48"/>
      <c r="L77" s="48"/>
      <c r="M77" s="48"/>
      <c r="N77" s="54"/>
      <c r="O77" s="48"/>
      <c r="P77" s="56"/>
      <c r="R77" s="48"/>
      <c r="S77" s="48"/>
      <c r="T77" s="48"/>
      <c r="U77" s="54"/>
      <c r="V77" s="48"/>
      <c r="W77" s="52"/>
      <c r="X77" s="48"/>
      <c r="Y77" s="48"/>
    </row>
    <row r="78" spans="1:25" x14ac:dyDescent="0.8">
      <c r="A78" s="18"/>
      <c r="B78" s="18"/>
      <c r="C78" s="18"/>
      <c r="D78" s="18"/>
      <c r="E78" s="18"/>
      <c r="F78" s="18"/>
      <c r="G78" s="18"/>
      <c r="H78" s="18"/>
      <c r="I78" s="18"/>
      <c r="J78" s="74"/>
      <c r="K78" s="48"/>
      <c r="L78" s="48"/>
      <c r="M78" s="48"/>
      <c r="N78" s="54"/>
      <c r="O78" s="48"/>
      <c r="P78" s="56"/>
      <c r="R78" s="48"/>
      <c r="S78" s="48"/>
      <c r="T78" s="48"/>
      <c r="U78" s="54"/>
      <c r="V78" s="48"/>
      <c r="W78" s="52"/>
      <c r="X78" s="48"/>
      <c r="Y78" s="48"/>
    </row>
    <row r="79" spans="1:25" x14ac:dyDescent="0.8">
      <c r="A79" s="18"/>
      <c r="B79" s="18"/>
      <c r="C79" s="18"/>
      <c r="D79" s="18"/>
      <c r="E79" s="18"/>
      <c r="F79" s="18"/>
      <c r="G79" s="18"/>
      <c r="H79" s="18"/>
      <c r="I79" s="18"/>
      <c r="J79" s="74"/>
      <c r="K79" s="48"/>
      <c r="L79" s="48"/>
      <c r="M79" s="48"/>
      <c r="N79" s="54"/>
      <c r="O79" s="48"/>
      <c r="P79" s="56"/>
      <c r="R79" s="48"/>
      <c r="S79" s="48"/>
      <c r="T79" s="48"/>
      <c r="U79" s="54"/>
      <c r="V79" s="48"/>
      <c r="W79" s="52"/>
      <c r="X79" s="48"/>
      <c r="Y79" s="48"/>
    </row>
    <row r="80" spans="1:25" x14ac:dyDescent="0.8">
      <c r="A80" s="18"/>
      <c r="B80" s="18"/>
      <c r="C80" s="18"/>
      <c r="D80" s="18"/>
      <c r="E80" s="18"/>
      <c r="F80" s="18"/>
      <c r="G80" s="18"/>
      <c r="H80" s="18"/>
      <c r="I80" s="18"/>
      <c r="J80" s="74"/>
      <c r="K80" s="48"/>
      <c r="L80" s="48"/>
      <c r="M80" s="48"/>
      <c r="N80" s="54"/>
      <c r="O80" s="48"/>
      <c r="P80" s="56"/>
      <c r="R80" s="48"/>
      <c r="S80" s="48"/>
      <c r="T80" s="48"/>
      <c r="U80" s="54"/>
      <c r="V80" s="48"/>
      <c r="W80" s="52"/>
      <c r="X80" s="48"/>
      <c r="Y80" s="48"/>
    </row>
    <row r="81" spans="1:25" x14ac:dyDescent="0.8">
      <c r="A81" s="18"/>
      <c r="B81" s="18"/>
      <c r="C81" s="18"/>
      <c r="D81" s="18"/>
      <c r="E81" s="18"/>
      <c r="F81" s="18"/>
      <c r="G81" s="18"/>
      <c r="H81" s="18"/>
      <c r="I81" s="18"/>
      <c r="J81" s="74"/>
      <c r="K81" s="48"/>
      <c r="L81" s="48"/>
      <c r="M81" s="48"/>
      <c r="N81" s="54"/>
      <c r="O81" s="48"/>
      <c r="P81" s="56"/>
      <c r="R81" s="48"/>
      <c r="S81" s="48"/>
      <c r="T81" s="48"/>
      <c r="U81" s="54"/>
      <c r="V81" s="48"/>
      <c r="W81" s="52"/>
      <c r="X81" s="48"/>
      <c r="Y81" s="48"/>
    </row>
    <row r="82" spans="1:25" x14ac:dyDescent="0.8">
      <c r="A82" s="18"/>
      <c r="B82" s="18"/>
      <c r="C82" s="18"/>
      <c r="D82" s="18"/>
      <c r="E82" s="18"/>
      <c r="F82" s="18"/>
      <c r="G82" s="18"/>
      <c r="H82" s="18"/>
      <c r="I82" s="18"/>
      <c r="J82" s="74"/>
      <c r="K82" s="48"/>
      <c r="L82" s="48"/>
      <c r="M82" s="48"/>
      <c r="N82" s="54"/>
      <c r="O82" s="48"/>
      <c r="P82" s="56"/>
      <c r="R82" s="48"/>
      <c r="S82" s="48"/>
      <c r="T82" s="48"/>
      <c r="U82" s="54"/>
      <c r="V82" s="48"/>
      <c r="W82" s="52"/>
      <c r="X82" s="48"/>
      <c r="Y82" s="48"/>
    </row>
    <row r="83" spans="1:25" x14ac:dyDescent="0.8">
      <c r="A83" s="18"/>
      <c r="B83" s="18"/>
      <c r="C83" s="18"/>
      <c r="D83" s="18"/>
      <c r="E83" s="18"/>
      <c r="F83" s="18"/>
      <c r="G83" s="18"/>
      <c r="H83" s="18"/>
      <c r="I83" s="18"/>
      <c r="J83" s="74"/>
      <c r="K83" s="48"/>
      <c r="L83" s="48"/>
      <c r="M83" s="48"/>
      <c r="N83" s="54"/>
      <c r="O83" s="48"/>
      <c r="P83" s="56"/>
      <c r="R83" s="48"/>
      <c r="S83" s="48"/>
      <c r="T83" s="48"/>
      <c r="U83" s="54"/>
      <c r="V83" s="48"/>
      <c r="W83" s="52"/>
      <c r="X83" s="48"/>
      <c r="Y83" s="48"/>
    </row>
    <row r="84" spans="1:25" x14ac:dyDescent="0.8">
      <c r="A84" s="18"/>
      <c r="B84" s="18"/>
      <c r="C84" s="18"/>
      <c r="D84" s="18"/>
      <c r="E84" s="18"/>
      <c r="F84" s="18"/>
      <c r="G84" s="18"/>
      <c r="H84" s="18"/>
      <c r="I84" s="18"/>
      <c r="J84" s="74"/>
      <c r="K84" s="48"/>
      <c r="L84" s="48"/>
      <c r="M84" s="48"/>
      <c r="N84" s="54"/>
      <c r="O84" s="48"/>
      <c r="P84" s="56"/>
      <c r="R84" s="48"/>
      <c r="S84" s="48"/>
      <c r="T84" s="48"/>
      <c r="U84" s="54"/>
      <c r="V84" s="48"/>
      <c r="W84" s="52"/>
      <c r="X84" s="48"/>
      <c r="Y84" s="48"/>
    </row>
    <row r="85" spans="1:25" x14ac:dyDescent="0.8">
      <c r="A85" s="18"/>
      <c r="B85" s="18"/>
      <c r="C85" s="18"/>
      <c r="D85" s="18"/>
      <c r="E85" s="18"/>
      <c r="F85" s="18"/>
      <c r="G85" s="18"/>
      <c r="H85" s="18"/>
      <c r="I85" s="18"/>
      <c r="J85" s="74"/>
      <c r="K85" s="48"/>
      <c r="L85" s="48"/>
      <c r="M85" s="48"/>
      <c r="N85" s="54"/>
      <c r="O85" s="48"/>
      <c r="P85" s="56"/>
      <c r="R85" s="48"/>
      <c r="S85" s="48"/>
      <c r="T85" s="48"/>
      <c r="U85" s="54"/>
      <c r="V85" s="48"/>
      <c r="W85" s="52"/>
      <c r="X85" s="48"/>
      <c r="Y85" s="48"/>
    </row>
    <row r="86" spans="1:25" x14ac:dyDescent="0.8">
      <c r="A86" s="18"/>
      <c r="B86" s="18"/>
      <c r="C86" s="18"/>
      <c r="D86" s="18"/>
      <c r="E86" s="18"/>
      <c r="F86" s="18"/>
      <c r="G86" s="18"/>
      <c r="H86" s="18"/>
      <c r="I86" s="18"/>
      <c r="J86" s="74"/>
      <c r="K86" s="48"/>
      <c r="L86" s="48"/>
      <c r="M86" s="48"/>
      <c r="N86" s="54"/>
      <c r="O86" s="48"/>
      <c r="P86" s="56"/>
      <c r="R86" s="48"/>
      <c r="S86" s="48"/>
      <c r="T86" s="48"/>
      <c r="U86" s="54"/>
      <c r="V86" s="48"/>
      <c r="W86" s="52"/>
      <c r="X86" s="48"/>
      <c r="Y86" s="48"/>
    </row>
    <row r="87" spans="1:25" x14ac:dyDescent="0.8">
      <c r="A87" s="18"/>
      <c r="B87" s="18"/>
      <c r="C87" s="18"/>
      <c r="D87" s="18"/>
      <c r="E87" s="18"/>
      <c r="F87" s="18"/>
      <c r="G87" s="18"/>
      <c r="H87" s="18"/>
      <c r="I87" s="18"/>
      <c r="J87" s="74"/>
      <c r="K87" s="48"/>
      <c r="L87" s="48"/>
      <c r="M87" s="48"/>
      <c r="N87" s="54"/>
      <c r="O87" s="48"/>
      <c r="P87" s="56"/>
      <c r="R87" s="48"/>
      <c r="S87" s="48"/>
      <c r="T87" s="48"/>
      <c r="U87" s="54"/>
      <c r="V87" s="48"/>
      <c r="W87" s="52"/>
      <c r="X87" s="48"/>
      <c r="Y87" s="48"/>
    </row>
    <row r="88" spans="1:25" x14ac:dyDescent="0.8">
      <c r="A88" s="18"/>
      <c r="B88" s="18"/>
      <c r="C88" s="18"/>
      <c r="D88" s="18"/>
      <c r="E88" s="18"/>
      <c r="F88" s="18"/>
      <c r="G88" s="18"/>
      <c r="H88" s="18"/>
      <c r="I88" s="18"/>
      <c r="J88" s="74"/>
      <c r="K88" s="48"/>
      <c r="L88" s="48"/>
      <c r="M88" s="48"/>
      <c r="N88" s="54"/>
      <c r="O88" s="48"/>
      <c r="P88" s="56"/>
      <c r="R88" s="48"/>
      <c r="S88" s="48"/>
      <c r="T88" s="48"/>
      <c r="U88" s="54"/>
      <c r="V88" s="48"/>
      <c r="W88" s="52"/>
      <c r="X88" s="48"/>
      <c r="Y88" s="48"/>
    </row>
    <row r="89" spans="1:25" x14ac:dyDescent="0.8">
      <c r="A89" s="18"/>
      <c r="B89" s="18"/>
      <c r="C89" s="18"/>
      <c r="D89" s="18"/>
      <c r="E89" s="18"/>
      <c r="F89" s="18"/>
      <c r="G89" s="18"/>
      <c r="H89" s="18"/>
      <c r="I89" s="18"/>
      <c r="J89" s="74"/>
      <c r="K89" s="48"/>
      <c r="L89" s="48"/>
      <c r="M89" s="48"/>
      <c r="N89" s="54"/>
      <c r="O89" s="48"/>
      <c r="P89" s="56"/>
      <c r="R89" s="48"/>
      <c r="S89" s="48"/>
      <c r="T89" s="48"/>
      <c r="U89" s="54"/>
      <c r="V89" s="48"/>
      <c r="W89" s="52"/>
      <c r="X89" s="48"/>
      <c r="Y89" s="48"/>
    </row>
    <row r="90" spans="1:25" x14ac:dyDescent="0.8">
      <c r="A90" s="18"/>
      <c r="B90" s="18"/>
      <c r="C90" s="18"/>
      <c r="D90" s="18"/>
      <c r="E90" s="18"/>
      <c r="F90" s="18"/>
      <c r="G90" s="18"/>
      <c r="H90" s="18"/>
      <c r="I90" s="18"/>
      <c r="J90" s="74"/>
      <c r="K90" s="48"/>
      <c r="L90" s="48"/>
      <c r="M90" s="48"/>
      <c r="N90" s="54"/>
      <c r="O90" s="48"/>
      <c r="P90" s="56"/>
      <c r="R90" s="48"/>
      <c r="S90" s="48"/>
      <c r="T90" s="48"/>
      <c r="U90" s="54"/>
      <c r="V90" s="48"/>
      <c r="W90" s="52"/>
      <c r="X90" s="48"/>
      <c r="Y90" s="48"/>
    </row>
    <row r="91" spans="1:25" x14ac:dyDescent="0.8">
      <c r="A91" s="18"/>
      <c r="B91" s="18"/>
      <c r="C91" s="18"/>
      <c r="D91" s="18"/>
      <c r="E91" s="18"/>
      <c r="F91" s="18"/>
      <c r="G91" s="18"/>
      <c r="H91" s="18"/>
      <c r="I91" s="18"/>
      <c r="J91" s="74"/>
      <c r="K91" s="48"/>
      <c r="L91" s="48"/>
      <c r="M91" s="48"/>
      <c r="N91" s="54"/>
      <c r="O91" s="48"/>
      <c r="P91" s="56"/>
      <c r="R91" s="48"/>
      <c r="S91" s="48"/>
      <c r="T91" s="48"/>
      <c r="U91" s="54"/>
      <c r="V91" s="48"/>
      <c r="W91" s="52"/>
      <c r="X91" s="48"/>
      <c r="Y91" s="48"/>
    </row>
    <row r="92" spans="1:25" x14ac:dyDescent="0.8">
      <c r="A92" s="18"/>
      <c r="B92" s="18"/>
      <c r="C92" s="18"/>
      <c r="D92" s="18"/>
      <c r="E92" s="18"/>
      <c r="F92" s="18"/>
      <c r="G92" s="18"/>
      <c r="H92" s="18"/>
      <c r="I92" s="18"/>
      <c r="J92" s="74"/>
      <c r="K92" s="48"/>
      <c r="L92" s="48"/>
      <c r="M92" s="48"/>
      <c r="N92" s="54"/>
      <c r="O92" s="48"/>
      <c r="P92" s="56"/>
      <c r="R92" s="48"/>
      <c r="S92" s="48"/>
      <c r="T92" s="48"/>
      <c r="U92" s="54"/>
      <c r="V92" s="48"/>
      <c r="W92" s="52"/>
      <c r="X92" s="48"/>
      <c r="Y92" s="48"/>
    </row>
    <row r="93" spans="1:25" x14ac:dyDescent="0.8">
      <c r="A93" s="18"/>
      <c r="B93" s="18"/>
      <c r="C93" s="18"/>
      <c r="D93" s="18"/>
      <c r="E93" s="18"/>
      <c r="F93" s="18"/>
      <c r="G93" s="18"/>
      <c r="H93" s="18"/>
      <c r="I93" s="18"/>
      <c r="J93" s="74"/>
      <c r="K93" s="48"/>
      <c r="L93" s="48"/>
      <c r="M93" s="48"/>
      <c r="N93" s="54"/>
      <c r="O93" s="48"/>
      <c r="P93" s="56"/>
      <c r="R93" s="48"/>
      <c r="S93" s="48"/>
      <c r="T93" s="48"/>
      <c r="U93" s="54"/>
      <c r="V93" s="48"/>
      <c r="W93" s="52"/>
      <c r="X93" s="48"/>
      <c r="Y93" s="48"/>
    </row>
    <row r="94" spans="1:25" x14ac:dyDescent="0.8">
      <c r="A94" s="18"/>
      <c r="B94" s="18"/>
      <c r="C94" s="18"/>
      <c r="D94" s="18"/>
      <c r="E94" s="18"/>
      <c r="F94" s="18"/>
      <c r="G94" s="18"/>
      <c r="H94" s="18"/>
      <c r="I94" s="18"/>
      <c r="J94" s="74"/>
      <c r="K94" s="48"/>
      <c r="L94" s="48"/>
      <c r="M94" s="48"/>
      <c r="N94" s="54"/>
      <c r="O94" s="48"/>
      <c r="P94" s="56"/>
      <c r="R94" s="48"/>
      <c r="S94" s="48"/>
      <c r="T94" s="48"/>
      <c r="U94" s="54"/>
      <c r="V94" s="48"/>
      <c r="W94" s="52"/>
      <c r="X94" s="48"/>
      <c r="Y94" s="48"/>
    </row>
    <row r="95" spans="1:25" x14ac:dyDescent="0.8">
      <c r="A95" s="18"/>
      <c r="B95" s="18"/>
      <c r="C95" s="18"/>
      <c r="D95" s="18"/>
      <c r="E95" s="18"/>
      <c r="F95" s="18"/>
      <c r="G95" s="18"/>
      <c r="H95" s="18"/>
      <c r="I95" s="18"/>
      <c r="J95" s="74"/>
      <c r="K95" s="48"/>
      <c r="L95" s="48"/>
      <c r="M95" s="48"/>
      <c r="N95" s="54"/>
      <c r="O95" s="48"/>
      <c r="P95" s="56"/>
      <c r="R95" s="48"/>
      <c r="S95" s="48"/>
      <c r="T95" s="48"/>
      <c r="U95" s="54"/>
      <c r="V95" s="48"/>
      <c r="W95" s="52"/>
      <c r="X95" s="48"/>
      <c r="Y95" s="48"/>
    </row>
    <row r="96" spans="1:25" x14ac:dyDescent="0.8">
      <c r="A96" s="18"/>
      <c r="B96" s="18"/>
      <c r="C96" s="18"/>
      <c r="D96" s="18"/>
      <c r="E96" s="18"/>
      <c r="F96" s="18"/>
      <c r="G96" s="18"/>
      <c r="H96" s="18"/>
      <c r="I96" s="18"/>
      <c r="J96" s="74"/>
      <c r="K96" s="48"/>
      <c r="L96" s="48"/>
      <c r="M96" s="48"/>
      <c r="N96" s="54"/>
      <c r="O96" s="48"/>
      <c r="P96" s="56"/>
      <c r="R96" s="48"/>
      <c r="S96" s="48"/>
      <c r="T96" s="48"/>
      <c r="U96" s="54"/>
      <c r="V96" s="48"/>
      <c r="W96" s="52"/>
      <c r="X96" s="48"/>
      <c r="Y96" s="48"/>
    </row>
    <row r="97" spans="1:25" x14ac:dyDescent="0.8">
      <c r="A97" s="18"/>
      <c r="B97" s="18"/>
      <c r="C97" s="18"/>
      <c r="D97" s="18"/>
      <c r="E97" s="18"/>
      <c r="F97" s="18"/>
      <c r="G97" s="18"/>
      <c r="H97" s="18"/>
      <c r="I97" s="18"/>
      <c r="J97" s="74"/>
      <c r="K97" s="48"/>
      <c r="L97" s="48"/>
      <c r="M97" s="48"/>
      <c r="N97" s="54"/>
      <c r="O97" s="48"/>
      <c r="P97" s="56"/>
      <c r="R97" s="48"/>
      <c r="S97" s="48"/>
      <c r="T97" s="48"/>
      <c r="U97" s="54"/>
      <c r="V97" s="48"/>
      <c r="W97" s="52"/>
      <c r="X97" s="48"/>
      <c r="Y97" s="48"/>
    </row>
    <row r="98" spans="1:25" x14ac:dyDescent="0.8">
      <c r="A98" s="18"/>
      <c r="B98" s="18"/>
      <c r="C98" s="18"/>
      <c r="D98" s="18"/>
      <c r="E98" s="18"/>
      <c r="F98" s="18"/>
      <c r="G98" s="18"/>
      <c r="H98" s="18"/>
      <c r="I98" s="18"/>
      <c r="J98" s="74"/>
      <c r="K98" s="48"/>
      <c r="L98" s="48"/>
      <c r="M98" s="48"/>
      <c r="N98" s="54"/>
      <c r="O98" s="48"/>
      <c r="P98" s="56"/>
      <c r="R98" s="48"/>
      <c r="S98" s="48"/>
      <c r="T98" s="48"/>
      <c r="U98" s="54"/>
      <c r="V98" s="48"/>
      <c r="W98" s="52"/>
      <c r="X98" s="48"/>
      <c r="Y98" s="48"/>
    </row>
    <row r="99" spans="1:25" x14ac:dyDescent="0.8">
      <c r="A99" s="18"/>
      <c r="B99" s="18"/>
      <c r="C99" s="18"/>
      <c r="D99" s="18"/>
      <c r="E99" s="18"/>
      <c r="F99" s="18"/>
      <c r="G99" s="18"/>
      <c r="H99" s="18"/>
      <c r="I99" s="18"/>
      <c r="J99" s="74"/>
      <c r="K99" s="48"/>
      <c r="L99" s="48"/>
      <c r="M99" s="48"/>
      <c r="N99" s="54"/>
      <c r="O99" s="48"/>
      <c r="P99" s="56"/>
      <c r="R99" s="48"/>
      <c r="S99" s="48"/>
      <c r="T99" s="48"/>
      <c r="U99" s="54"/>
      <c r="V99" s="48"/>
      <c r="W99" s="52"/>
      <c r="X99" s="48"/>
      <c r="Y99" s="48"/>
    </row>
    <row r="100" spans="1:25" x14ac:dyDescent="0.8">
      <c r="A100" s="18"/>
      <c r="B100" s="18"/>
      <c r="C100" s="18"/>
      <c r="D100" s="18"/>
      <c r="E100" s="18"/>
      <c r="F100" s="18"/>
      <c r="G100" s="18"/>
      <c r="H100" s="18"/>
      <c r="I100" s="18"/>
      <c r="J100" s="74"/>
      <c r="K100" s="48"/>
      <c r="L100" s="48"/>
      <c r="M100" s="48"/>
      <c r="N100" s="54"/>
      <c r="O100" s="48"/>
      <c r="P100" s="56"/>
      <c r="R100" s="48"/>
      <c r="S100" s="48"/>
      <c r="T100" s="48"/>
      <c r="U100" s="54"/>
      <c r="V100" s="48"/>
      <c r="W100" s="52"/>
      <c r="X100" s="48"/>
      <c r="Y100" s="48"/>
    </row>
    <row r="101" spans="1:25" x14ac:dyDescent="0.8">
      <c r="A101" s="18"/>
      <c r="B101" s="18"/>
      <c r="C101" s="18"/>
      <c r="D101" s="18"/>
      <c r="E101" s="18"/>
      <c r="F101" s="18"/>
      <c r="G101" s="18"/>
      <c r="H101" s="18"/>
      <c r="I101" s="18"/>
      <c r="J101" s="74"/>
      <c r="K101" s="48"/>
      <c r="L101" s="48"/>
      <c r="M101" s="48"/>
      <c r="N101" s="54"/>
      <c r="O101" s="48"/>
      <c r="P101" s="56"/>
      <c r="R101" s="48"/>
      <c r="S101" s="48"/>
      <c r="T101" s="48"/>
      <c r="U101" s="54"/>
      <c r="V101" s="48"/>
      <c r="W101" s="52"/>
      <c r="X101" s="48"/>
      <c r="Y101" s="48"/>
    </row>
    <row r="102" spans="1:25" x14ac:dyDescent="0.8">
      <c r="A102" s="18"/>
      <c r="B102" s="18"/>
      <c r="C102" s="18"/>
      <c r="D102" s="18"/>
      <c r="E102" s="18"/>
      <c r="F102" s="18"/>
      <c r="G102" s="18"/>
      <c r="H102" s="18"/>
      <c r="I102" s="18"/>
      <c r="J102" s="74"/>
      <c r="K102" s="48"/>
      <c r="L102" s="48"/>
      <c r="M102" s="48"/>
      <c r="N102" s="54"/>
      <c r="O102" s="48"/>
      <c r="P102" s="56"/>
      <c r="R102" s="48"/>
      <c r="S102" s="48"/>
      <c r="T102" s="48"/>
      <c r="U102" s="54"/>
      <c r="V102" s="48"/>
      <c r="W102" s="52"/>
      <c r="X102" s="48"/>
      <c r="Y102" s="48"/>
    </row>
    <row r="103" spans="1:25" x14ac:dyDescent="0.8">
      <c r="A103" s="18"/>
      <c r="B103" s="18"/>
      <c r="C103" s="18"/>
      <c r="D103" s="18"/>
      <c r="E103" s="18"/>
      <c r="F103" s="18"/>
      <c r="G103" s="18"/>
      <c r="H103" s="18"/>
      <c r="I103" s="18"/>
      <c r="J103" s="74"/>
      <c r="K103" s="48"/>
      <c r="L103" s="48"/>
      <c r="M103" s="48"/>
      <c r="N103" s="54"/>
      <c r="O103" s="48"/>
      <c r="P103" s="56"/>
      <c r="R103" s="48"/>
      <c r="S103" s="48"/>
      <c r="T103" s="48"/>
      <c r="U103" s="54"/>
      <c r="V103" s="48"/>
      <c r="W103" s="52"/>
      <c r="X103" s="48"/>
      <c r="Y103" s="48"/>
    </row>
    <row r="104" spans="1:25" x14ac:dyDescent="0.8">
      <c r="A104" s="18"/>
      <c r="B104" s="18"/>
      <c r="C104" s="18"/>
      <c r="D104" s="18"/>
      <c r="E104" s="18"/>
      <c r="F104" s="18"/>
      <c r="G104" s="18"/>
      <c r="H104" s="18"/>
      <c r="I104" s="18"/>
      <c r="J104" s="74"/>
      <c r="K104" s="48"/>
      <c r="L104" s="48"/>
      <c r="M104" s="48"/>
      <c r="N104" s="54"/>
      <c r="O104" s="48"/>
      <c r="P104" s="56"/>
      <c r="R104" s="48"/>
      <c r="S104" s="48"/>
      <c r="T104" s="48"/>
      <c r="U104" s="54"/>
      <c r="V104" s="48"/>
      <c r="W104" s="52"/>
      <c r="X104" s="48"/>
      <c r="Y104" s="48"/>
    </row>
    <row r="105" spans="1:25" x14ac:dyDescent="0.8">
      <c r="A105" s="18"/>
      <c r="B105" s="18"/>
      <c r="C105" s="18"/>
      <c r="D105" s="18"/>
      <c r="E105" s="18"/>
      <c r="F105" s="18"/>
      <c r="G105" s="18"/>
      <c r="H105" s="18"/>
      <c r="I105" s="18"/>
      <c r="J105" s="74"/>
      <c r="K105" s="48"/>
      <c r="L105" s="48"/>
      <c r="M105" s="48"/>
      <c r="N105" s="54"/>
      <c r="O105" s="48"/>
      <c r="P105" s="56"/>
      <c r="R105" s="48"/>
      <c r="S105" s="48"/>
      <c r="T105" s="48"/>
      <c r="U105" s="54"/>
      <c r="V105" s="48"/>
      <c r="W105" s="52"/>
      <c r="X105" s="48"/>
      <c r="Y105" s="48"/>
    </row>
    <row r="106" spans="1:25" x14ac:dyDescent="0.8">
      <c r="A106" s="18"/>
      <c r="B106" s="18"/>
      <c r="C106" s="18"/>
      <c r="D106" s="18"/>
      <c r="E106" s="18"/>
      <c r="F106" s="18"/>
      <c r="G106" s="18"/>
      <c r="H106" s="18"/>
      <c r="I106" s="18"/>
      <c r="J106" s="74"/>
      <c r="K106" s="48"/>
      <c r="L106" s="48"/>
      <c r="M106" s="48"/>
      <c r="N106" s="54"/>
      <c r="O106" s="48"/>
      <c r="P106" s="56"/>
      <c r="R106" s="48"/>
      <c r="S106" s="48"/>
      <c r="T106" s="48"/>
      <c r="U106" s="54"/>
      <c r="V106" s="48"/>
      <c r="W106" s="52"/>
      <c r="X106" s="48"/>
      <c r="Y106" s="48"/>
    </row>
    <row r="107" spans="1:25" x14ac:dyDescent="0.8">
      <c r="A107" s="18"/>
      <c r="B107" s="18"/>
      <c r="C107" s="18"/>
      <c r="D107" s="18"/>
      <c r="E107" s="18"/>
      <c r="F107" s="18"/>
      <c r="G107" s="18"/>
      <c r="H107" s="18"/>
      <c r="I107" s="18"/>
      <c r="J107" s="74"/>
      <c r="K107" s="48"/>
      <c r="L107" s="48"/>
      <c r="M107" s="48"/>
      <c r="N107" s="54"/>
      <c r="O107" s="48"/>
      <c r="P107" s="56"/>
      <c r="R107" s="48"/>
      <c r="S107" s="48"/>
      <c r="T107" s="48"/>
      <c r="U107" s="54"/>
      <c r="V107" s="48"/>
      <c r="W107" s="52"/>
      <c r="X107" s="48"/>
      <c r="Y107" s="48"/>
    </row>
    <row r="108" spans="1:25" x14ac:dyDescent="0.8">
      <c r="A108" s="18"/>
      <c r="B108" s="18"/>
      <c r="C108" s="18"/>
      <c r="D108" s="18"/>
      <c r="E108" s="18"/>
      <c r="F108" s="18"/>
      <c r="G108" s="18"/>
      <c r="H108" s="18"/>
      <c r="I108" s="18"/>
      <c r="J108" s="74"/>
      <c r="K108" s="48"/>
      <c r="L108" s="48"/>
      <c r="M108" s="48"/>
      <c r="N108" s="54"/>
      <c r="O108" s="48"/>
      <c r="P108" s="56"/>
      <c r="R108" s="48"/>
      <c r="S108" s="48"/>
      <c r="T108" s="48"/>
      <c r="U108" s="54"/>
      <c r="V108" s="48"/>
      <c r="W108" s="52"/>
      <c r="X108" s="48"/>
      <c r="Y108" s="48"/>
    </row>
    <row r="109" spans="1:25" x14ac:dyDescent="0.8">
      <c r="A109" s="18"/>
      <c r="B109" s="18"/>
      <c r="C109" s="18"/>
      <c r="D109" s="18"/>
      <c r="E109" s="18"/>
      <c r="F109" s="18"/>
      <c r="G109" s="18"/>
      <c r="H109" s="18"/>
      <c r="I109" s="18"/>
      <c r="J109" s="74"/>
      <c r="K109" s="48"/>
      <c r="L109" s="48"/>
      <c r="M109" s="48"/>
      <c r="N109" s="54"/>
      <c r="O109" s="48"/>
      <c r="P109" s="56"/>
      <c r="R109" s="48"/>
      <c r="S109" s="48"/>
      <c r="T109" s="48"/>
      <c r="U109" s="54"/>
      <c r="V109" s="48"/>
      <c r="W109" s="52"/>
      <c r="X109" s="48"/>
      <c r="Y109" s="48"/>
    </row>
    <row r="110" spans="1:25" x14ac:dyDescent="0.8">
      <c r="A110" s="18"/>
      <c r="B110" s="18"/>
      <c r="C110" s="18"/>
      <c r="D110" s="18"/>
      <c r="E110" s="18"/>
      <c r="F110" s="18"/>
      <c r="G110" s="18"/>
      <c r="H110" s="18"/>
      <c r="I110" s="18"/>
      <c r="J110" s="74"/>
      <c r="K110" s="48"/>
      <c r="L110" s="48"/>
      <c r="M110" s="48"/>
      <c r="N110" s="54"/>
      <c r="O110" s="48"/>
      <c r="P110" s="56"/>
      <c r="R110" s="48"/>
      <c r="S110" s="48"/>
      <c r="T110" s="48"/>
      <c r="U110" s="54"/>
      <c r="V110" s="48"/>
      <c r="W110" s="52"/>
      <c r="X110" s="48"/>
      <c r="Y110" s="48"/>
    </row>
    <row r="111" spans="1:25" x14ac:dyDescent="0.8">
      <c r="A111" s="18"/>
      <c r="B111" s="18"/>
      <c r="C111" s="18"/>
      <c r="D111" s="18"/>
      <c r="E111" s="18"/>
      <c r="F111" s="18"/>
      <c r="G111" s="18"/>
      <c r="H111" s="18"/>
      <c r="I111" s="18"/>
      <c r="J111" s="74"/>
      <c r="K111" s="48"/>
      <c r="L111" s="48"/>
      <c r="M111" s="48"/>
      <c r="N111" s="54"/>
      <c r="O111" s="48"/>
      <c r="P111" s="56"/>
      <c r="R111" s="48"/>
      <c r="S111" s="48"/>
      <c r="T111" s="48"/>
      <c r="U111" s="54"/>
      <c r="V111" s="48"/>
      <c r="W111" s="52"/>
      <c r="X111" s="48"/>
      <c r="Y111" s="48"/>
    </row>
    <row r="112" spans="1:25" x14ac:dyDescent="0.8">
      <c r="A112" s="18"/>
      <c r="B112" s="18"/>
      <c r="C112" s="18"/>
      <c r="D112" s="18"/>
      <c r="E112" s="18"/>
      <c r="F112" s="18"/>
      <c r="G112" s="18"/>
      <c r="H112" s="18"/>
      <c r="I112" s="18"/>
      <c r="J112" s="74"/>
      <c r="K112" s="48"/>
      <c r="L112" s="48"/>
      <c r="M112" s="48"/>
      <c r="N112" s="54"/>
      <c r="O112" s="48"/>
      <c r="P112" s="56"/>
      <c r="R112" s="48"/>
      <c r="S112" s="48"/>
      <c r="T112" s="48"/>
      <c r="U112" s="54"/>
      <c r="V112" s="48"/>
      <c r="W112" s="52"/>
      <c r="X112" s="48"/>
      <c r="Y112" s="48"/>
    </row>
    <row r="113" spans="1:25" x14ac:dyDescent="0.8">
      <c r="A113" s="18"/>
      <c r="B113" s="18"/>
      <c r="C113" s="18"/>
      <c r="D113" s="18"/>
      <c r="E113" s="18"/>
      <c r="F113" s="18"/>
      <c r="G113" s="18"/>
      <c r="H113" s="18"/>
      <c r="I113" s="18"/>
      <c r="J113" s="74"/>
      <c r="K113" s="48"/>
      <c r="L113" s="48"/>
      <c r="M113" s="48"/>
      <c r="N113" s="54"/>
      <c r="O113" s="48"/>
      <c r="P113" s="56"/>
      <c r="R113" s="48"/>
      <c r="S113" s="48"/>
      <c r="T113" s="48"/>
      <c r="U113" s="54"/>
      <c r="V113" s="48"/>
      <c r="W113" s="52"/>
      <c r="X113" s="48"/>
      <c r="Y113" s="48"/>
    </row>
    <row r="114" spans="1:25" x14ac:dyDescent="0.8">
      <c r="A114" s="18"/>
      <c r="B114" s="18"/>
      <c r="C114" s="18"/>
      <c r="D114" s="18"/>
      <c r="E114" s="18"/>
      <c r="F114" s="18"/>
      <c r="G114" s="18"/>
      <c r="H114" s="18"/>
      <c r="I114" s="18"/>
      <c r="J114" s="74"/>
      <c r="K114" s="48"/>
      <c r="L114" s="48"/>
      <c r="M114" s="48"/>
      <c r="N114" s="54"/>
      <c r="O114" s="48"/>
      <c r="P114" s="56"/>
      <c r="R114" s="48"/>
      <c r="S114" s="48"/>
      <c r="T114" s="48"/>
      <c r="U114" s="54"/>
      <c r="V114" s="48"/>
      <c r="W114" s="52"/>
      <c r="X114" s="48"/>
      <c r="Y114" s="48"/>
    </row>
    <row r="115" spans="1:25" x14ac:dyDescent="0.8">
      <c r="A115" s="18"/>
      <c r="B115" s="18"/>
      <c r="C115" s="18"/>
      <c r="D115" s="18"/>
      <c r="E115" s="18"/>
      <c r="F115" s="18"/>
      <c r="G115" s="18"/>
      <c r="H115" s="18"/>
      <c r="I115" s="18"/>
      <c r="J115" s="74"/>
      <c r="K115" s="48"/>
      <c r="L115" s="48"/>
      <c r="M115" s="48"/>
      <c r="N115" s="54"/>
      <c r="O115" s="48"/>
      <c r="P115" s="56"/>
      <c r="R115" s="48"/>
      <c r="S115" s="48"/>
      <c r="T115" s="48"/>
      <c r="U115" s="54"/>
      <c r="V115" s="48"/>
      <c r="W115" s="52"/>
      <c r="X115" s="48"/>
      <c r="Y115" s="48"/>
    </row>
    <row r="116" spans="1:25" x14ac:dyDescent="0.8">
      <c r="A116" s="18"/>
      <c r="B116" s="18"/>
      <c r="C116" s="18"/>
      <c r="D116" s="18"/>
      <c r="E116" s="18"/>
      <c r="F116" s="18"/>
      <c r="G116" s="18"/>
      <c r="H116" s="18"/>
      <c r="I116" s="18"/>
      <c r="J116" s="74"/>
      <c r="K116" s="48"/>
      <c r="L116" s="48"/>
      <c r="M116" s="48"/>
      <c r="N116" s="54"/>
      <c r="O116" s="48"/>
      <c r="P116" s="56"/>
      <c r="R116" s="48"/>
      <c r="S116" s="48"/>
      <c r="T116" s="48"/>
      <c r="U116" s="54"/>
      <c r="V116" s="48"/>
      <c r="W116" s="52"/>
      <c r="X116" s="48"/>
      <c r="Y116" s="48"/>
    </row>
    <row r="117" spans="1:25" x14ac:dyDescent="0.8">
      <c r="A117" s="18"/>
      <c r="B117" s="18"/>
      <c r="C117" s="18"/>
      <c r="D117" s="18"/>
      <c r="E117" s="18"/>
      <c r="F117" s="18"/>
      <c r="G117" s="18"/>
      <c r="H117" s="18"/>
      <c r="I117" s="18"/>
      <c r="J117" s="74"/>
      <c r="K117" s="48"/>
      <c r="L117" s="48"/>
      <c r="M117" s="48"/>
      <c r="N117" s="54"/>
      <c r="O117" s="48"/>
      <c r="P117" s="56"/>
      <c r="R117" s="48"/>
      <c r="S117" s="48"/>
      <c r="T117" s="48"/>
      <c r="U117" s="54"/>
      <c r="V117" s="48"/>
      <c r="W117" s="52"/>
      <c r="X117" s="48"/>
      <c r="Y117" s="48"/>
    </row>
    <row r="118" spans="1:25" x14ac:dyDescent="0.8">
      <c r="A118" s="18"/>
      <c r="B118" s="18"/>
      <c r="C118" s="18"/>
      <c r="D118" s="18"/>
      <c r="E118" s="18"/>
      <c r="F118" s="18"/>
      <c r="G118" s="18"/>
      <c r="H118" s="18"/>
      <c r="I118" s="18"/>
      <c r="J118" s="74"/>
      <c r="K118" s="48"/>
      <c r="L118" s="48"/>
      <c r="M118" s="48"/>
      <c r="N118" s="54"/>
      <c r="O118" s="48"/>
      <c r="P118" s="56"/>
      <c r="R118" s="48"/>
      <c r="S118" s="48"/>
      <c r="T118" s="48"/>
      <c r="U118" s="54"/>
      <c r="V118" s="48"/>
      <c r="W118" s="52"/>
      <c r="X118" s="48"/>
      <c r="Y118" s="48"/>
    </row>
    <row r="119" spans="1:25" x14ac:dyDescent="0.8">
      <c r="A119" s="18"/>
      <c r="B119" s="18"/>
      <c r="C119" s="18"/>
      <c r="D119" s="18"/>
      <c r="E119" s="18"/>
      <c r="F119" s="18"/>
      <c r="G119" s="18"/>
      <c r="H119" s="18"/>
      <c r="I119" s="18"/>
      <c r="J119" s="74"/>
      <c r="K119" s="48"/>
      <c r="L119" s="48"/>
      <c r="M119" s="48"/>
      <c r="N119" s="54"/>
      <c r="O119" s="48"/>
      <c r="P119" s="56"/>
      <c r="R119" s="48"/>
      <c r="S119" s="48"/>
      <c r="T119" s="48"/>
      <c r="U119" s="54"/>
      <c r="V119" s="48"/>
      <c r="W119" s="52"/>
      <c r="X119" s="48"/>
      <c r="Y119" s="48"/>
    </row>
    <row r="120" spans="1:25" x14ac:dyDescent="0.8">
      <c r="A120" s="18"/>
      <c r="B120" s="18"/>
      <c r="C120" s="18"/>
      <c r="D120" s="18"/>
      <c r="E120" s="18"/>
      <c r="F120" s="18"/>
      <c r="G120" s="18"/>
      <c r="H120" s="18"/>
      <c r="I120" s="18"/>
      <c r="J120" s="74"/>
      <c r="K120" s="48"/>
      <c r="L120" s="48"/>
      <c r="M120" s="48"/>
      <c r="N120" s="54"/>
      <c r="O120" s="48"/>
      <c r="P120" s="56"/>
      <c r="R120" s="48"/>
      <c r="S120" s="48"/>
      <c r="T120" s="48"/>
      <c r="U120" s="54"/>
      <c r="V120" s="48"/>
      <c r="W120" s="52"/>
      <c r="X120" s="48"/>
      <c r="Y120" s="48"/>
    </row>
    <row r="121" spans="1:25" x14ac:dyDescent="0.8">
      <c r="A121" s="18"/>
      <c r="B121" s="18"/>
      <c r="C121" s="18"/>
      <c r="D121" s="18"/>
      <c r="E121" s="18"/>
      <c r="F121" s="18"/>
      <c r="G121" s="18"/>
      <c r="H121" s="18"/>
      <c r="I121" s="18"/>
      <c r="J121" s="74"/>
      <c r="K121" s="48"/>
      <c r="L121" s="48"/>
      <c r="M121" s="48"/>
      <c r="N121" s="54"/>
      <c r="O121" s="48"/>
      <c r="P121" s="56"/>
      <c r="R121" s="48"/>
      <c r="S121" s="48"/>
      <c r="T121" s="48"/>
      <c r="U121" s="54"/>
      <c r="V121" s="48"/>
      <c r="W121" s="52"/>
      <c r="X121" s="48"/>
      <c r="Y121" s="48"/>
    </row>
    <row r="122" spans="1:25" x14ac:dyDescent="0.8">
      <c r="A122" s="18"/>
      <c r="B122" s="18"/>
      <c r="C122" s="18"/>
      <c r="D122" s="18"/>
      <c r="E122" s="18"/>
      <c r="F122" s="18"/>
      <c r="G122" s="18"/>
      <c r="H122" s="18"/>
      <c r="I122" s="18"/>
      <c r="J122" s="74"/>
      <c r="K122" s="48"/>
      <c r="L122" s="48"/>
      <c r="M122" s="48"/>
      <c r="N122" s="54"/>
      <c r="O122" s="48"/>
      <c r="P122" s="56"/>
      <c r="R122" s="48"/>
      <c r="S122" s="48"/>
      <c r="T122" s="48"/>
      <c r="U122" s="54"/>
      <c r="V122" s="48"/>
      <c r="W122" s="52"/>
      <c r="X122" s="48"/>
      <c r="Y122" s="48"/>
    </row>
    <row r="123" spans="1:25" x14ac:dyDescent="0.8">
      <c r="A123" s="18"/>
      <c r="B123" s="18"/>
      <c r="C123" s="18"/>
      <c r="D123" s="18"/>
      <c r="E123" s="18"/>
      <c r="F123" s="18"/>
      <c r="G123" s="18"/>
      <c r="H123" s="18"/>
      <c r="I123" s="18"/>
      <c r="J123" s="74"/>
      <c r="K123" s="48"/>
      <c r="L123" s="48"/>
      <c r="M123" s="48"/>
      <c r="N123" s="54"/>
      <c r="O123" s="48"/>
      <c r="P123" s="56"/>
      <c r="R123" s="48"/>
      <c r="S123" s="48"/>
      <c r="T123" s="48"/>
      <c r="U123" s="54"/>
      <c r="V123" s="48"/>
      <c r="W123" s="52"/>
      <c r="X123" s="48"/>
      <c r="Y123" s="48"/>
    </row>
    <row r="124" spans="1:25" x14ac:dyDescent="0.8">
      <c r="A124" s="18"/>
      <c r="B124" s="18"/>
      <c r="C124" s="18"/>
      <c r="D124" s="18"/>
      <c r="E124" s="18"/>
      <c r="F124" s="18"/>
      <c r="G124" s="18"/>
      <c r="H124" s="18"/>
      <c r="I124" s="18"/>
      <c r="J124" s="74"/>
      <c r="K124" s="48"/>
      <c r="L124" s="48"/>
      <c r="M124" s="48"/>
      <c r="N124" s="54"/>
      <c r="O124" s="48"/>
      <c r="P124" s="56"/>
      <c r="R124" s="48"/>
      <c r="S124" s="48"/>
      <c r="T124" s="48"/>
      <c r="U124" s="54"/>
      <c r="V124" s="48"/>
      <c r="W124" s="52"/>
      <c r="X124" s="48"/>
      <c r="Y124" s="48"/>
    </row>
    <row r="125" spans="1:25" x14ac:dyDescent="0.8">
      <c r="A125" s="18"/>
      <c r="B125" s="18"/>
      <c r="C125" s="18"/>
      <c r="D125" s="18"/>
      <c r="E125" s="18"/>
      <c r="F125" s="18"/>
      <c r="G125" s="18"/>
      <c r="H125" s="18"/>
      <c r="I125" s="18"/>
      <c r="J125" s="74"/>
      <c r="K125" s="48"/>
      <c r="L125" s="48"/>
      <c r="M125" s="48"/>
      <c r="N125" s="54"/>
      <c r="O125" s="48"/>
      <c r="P125" s="56"/>
      <c r="R125" s="48"/>
      <c r="S125" s="48"/>
      <c r="T125" s="48"/>
      <c r="U125" s="54"/>
      <c r="V125" s="48"/>
      <c r="W125" s="52"/>
      <c r="X125" s="48"/>
      <c r="Y125" s="48"/>
    </row>
    <row r="126" spans="1:25" x14ac:dyDescent="0.8">
      <c r="A126" s="18"/>
      <c r="B126" s="18"/>
      <c r="C126" s="18"/>
      <c r="D126" s="18"/>
      <c r="E126" s="18"/>
      <c r="F126" s="18"/>
      <c r="G126" s="18"/>
      <c r="H126" s="18"/>
      <c r="I126" s="18"/>
      <c r="J126" s="74"/>
      <c r="K126" s="48"/>
      <c r="L126" s="48"/>
      <c r="M126" s="48"/>
      <c r="N126" s="54"/>
      <c r="O126" s="48"/>
      <c r="P126" s="56"/>
      <c r="R126" s="48"/>
      <c r="S126" s="48"/>
      <c r="T126" s="48"/>
      <c r="U126" s="54"/>
      <c r="V126" s="48"/>
      <c r="W126" s="52"/>
      <c r="X126" s="48"/>
      <c r="Y126" s="48"/>
    </row>
    <row r="127" spans="1:25" x14ac:dyDescent="0.8">
      <c r="A127" s="18"/>
      <c r="B127" s="18"/>
      <c r="C127" s="18"/>
      <c r="D127" s="18"/>
      <c r="E127" s="18"/>
      <c r="F127" s="18"/>
      <c r="G127" s="18"/>
      <c r="H127" s="18"/>
      <c r="I127" s="18"/>
      <c r="J127" s="74"/>
      <c r="K127" s="48"/>
      <c r="L127" s="48"/>
      <c r="M127" s="48"/>
      <c r="N127" s="54"/>
      <c r="O127" s="48"/>
      <c r="P127" s="56"/>
      <c r="R127" s="48"/>
      <c r="S127" s="48"/>
      <c r="T127" s="48"/>
      <c r="U127" s="54"/>
      <c r="V127" s="48"/>
      <c r="W127" s="52"/>
      <c r="X127" s="48"/>
      <c r="Y127" s="48"/>
    </row>
    <row r="128" spans="1:25" x14ac:dyDescent="0.8">
      <c r="A128" s="18"/>
      <c r="B128" s="18"/>
      <c r="C128" s="18"/>
      <c r="D128" s="18"/>
      <c r="E128" s="18"/>
      <c r="F128" s="18"/>
      <c r="G128" s="18"/>
      <c r="H128" s="18"/>
      <c r="I128" s="18"/>
      <c r="J128" s="74"/>
      <c r="K128" s="48"/>
      <c r="L128" s="48"/>
      <c r="M128" s="48"/>
      <c r="N128" s="54"/>
      <c r="O128" s="48"/>
      <c r="P128" s="56"/>
      <c r="R128" s="48"/>
      <c r="S128" s="48"/>
      <c r="T128" s="48"/>
      <c r="U128" s="54"/>
      <c r="V128" s="48"/>
      <c r="W128" s="52"/>
      <c r="X128" s="48"/>
      <c r="Y128" s="48"/>
    </row>
    <row r="129" spans="1:25" x14ac:dyDescent="0.8">
      <c r="A129" s="18"/>
      <c r="B129" s="18"/>
      <c r="C129" s="18"/>
      <c r="D129" s="18"/>
      <c r="E129" s="18"/>
      <c r="F129" s="18"/>
      <c r="G129" s="18"/>
      <c r="H129" s="18"/>
      <c r="I129" s="18"/>
      <c r="J129" s="74"/>
      <c r="K129" s="48"/>
      <c r="L129" s="48"/>
      <c r="M129" s="48"/>
      <c r="N129" s="54"/>
      <c r="O129" s="48"/>
      <c r="P129" s="56"/>
      <c r="R129" s="48"/>
      <c r="S129" s="48"/>
      <c r="T129" s="48"/>
      <c r="U129" s="54"/>
      <c r="V129" s="48"/>
      <c r="W129" s="52"/>
      <c r="X129" s="48"/>
      <c r="Y129" s="48"/>
    </row>
    <row r="130" spans="1:25" x14ac:dyDescent="0.8">
      <c r="A130" s="18"/>
      <c r="B130" s="18"/>
      <c r="C130" s="18"/>
      <c r="D130" s="18"/>
      <c r="E130" s="18"/>
      <c r="F130" s="18"/>
      <c r="G130" s="18"/>
      <c r="H130" s="18"/>
      <c r="I130" s="18"/>
      <c r="J130" s="74"/>
      <c r="K130" s="48"/>
      <c r="L130" s="48"/>
      <c r="M130" s="48"/>
      <c r="N130" s="54"/>
      <c r="O130" s="48"/>
      <c r="P130" s="56"/>
      <c r="R130" s="48"/>
      <c r="S130" s="48"/>
      <c r="T130" s="48"/>
      <c r="U130" s="54"/>
      <c r="V130" s="48"/>
      <c r="W130" s="52"/>
      <c r="X130" s="48"/>
      <c r="Y130" s="48"/>
    </row>
    <row r="131" spans="1:25" x14ac:dyDescent="0.8">
      <c r="A131" s="18"/>
      <c r="B131" s="18"/>
      <c r="C131" s="18"/>
      <c r="D131" s="18"/>
      <c r="E131" s="18"/>
      <c r="F131" s="18"/>
      <c r="G131" s="18"/>
      <c r="H131" s="18"/>
      <c r="I131" s="18"/>
      <c r="J131" s="74"/>
      <c r="K131" s="48"/>
      <c r="L131" s="48"/>
      <c r="M131" s="48"/>
      <c r="N131" s="54"/>
      <c r="O131" s="48"/>
      <c r="P131" s="56"/>
      <c r="R131" s="48"/>
      <c r="S131" s="48"/>
      <c r="T131" s="48"/>
      <c r="U131" s="54"/>
      <c r="V131" s="48"/>
      <c r="W131" s="52"/>
      <c r="X131" s="48"/>
      <c r="Y131" s="48"/>
    </row>
    <row r="132" spans="1:25" x14ac:dyDescent="0.8">
      <c r="A132" s="18"/>
      <c r="B132" s="18"/>
      <c r="C132" s="18"/>
      <c r="D132" s="18"/>
      <c r="E132" s="18"/>
      <c r="F132" s="18"/>
      <c r="G132" s="18"/>
      <c r="H132" s="18"/>
      <c r="I132" s="18"/>
      <c r="J132" s="74"/>
      <c r="K132" s="48"/>
      <c r="L132" s="48"/>
      <c r="M132" s="48"/>
      <c r="N132" s="54"/>
      <c r="O132" s="48"/>
      <c r="P132" s="56"/>
      <c r="R132" s="48"/>
      <c r="S132" s="48"/>
      <c r="T132" s="48"/>
      <c r="U132" s="54"/>
      <c r="V132" s="48"/>
      <c r="W132" s="52"/>
      <c r="X132" s="48"/>
      <c r="Y132" s="48"/>
    </row>
    <row r="133" spans="1:25" x14ac:dyDescent="0.8">
      <c r="A133" s="18"/>
      <c r="B133" s="18"/>
      <c r="C133" s="18"/>
      <c r="D133" s="18"/>
      <c r="E133" s="18"/>
      <c r="F133" s="18"/>
      <c r="G133" s="18"/>
      <c r="H133" s="18"/>
      <c r="I133" s="18"/>
      <c r="J133" s="74"/>
      <c r="K133" s="48"/>
      <c r="L133" s="48"/>
      <c r="M133" s="48"/>
      <c r="N133" s="54"/>
      <c r="O133" s="48"/>
      <c r="P133" s="56"/>
      <c r="R133" s="48"/>
      <c r="S133" s="48"/>
      <c r="T133" s="48"/>
      <c r="U133" s="54"/>
      <c r="V133" s="48"/>
      <c r="W133" s="52"/>
      <c r="X133" s="48"/>
      <c r="Y133" s="48"/>
    </row>
    <row r="134" spans="1:25" x14ac:dyDescent="0.8">
      <c r="A134" s="18"/>
      <c r="B134" s="18"/>
      <c r="C134" s="18"/>
      <c r="D134" s="18"/>
      <c r="E134" s="18"/>
      <c r="F134" s="18"/>
      <c r="G134" s="18"/>
      <c r="H134" s="18"/>
      <c r="I134" s="18"/>
      <c r="J134" s="74"/>
      <c r="K134" s="48"/>
      <c r="L134" s="48"/>
      <c r="M134" s="48"/>
      <c r="N134" s="54"/>
      <c r="O134" s="48"/>
      <c r="P134" s="56"/>
      <c r="R134" s="48"/>
      <c r="S134" s="48"/>
      <c r="T134" s="48"/>
      <c r="U134" s="54"/>
      <c r="V134" s="48"/>
      <c r="W134" s="52"/>
      <c r="X134" s="48"/>
      <c r="Y134" s="48"/>
    </row>
    <row r="135" spans="1:25" x14ac:dyDescent="0.8">
      <c r="A135" s="18"/>
      <c r="B135" s="18"/>
      <c r="C135" s="18"/>
      <c r="D135" s="18"/>
      <c r="E135" s="18"/>
      <c r="F135" s="18"/>
      <c r="G135" s="18"/>
      <c r="H135" s="18"/>
      <c r="I135" s="18"/>
      <c r="J135" s="74"/>
      <c r="K135" s="48"/>
      <c r="L135" s="48"/>
      <c r="M135" s="48"/>
      <c r="N135" s="54"/>
      <c r="O135" s="48"/>
      <c r="P135" s="56"/>
      <c r="R135" s="48"/>
      <c r="S135" s="48"/>
      <c r="T135" s="48"/>
      <c r="U135" s="54"/>
      <c r="V135" s="48"/>
      <c r="W135" s="52"/>
      <c r="X135" s="48"/>
      <c r="Y135" s="48"/>
    </row>
    <row r="136" spans="1:25" x14ac:dyDescent="0.8">
      <c r="A136" s="18"/>
      <c r="B136" s="18"/>
      <c r="C136" s="18"/>
      <c r="D136" s="18"/>
      <c r="E136" s="18"/>
      <c r="F136" s="18"/>
      <c r="G136" s="18"/>
      <c r="H136" s="18"/>
      <c r="I136" s="18"/>
      <c r="J136" s="74"/>
      <c r="K136" s="48"/>
      <c r="L136" s="48"/>
      <c r="M136" s="48"/>
      <c r="N136" s="54"/>
      <c r="O136" s="48"/>
      <c r="P136" s="56"/>
      <c r="R136" s="48"/>
      <c r="S136" s="48"/>
      <c r="T136" s="48"/>
      <c r="U136" s="54"/>
      <c r="V136" s="48"/>
      <c r="W136" s="52"/>
      <c r="X136" s="48"/>
      <c r="Y136" s="48"/>
    </row>
    <row r="137" spans="1:25" x14ac:dyDescent="0.8">
      <c r="A137" s="18"/>
      <c r="B137" s="18"/>
      <c r="C137" s="18"/>
      <c r="D137" s="18"/>
      <c r="E137" s="18"/>
      <c r="F137" s="18"/>
      <c r="G137" s="18"/>
      <c r="H137" s="18"/>
      <c r="I137" s="18"/>
      <c r="J137" s="74"/>
      <c r="K137" s="48"/>
      <c r="L137" s="48"/>
      <c r="M137" s="48"/>
      <c r="N137" s="54"/>
      <c r="O137" s="48"/>
      <c r="P137" s="56"/>
      <c r="R137" s="48"/>
      <c r="S137" s="48"/>
      <c r="T137" s="48"/>
      <c r="U137" s="54"/>
      <c r="V137" s="48"/>
      <c r="W137" s="52"/>
      <c r="X137" s="48"/>
      <c r="Y137" s="48"/>
    </row>
    <row r="138" spans="1:25" x14ac:dyDescent="0.8">
      <c r="A138" s="18"/>
      <c r="B138" s="18"/>
      <c r="C138" s="18"/>
      <c r="D138" s="18"/>
      <c r="E138" s="18"/>
      <c r="F138" s="18"/>
      <c r="G138" s="18"/>
      <c r="H138" s="18"/>
      <c r="I138" s="18"/>
      <c r="J138" s="74"/>
      <c r="K138" s="48"/>
      <c r="L138" s="48"/>
      <c r="M138" s="48"/>
      <c r="N138" s="54"/>
      <c r="O138" s="48"/>
      <c r="P138" s="56"/>
      <c r="R138" s="48"/>
      <c r="S138" s="48"/>
      <c r="T138" s="48"/>
      <c r="U138" s="54"/>
      <c r="V138" s="48"/>
      <c r="W138" s="52"/>
      <c r="X138" s="48"/>
      <c r="Y138" s="48"/>
    </row>
    <row r="139" spans="1:25" x14ac:dyDescent="0.8">
      <c r="A139" s="18"/>
      <c r="B139" s="18"/>
      <c r="C139" s="18"/>
      <c r="D139" s="18"/>
      <c r="E139" s="18"/>
      <c r="F139" s="18"/>
      <c r="G139" s="18"/>
      <c r="H139" s="18"/>
      <c r="I139" s="18"/>
      <c r="J139" s="74"/>
      <c r="K139" s="48"/>
      <c r="L139" s="48"/>
      <c r="M139" s="48"/>
      <c r="N139" s="54"/>
      <c r="O139" s="48"/>
      <c r="P139" s="56"/>
      <c r="R139" s="48"/>
      <c r="S139" s="48"/>
      <c r="T139" s="48"/>
      <c r="U139" s="54"/>
      <c r="V139" s="48"/>
      <c r="W139" s="52"/>
      <c r="X139" s="48"/>
      <c r="Y139" s="48"/>
    </row>
    <row r="140" spans="1:25" x14ac:dyDescent="0.8">
      <c r="A140" s="18"/>
      <c r="B140" s="18"/>
      <c r="C140" s="18"/>
      <c r="D140" s="18"/>
      <c r="E140" s="18"/>
      <c r="F140" s="18"/>
      <c r="G140" s="18"/>
      <c r="H140" s="18"/>
      <c r="I140" s="18"/>
      <c r="J140" s="74"/>
      <c r="K140" s="48"/>
      <c r="L140" s="48"/>
      <c r="M140" s="48"/>
      <c r="N140" s="54"/>
      <c r="O140" s="48"/>
      <c r="P140" s="56"/>
      <c r="R140" s="48"/>
      <c r="S140" s="48"/>
      <c r="T140" s="48"/>
      <c r="U140" s="54"/>
      <c r="V140" s="48"/>
      <c r="W140" s="52"/>
      <c r="X140" s="48"/>
      <c r="Y140" s="48"/>
    </row>
    <row r="141" spans="1:25" x14ac:dyDescent="0.8">
      <c r="A141" s="18"/>
      <c r="B141" s="18"/>
      <c r="C141" s="18"/>
      <c r="D141" s="18"/>
      <c r="E141" s="18"/>
      <c r="F141" s="18"/>
      <c r="G141" s="18"/>
      <c r="H141" s="18"/>
      <c r="I141" s="18"/>
      <c r="J141" s="74"/>
      <c r="K141" s="48"/>
      <c r="L141" s="48"/>
      <c r="M141" s="48"/>
      <c r="N141" s="54"/>
      <c r="O141" s="48"/>
      <c r="P141" s="56"/>
      <c r="R141" s="48"/>
      <c r="S141" s="48"/>
      <c r="T141" s="48"/>
      <c r="U141" s="54"/>
      <c r="V141" s="48"/>
      <c r="W141" s="52"/>
      <c r="X141" s="48"/>
      <c r="Y141" s="48"/>
    </row>
    <row r="142" spans="1:25" x14ac:dyDescent="0.8">
      <c r="A142" s="18"/>
      <c r="B142" s="18"/>
      <c r="C142" s="18"/>
      <c r="D142" s="18"/>
      <c r="E142" s="18"/>
      <c r="F142" s="18"/>
      <c r="G142" s="18"/>
      <c r="H142" s="18"/>
      <c r="I142" s="18"/>
      <c r="J142" s="74"/>
      <c r="K142" s="48"/>
      <c r="L142" s="48"/>
      <c r="M142" s="48"/>
      <c r="N142" s="54"/>
      <c r="O142" s="48"/>
      <c r="P142" s="56"/>
      <c r="R142" s="48"/>
      <c r="S142" s="48"/>
      <c r="T142" s="48"/>
      <c r="U142" s="54"/>
      <c r="V142" s="48"/>
      <c r="W142" s="52"/>
      <c r="X142" s="48"/>
      <c r="Y142" s="48"/>
    </row>
    <row r="143" spans="1:25" x14ac:dyDescent="0.8">
      <c r="A143" s="18"/>
      <c r="B143" s="18"/>
      <c r="C143" s="18"/>
      <c r="D143" s="18"/>
      <c r="E143" s="18"/>
      <c r="F143" s="18"/>
      <c r="G143" s="18"/>
      <c r="H143" s="18"/>
      <c r="I143" s="18"/>
      <c r="J143" s="74"/>
      <c r="K143" s="48"/>
      <c r="L143" s="48"/>
      <c r="M143" s="48"/>
      <c r="N143" s="54"/>
      <c r="O143" s="48"/>
      <c r="P143" s="56"/>
      <c r="R143" s="48"/>
      <c r="S143" s="48"/>
      <c r="T143" s="48"/>
      <c r="U143" s="54"/>
      <c r="V143" s="48"/>
      <c r="W143" s="52"/>
      <c r="X143" s="48"/>
      <c r="Y143" s="48"/>
    </row>
    <row r="144" spans="1:25" x14ac:dyDescent="0.8">
      <c r="A144" s="18"/>
      <c r="B144" s="18"/>
      <c r="C144" s="18"/>
      <c r="D144" s="18"/>
      <c r="E144" s="18"/>
      <c r="F144" s="18"/>
      <c r="G144" s="18"/>
      <c r="H144" s="18"/>
      <c r="I144" s="18"/>
      <c r="J144" s="74"/>
      <c r="K144" s="48"/>
      <c r="L144" s="48"/>
      <c r="M144" s="48"/>
      <c r="N144" s="54"/>
      <c r="O144" s="48"/>
      <c r="P144" s="56"/>
      <c r="R144" s="48"/>
      <c r="S144" s="48"/>
      <c r="T144" s="48"/>
      <c r="U144" s="54"/>
      <c r="V144" s="48"/>
      <c r="W144" s="52"/>
      <c r="X144" s="48"/>
      <c r="Y144" s="48"/>
    </row>
    <row r="145" spans="1:25" x14ac:dyDescent="0.8">
      <c r="A145" s="18"/>
      <c r="B145" s="18"/>
      <c r="C145" s="18"/>
      <c r="D145" s="18"/>
      <c r="E145" s="18"/>
      <c r="F145" s="18"/>
      <c r="G145" s="18"/>
      <c r="H145" s="18"/>
      <c r="I145" s="18"/>
      <c r="J145" s="74"/>
      <c r="K145" s="48"/>
      <c r="L145" s="48"/>
      <c r="M145" s="48"/>
      <c r="N145" s="54"/>
      <c r="O145" s="48"/>
      <c r="P145" s="56"/>
      <c r="R145" s="48"/>
      <c r="S145" s="48"/>
      <c r="T145" s="48"/>
      <c r="U145" s="54"/>
      <c r="V145" s="48"/>
      <c r="W145" s="52"/>
      <c r="X145" s="48"/>
      <c r="Y145" s="48"/>
    </row>
    <row r="146" spans="1:25" x14ac:dyDescent="0.8">
      <c r="A146" s="18"/>
      <c r="B146" s="18"/>
      <c r="C146" s="18"/>
      <c r="D146" s="18"/>
      <c r="E146" s="18"/>
      <c r="F146" s="18"/>
      <c r="G146" s="18"/>
      <c r="H146" s="18"/>
      <c r="I146" s="18"/>
      <c r="J146" s="74"/>
      <c r="K146" s="48"/>
      <c r="L146" s="48"/>
      <c r="M146" s="48"/>
      <c r="N146" s="54"/>
      <c r="O146" s="48"/>
      <c r="P146" s="56"/>
      <c r="R146" s="48"/>
      <c r="S146" s="48"/>
      <c r="T146" s="48"/>
      <c r="U146" s="54"/>
      <c r="V146" s="48"/>
      <c r="W146" s="52"/>
      <c r="X146" s="48"/>
      <c r="Y146" s="48"/>
    </row>
    <row r="147" spans="1:25" x14ac:dyDescent="0.8">
      <c r="A147" s="18"/>
      <c r="B147" s="18"/>
      <c r="C147" s="18"/>
      <c r="D147" s="18"/>
      <c r="E147" s="18"/>
      <c r="F147" s="18"/>
      <c r="G147" s="18"/>
      <c r="H147" s="18"/>
      <c r="I147" s="18"/>
      <c r="J147" s="74"/>
      <c r="K147" s="48"/>
      <c r="L147" s="48"/>
      <c r="M147" s="48"/>
      <c r="N147" s="54"/>
      <c r="O147" s="48"/>
      <c r="P147" s="56"/>
      <c r="R147" s="48"/>
      <c r="S147" s="48"/>
      <c r="T147" s="48"/>
      <c r="U147" s="54"/>
      <c r="V147" s="48"/>
      <c r="W147" s="52"/>
      <c r="X147" s="48"/>
      <c r="Y147" s="48"/>
    </row>
    <row r="148" spans="1:25" x14ac:dyDescent="0.8">
      <c r="A148" s="18"/>
      <c r="B148" s="18"/>
      <c r="C148" s="18"/>
      <c r="D148" s="18"/>
      <c r="E148" s="18"/>
      <c r="F148" s="18"/>
      <c r="G148" s="18"/>
      <c r="H148" s="18"/>
      <c r="I148" s="18"/>
      <c r="J148" s="74"/>
      <c r="K148" s="48"/>
      <c r="L148" s="48"/>
      <c r="M148" s="48"/>
      <c r="N148" s="54"/>
      <c r="O148" s="48"/>
      <c r="P148" s="56"/>
      <c r="R148" s="48"/>
      <c r="S148" s="48"/>
      <c r="T148" s="48"/>
      <c r="U148" s="54"/>
      <c r="V148" s="48"/>
      <c r="W148" s="52"/>
      <c r="X148" s="48"/>
      <c r="Y148" s="48"/>
    </row>
    <row r="149" spans="1:25" x14ac:dyDescent="0.8">
      <c r="A149" s="18"/>
      <c r="B149" s="18"/>
      <c r="C149" s="18"/>
      <c r="D149" s="18"/>
      <c r="E149" s="18"/>
      <c r="F149" s="18"/>
      <c r="G149" s="18"/>
      <c r="H149" s="18"/>
      <c r="I149" s="18"/>
      <c r="J149" s="74"/>
      <c r="K149" s="48"/>
      <c r="L149" s="48"/>
      <c r="M149" s="48"/>
      <c r="N149" s="54"/>
      <c r="O149" s="48"/>
      <c r="P149" s="56"/>
      <c r="R149" s="48"/>
      <c r="S149" s="48"/>
      <c r="T149" s="48"/>
      <c r="U149" s="54"/>
      <c r="V149" s="48"/>
      <c r="W149" s="52"/>
      <c r="X149" s="48"/>
      <c r="Y149" s="48"/>
    </row>
    <row r="150" spans="1:25" x14ac:dyDescent="0.8">
      <c r="A150" s="18"/>
      <c r="B150" s="18"/>
      <c r="C150" s="18"/>
      <c r="D150" s="18"/>
      <c r="E150" s="18"/>
      <c r="F150" s="18"/>
      <c r="G150" s="18"/>
      <c r="H150" s="18"/>
      <c r="I150" s="18"/>
      <c r="J150" s="74"/>
      <c r="K150" s="48"/>
      <c r="L150" s="48"/>
      <c r="M150" s="48"/>
      <c r="N150" s="54"/>
      <c r="O150" s="48"/>
      <c r="P150" s="56"/>
      <c r="R150" s="48"/>
      <c r="S150" s="48"/>
      <c r="T150" s="48"/>
      <c r="U150" s="54"/>
      <c r="V150" s="48"/>
      <c r="W150" s="52"/>
      <c r="X150" s="48"/>
      <c r="Y150" s="48"/>
    </row>
    <row r="151" spans="1:25" x14ac:dyDescent="0.8">
      <c r="A151" s="18"/>
      <c r="B151" s="18"/>
      <c r="C151" s="18"/>
      <c r="D151" s="18"/>
      <c r="E151" s="18"/>
      <c r="F151" s="18"/>
      <c r="G151" s="18"/>
      <c r="H151" s="18"/>
      <c r="I151" s="18"/>
      <c r="J151" s="74"/>
      <c r="K151" s="48"/>
      <c r="L151" s="48"/>
      <c r="M151" s="48"/>
      <c r="N151" s="54"/>
      <c r="O151" s="48"/>
      <c r="P151" s="56"/>
      <c r="R151" s="48"/>
      <c r="S151" s="48"/>
      <c r="T151" s="48"/>
      <c r="U151" s="54"/>
      <c r="V151" s="48"/>
      <c r="W151" s="52"/>
      <c r="X151" s="48"/>
      <c r="Y151" s="48"/>
    </row>
    <row r="152" spans="1:25" x14ac:dyDescent="0.8">
      <c r="A152" s="18"/>
      <c r="B152" s="18"/>
      <c r="C152" s="18"/>
      <c r="D152" s="18"/>
      <c r="E152" s="18"/>
      <c r="F152" s="18"/>
      <c r="G152" s="18"/>
      <c r="H152" s="18"/>
      <c r="I152" s="18"/>
      <c r="J152" s="74"/>
      <c r="K152" s="48"/>
      <c r="L152" s="48"/>
      <c r="M152" s="48"/>
      <c r="N152" s="54"/>
      <c r="O152" s="48"/>
      <c r="P152" s="56"/>
      <c r="R152" s="48"/>
      <c r="S152" s="48"/>
      <c r="T152" s="48"/>
      <c r="U152" s="54"/>
      <c r="V152" s="48"/>
      <c r="W152" s="52"/>
      <c r="X152" s="48"/>
      <c r="Y152" s="48"/>
    </row>
    <row r="153" spans="1:25" x14ac:dyDescent="0.8">
      <c r="A153" s="18"/>
      <c r="B153" s="18"/>
      <c r="C153" s="18"/>
      <c r="D153" s="18"/>
      <c r="E153" s="18"/>
      <c r="F153" s="18"/>
      <c r="G153" s="18"/>
      <c r="H153" s="18"/>
      <c r="I153" s="18"/>
      <c r="J153" s="74"/>
      <c r="K153" s="48"/>
      <c r="L153" s="48"/>
      <c r="M153" s="48"/>
      <c r="N153" s="54"/>
      <c r="O153" s="48"/>
      <c r="P153" s="56"/>
      <c r="R153" s="48"/>
      <c r="S153" s="48"/>
      <c r="T153" s="48"/>
      <c r="U153" s="54"/>
      <c r="V153" s="48"/>
      <c r="W153" s="52"/>
      <c r="X153" s="48"/>
      <c r="Y153" s="48"/>
    </row>
    <row r="154" spans="1:25" x14ac:dyDescent="0.8">
      <c r="A154" s="18"/>
      <c r="B154" s="18"/>
      <c r="C154" s="18"/>
      <c r="D154" s="18"/>
      <c r="E154" s="18"/>
      <c r="F154" s="18"/>
      <c r="G154" s="18"/>
      <c r="H154" s="18"/>
      <c r="I154" s="18"/>
      <c r="J154" s="74"/>
      <c r="K154" s="48"/>
      <c r="L154" s="48"/>
      <c r="M154" s="48"/>
      <c r="N154" s="54"/>
      <c r="O154" s="48"/>
      <c r="P154" s="56"/>
      <c r="R154" s="48"/>
      <c r="S154" s="48"/>
      <c r="T154" s="48"/>
      <c r="U154" s="54"/>
      <c r="V154" s="48"/>
      <c r="W154" s="52"/>
      <c r="X154" s="48"/>
      <c r="Y154" s="48"/>
    </row>
    <row r="155" spans="1:25" x14ac:dyDescent="0.8">
      <c r="A155" s="18"/>
      <c r="B155" s="18"/>
      <c r="C155" s="18"/>
      <c r="D155" s="18"/>
      <c r="E155" s="18"/>
      <c r="F155" s="18"/>
      <c r="G155" s="18"/>
      <c r="H155" s="18"/>
      <c r="I155" s="18"/>
      <c r="J155" s="74"/>
      <c r="K155" s="48"/>
      <c r="L155" s="48"/>
      <c r="M155" s="48"/>
      <c r="N155" s="54"/>
      <c r="O155" s="48"/>
      <c r="P155" s="56"/>
      <c r="R155" s="48"/>
      <c r="S155" s="48"/>
      <c r="T155" s="48"/>
      <c r="U155" s="54"/>
      <c r="V155" s="48"/>
      <c r="W155" s="52"/>
      <c r="X155" s="48"/>
      <c r="Y155" s="48"/>
    </row>
    <row r="156" spans="1:25" x14ac:dyDescent="0.8">
      <c r="A156" s="18"/>
      <c r="B156" s="18"/>
      <c r="C156" s="18"/>
      <c r="D156" s="18"/>
      <c r="E156" s="18"/>
      <c r="F156" s="18"/>
      <c r="G156" s="18"/>
      <c r="H156" s="18"/>
      <c r="I156" s="18"/>
      <c r="J156" s="74"/>
      <c r="K156" s="48"/>
      <c r="L156" s="48"/>
      <c r="M156" s="48"/>
      <c r="N156" s="54"/>
      <c r="O156" s="48"/>
      <c r="P156" s="56"/>
      <c r="R156" s="48"/>
      <c r="S156" s="48"/>
      <c r="T156" s="48"/>
      <c r="U156" s="54"/>
      <c r="V156" s="48"/>
      <c r="W156" s="52"/>
      <c r="X156" s="48"/>
      <c r="Y156" s="48"/>
    </row>
    <row r="157" spans="1:25" x14ac:dyDescent="0.8">
      <c r="A157" s="18"/>
      <c r="B157" s="18"/>
      <c r="C157" s="18"/>
      <c r="D157" s="18"/>
      <c r="E157" s="18"/>
      <c r="F157" s="18"/>
      <c r="G157" s="18"/>
      <c r="H157" s="18"/>
      <c r="I157" s="18"/>
      <c r="J157" s="74"/>
      <c r="K157" s="48"/>
      <c r="L157" s="48"/>
      <c r="M157" s="48"/>
      <c r="N157" s="54"/>
      <c r="O157" s="48"/>
      <c r="P157" s="56"/>
      <c r="R157" s="48"/>
      <c r="S157" s="48"/>
      <c r="T157" s="48"/>
      <c r="U157" s="54"/>
      <c r="V157" s="48"/>
      <c r="W157" s="52"/>
      <c r="X157" s="48"/>
      <c r="Y157" s="48"/>
    </row>
    <row r="158" spans="1:25" x14ac:dyDescent="0.8">
      <c r="A158" s="18"/>
      <c r="B158" s="18"/>
      <c r="C158" s="18"/>
      <c r="D158" s="18"/>
      <c r="E158" s="18"/>
      <c r="F158" s="18"/>
      <c r="G158" s="18"/>
      <c r="H158" s="18"/>
      <c r="I158" s="18"/>
      <c r="J158" s="74"/>
      <c r="K158" s="48"/>
      <c r="L158" s="48"/>
      <c r="M158" s="48"/>
      <c r="N158" s="54"/>
      <c r="O158" s="48"/>
      <c r="P158" s="56"/>
      <c r="R158" s="48"/>
      <c r="S158" s="48"/>
      <c r="T158" s="48"/>
      <c r="U158" s="54"/>
      <c r="V158" s="48"/>
      <c r="W158" s="52"/>
      <c r="X158" s="48"/>
      <c r="Y158" s="48"/>
    </row>
    <row r="159" spans="1:25" x14ac:dyDescent="0.8">
      <c r="A159" s="18"/>
      <c r="B159" s="18"/>
      <c r="C159" s="18"/>
      <c r="D159" s="18"/>
      <c r="E159" s="18"/>
      <c r="F159" s="18"/>
      <c r="G159" s="18"/>
      <c r="H159" s="18"/>
      <c r="I159" s="18"/>
      <c r="J159" s="74"/>
      <c r="K159" s="48"/>
      <c r="L159" s="48"/>
      <c r="M159" s="48"/>
      <c r="N159" s="54"/>
      <c r="O159" s="48"/>
      <c r="P159" s="56"/>
      <c r="R159" s="48"/>
      <c r="S159" s="48"/>
      <c r="T159" s="48"/>
      <c r="U159" s="54"/>
      <c r="V159" s="48"/>
      <c r="W159" s="52"/>
      <c r="X159" s="48"/>
      <c r="Y159" s="48"/>
    </row>
    <row r="160" spans="1:25" x14ac:dyDescent="0.8">
      <c r="A160" s="18"/>
      <c r="B160" s="18"/>
      <c r="C160" s="18"/>
      <c r="D160" s="18"/>
      <c r="E160" s="18"/>
      <c r="F160" s="18"/>
      <c r="G160" s="18"/>
      <c r="H160" s="18"/>
      <c r="I160" s="18"/>
      <c r="J160" s="74"/>
      <c r="K160" s="48"/>
      <c r="L160" s="48"/>
      <c r="M160" s="48"/>
      <c r="N160" s="54"/>
      <c r="O160" s="48"/>
      <c r="P160" s="56"/>
      <c r="R160" s="48"/>
      <c r="S160" s="48"/>
      <c r="T160" s="48"/>
      <c r="U160" s="54"/>
      <c r="V160" s="48"/>
      <c r="W160" s="52"/>
      <c r="X160" s="48"/>
      <c r="Y160" s="48"/>
    </row>
    <row r="161" spans="1:25" x14ac:dyDescent="0.8">
      <c r="A161" s="18"/>
      <c r="B161" s="18"/>
      <c r="C161" s="18"/>
      <c r="D161" s="18"/>
      <c r="E161" s="18"/>
      <c r="F161" s="18"/>
      <c r="G161" s="18"/>
      <c r="H161" s="18"/>
      <c r="I161" s="18"/>
      <c r="J161" s="74"/>
      <c r="K161" s="48"/>
      <c r="L161" s="48"/>
      <c r="M161" s="48"/>
      <c r="N161" s="54"/>
      <c r="O161" s="48"/>
      <c r="P161" s="56"/>
      <c r="R161" s="48"/>
      <c r="S161" s="48"/>
      <c r="T161" s="48"/>
      <c r="U161" s="54"/>
      <c r="V161" s="48"/>
      <c r="W161" s="52"/>
      <c r="X161" s="48"/>
      <c r="Y161" s="48"/>
    </row>
    <row r="162" spans="1:25" x14ac:dyDescent="0.8">
      <c r="A162" s="18"/>
      <c r="B162" s="18"/>
      <c r="C162" s="18"/>
      <c r="D162" s="18"/>
      <c r="E162" s="18"/>
      <c r="F162" s="18"/>
      <c r="G162" s="18"/>
      <c r="H162" s="18"/>
      <c r="I162" s="18"/>
      <c r="J162" s="74"/>
      <c r="K162" s="48"/>
      <c r="L162" s="48"/>
      <c r="M162" s="48"/>
      <c r="N162" s="54"/>
      <c r="O162" s="48"/>
      <c r="P162" s="56"/>
      <c r="R162" s="48"/>
      <c r="S162" s="48"/>
      <c r="T162" s="48"/>
      <c r="U162" s="54"/>
      <c r="V162" s="48"/>
      <c r="W162" s="52"/>
      <c r="X162" s="48"/>
      <c r="Y162" s="48"/>
    </row>
    <row r="163" spans="1:25" x14ac:dyDescent="0.8">
      <c r="A163" s="18"/>
      <c r="B163" s="18"/>
      <c r="C163" s="18"/>
      <c r="D163" s="18"/>
      <c r="E163" s="18"/>
      <c r="F163" s="18"/>
      <c r="G163" s="18"/>
      <c r="H163" s="18"/>
      <c r="I163" s="18"/>
      <c r="J163" s="74"/>
      <c r="K163" s="48"/>
      <c r="L163" s="48"/>
      <c r="M163" s="48"/>
      <c r="N163" s="54"/>
      <c r="O163" s="48"/>
      <c r="P163" s="56"/>
      <c r="R163" s="48"/>
      <c r="S163" s="48"/>
      <c r="T163" s="48"/>
      <c r="U163" s="54"/>
      <c r="V163" s="48"/>
      <c r="W163" s="52"/>
      <c r="X163" s="48"/>
      <c r="Y163" s="48"/>
    </row>
    <row r="164" spans="1:25" x14ac:dyDescent="0.8">
      <c r="A164" s="18"/>
      <c r="B164" s="18"/>
      <c r="C164" s="18"/>
      <c r="D164" s="18"/>
      <c r="E164" s="18"/>
      <c r="F164" s="18"/>
      <c r="G164" s="18"/>
      <c r="H164" s="18"/>
      <c r="I164" s="18"/>
      <c r="J164" s="74"/>
      <c r="K164" s="48"/>
      <c r="L164" s="48"/>
      <c r="M164" s="48"/>
      <c r="N164" s="54"/>
      <c r="O164" s="48"/>
      <c r="P164" s="56"/>
      <c r="R164" s="48"/>
      <c r="S164" s="48"/>
      <c r="T164" s="48"/>
      <c r="U164" s="54"/>
      <c r="V164" s="48"/>
      <c r="W164" s="52"/>
      <c r="X164" s="48"/>
      <c r="Y164" s="48"/>
    </row>
    <row r="165" spans="1:25" x14ac:dyDescent="0.8">
      <c r="A165" s="18"/>
      <c r="B165" s="18"/>
      <c r="C165" s="18"/>
      <c r="D165" s="18"/>
      <c r="E165" s="18"/>
      <c r="F165" s="18"/>
      <c r="G165" s="18"/>
      <c r="H165" s="18"/>
      <c r="I165" s="18"/>
      <c r="J165" s="74"/>
      <c r="K165" s="48"/>
      <c r="L165" s="48"/>
      <c r="M165" s="48"/>
      <c r="N165" s="54"/>
      <c r="O165" s="48"/>
      <c r="P165" s="56"/>
      <c r="R165" s="48"/>
      <c r="S165" s="48"/>
      <c r="T165" s="48"/>
      <c r="U165" s="54"/>
      <c r="V165" s="48"/>
      <c r="W165" s="52"/>
      <c r="X165" s="48"/>
      <c r="Y165" s="48"/>
    </row>
    <row r="166" spans="1:25" x14ac:dyDescent="0.8">
      <c r="A166" s="18"/>
      <c r="B166" s="18"/>
      <c r="C166" s="18"/>
      <c r="D166" s="18"/>
      <c r="E166" s="18"/>
      <c r="F166" s="18"/>
      <c r="G166" s="18"/>
      <c r="H166" s="18"/>
      <c r="I166" s="18"/>
      <c r="J166" s="74"/>
      <c r="K166" s="48"/>
      <c r="L166" s="48"/>
      <c r="M166" s="48"/>
      <c r="N166" s="54"/>
      <c r="O166" s="48"/>
      <c r="P166" s="56"/>
      <c r="R166" s="48"/>
      <c r="S166" s="48"/>
      <c r="T166" s="48"/>
      <c r="U166" s="54"/>
      <c r="V166" s="48"/>
      <c r="W166" s="52"/>
      <c r="X166" s="48"/>
      <c r="Y166" s="48"/>
    </row>
    <row r="167" spans="1:25" x14ac:dyDescent="0.8">
      <c r="A167" s="18"/>
      <c r="B167" s="18"/>
      <c r="C167" s="18"/>
      <c r="D167" s="18"/>
      <c r="E167" s="18"/>
      <c r="F167" s="18"/>
      <c r="G167" s="18"/>
      <c r="H167" s="18"/>
      <c r="I167" s="18"/>
      <c r="J167" s="74"/>
      <c r="K167" s="48"/>
      <c r="L167" s="48"/>
      <c r="M167" s="48"/>
      <c r="N167" s="54"/>
      <c r="O167" s="48"/>
      <c r="P167" s="56"/>
      <c r="R167" s="48"/>
      <c r="S167" s="48"/>
      <c r="T167" s="48"/>
      <c r="U167" s="54"/>
      <c r="V167" s="48"/>
      <c r="W167" s="52"/>
      <c r="X167" s="48"/>
      <c r="Y167" s="48"/>
    </row>
    <row r="168" spans="1:25" x14ac:dyDescent="0.8">
      <c r="A168" s="18"/>
      <c r="B168" s="18"/>
      <c r="C168" s="18"/>
      <c r="D168" s="18"/>
      <c r="E168" s="18"/>
      <c r="F168" s="18"/>
      <c r="G168" s="18"/>
      <c r="H168" s="18"/>
      <c r="I168" s="18"/>
      <c r="J168" s="74"/>
      <c r="K168" s="48"/>
      <c r="L168" s="48"/>
      <c r="M168" s="48"/>
      <c r="N168" s="54"/>
      <c r="O168" s="48"/>
      <c r="P168" s="56"/>
      <c r="R168" s="48"/>
      <c r="S168" s="48"/>
      <c r="T168" s="48"/>
      <c r="U168" s="54"/>
      <c r="V168" s="48"/>
      <c r="W168" s="52"/>
      <c r="X168" s="48"/>
      <c r="Y168" s="48"/>
    </row>
    <row r="169" spans="1:25" x14ac:dyDescent="0.8">
      <c r="A169" s="18"/>
      <c r="B169" s="18"/>
      <c r="C169" s="18"/>
      <c r="D169" s="18"/>
      <c r="E169" s="18"/>
      <c r="F169" s="18"/>
      <c r="G169" s="18"/>
      <c r="H169" s="18"/>
      <c r="I169" s="18"/>
      <c r="J169" s="74"/>
      <c r="K169" s="48"/>
      <c r="L169" s="48"/>
      <c r="M169" s="48"/>
      <c r="N169" s="54"/>
      <c r="O169" s="48"/>
      <c r="P169" s="56"/>
      <c r="R169" s="48"/>
      <c r="S169" s="48"/>
      <c r="T169" s="48"/>
      <c r="U169" s="54"/>
      <c r="V169" s="48"/>
      <c r="W169" s="52"/>
      <c r="X169" s="48"/>
      <c r="Y169" s="48"/>
    </row>
    <row r="170" spans="1:25" x14ac:dyDescent="0.8">
      <c r="A170" s="18"/>
      <c r="B170" s="18"/>
      <c r="C170" s="18"/>
      <c r="D170" s="18"/>
      <c r="E170" s="18"/>
      <c r="F170" s="18"/>
      <c r="G170" s="18"/>
      <c r="H170" s="18"/>
      <c r="I170" s="18"/>
      <c r="J170" s="74"/>
      <c r="K170" s="48"/>
      <c r="L170" s="48"/>
      <c r="M170" s="48"/>
      <c r="N170" s="54"/>
      <c r="O170" s="48"/>
      <c r="P170" s="56"/>
      <c r="R170" s="48"/>
      <c r="S170" s="48"/>
      <c r="T170" s="48"/>
      <c r="U170" s="54"/>
      <c r="V170" s="48"/>
      <c r="W170" s="52"/>
      <c r="X170" s="48"/>
      <c r="Y170" s="48"/>
    </row>
    <row r="171" spans="1:25" x14ac:dyDescent="0.8">
      <c r="A171" s="18"/>
      <c r="B171" s="18"/>
      <c r="C171" s="18"/>
      <c r="D171" s="18"/>
      <c r="E171" s="18"/>
      <c r="F171" s="18"/>
      <c r="G171" s="18"/>
      <c r="H171" s="18"/>
      <c r="I171" s="18"/>
      <c r="J171" s="74"/>
      <c r="K171" s="48"/>
      <c r="L171" s="48"/>
      <c r="M171" s="48"/>
      <c r="N171" s="54"/>
      <c r="O171" s="48"/>
      <c r="P171" s="56"/>
      <c r="R171" s="48"/>
      <c r="S171" s="48"/>
      <c r="T171" s="48"/>
      <c r="U171" s="54"/>
      <c r="V171" s="48"/>
      <c r="W171" s="52"/>
      <c r="X171" s="48"/>
      <c r="Y171" s="48"/>
    </row>
    <row r="172" spans="1:25" x14ac:dyDescent="0.8">
      <c r="A172" s="18"/>
      <c r="B172" s="18"/>
      <c r="C172" s="18"/>
      <c r="D172" s="18"/>
      <c r="E172" s="18"/>
      <c r="F172" s="18"/>
      <c r="G172" s="18"/>
      <c r="H172" s="18"/>
      <c r="I172" s="18"/>
      <c r="J172" s="74"/>
      <c r="K172" s="48"/>
      <c r="L172" s="48"/>
      <c r="M172" s="48"/>
      <c r="N172" s="54"/>
      <c r="O172" s="48"/>
      <c r="P172" s="56"/>
      <c r="R172" s="48"/>
      <c r="S172" s="48"/>
      <c r="T172" s="48"/>
      <c r="U172" s="54"/>
      <c r="V172" s="48"/>
      <c r="W172" s="52"/>
      <c r="X172" s="48"/>
      <c r="Y172" s="48"/>
    </row>
    <row r="173" spans="1:25" x14ac:dyDescent="0.8">
      <c r="A173" s="18"/>
      <c r="B173" s="18"/>
      <c r="C173" s="18"/>
      <c r="D173" s="18"/>
      <c r="E173" s="18"/>
      <c r="F173" s="18"/>
      <c r="G173" s="18"/>
      <c r="H173" s="18"/>
      <c r="I173" s="18"/>
      <c r="J173" s="74"/>
      <c r="K173" s="48"/>
      <c r="L173" s="48"/>
      <c r="M173" s="48"/>
      <c r="N173" s="54"/>
      <c r="O173" s="48"/>
      <c r="P173" s="56"/>
      <c r="R173" s="48"/>
      <c r="S173" s="48"/>
      <c r="T173" s="48"/>
      <c r="U173" s="54"/>
      <c r="V173" s="48"/>
      <c r="W173" s="52"/>
      <c r="X173" s="48"/>
      <c r="Y173" s="48"/>
    </row>
    <row r="174" spans="1:25" x14ac:dyDescent="0.8">
      <c r="A174" s="18"/>
      <c r="B174" s="18"/>
      <c r="C174" s="18"/>
      <c r="D174" s="18"/>
      <c r="E174" s="18"/>
      <c r="F174" s="18"/>
      <c r="G174" s="18"/>
      <c r="H174" s="18"/>
      <c r="I174" s="18"/>
      <c r="J174" s="74"/>
      <c r="K174" s="48"/>
      <c r="L174" s="48"/>
      <c r="M174" s="48"/>
      <c r="N174" s="54"/>
      <c r="O174" s="48"/>
      <c r="P174" s="56"/>
      <c r="R174" s="48"/>
      <c r="S174" s="48"/>
      <c r="T174" s="48"/>
      <c r="U174" s="54"/>
      <c r="V174" s="48"/>
      <c r="W174" s="52"/>
      <c r="X174" s="48"/>
      <c r="Y174" s="48"/>
    </row>
    <row r="175" spans="1:25" x14ac:dyDescent="0.8">
      <c r="A175" s="18"/>
      <c r="B175" s="18"/>
      <c r="C175" s="18"/>
      <c r="D175" s="18"/>
      <c r="E175" s="18"/>
      <c r="F175" s="18"/>
      <c r="G175" s="18"/>
      <c r="H175" s="18"/>
      <c r="I175" s="18"/>
      <c r="J175" s="74"/>
      <c r="K175" s="48"/>
      <c r="L175" s="48"/>
      <c r="M175" s="48"/>
      <c r="N175" s="54"/>
      <c r="O175" s="48"/>
      <c r="P175" s="56"/>
      <c r="R175" s="48"/>
      <c r="S175" s="48"/>
      <c r="T175" s="48"/>
      <c r="U175" s="54"/>
      <c r="V175" s="48"/>
      <c r="W175" s="52"/>
      <c r="X175" s="48"/>
      <c r="Y175" s="48"/>
    </row>
    <row r="176" spans="1:25" x14ac:dyDescent="0.8">
      <c r="A176" s="18"/>
      <c r="B176" s="18"/>
      <c r="C176" s="18"/>
      <c r="D176" s="18"/>
      <c r="E176" s="18"/>
      <c r="F176" s="18"/>
      <c r="G176" s="18"/>
      <c r="H176" s="18"/>
      <c r="I176" s="18"/>
      <c r="J176" s="74"/>
      <c r="K176" s="48"/>
      <c r="L176" s="48"/>
      <c r="M176" s="48"/>
      <c r="N176" s="54"/>
      <c r="O176" s="48"/>
      <c r="P176" s="56"/>
      <c r="R176" s="48"/>
      <c r="S176" s="48"/>
      <c r="T176" s="48"/>
      <c r="U176" s="54"/>
      <c r="V176" s="48"/>
      <c r="W176" s="52"/>
      <c r="X176" s="48"/>
      <c r="Y176" s="48"/>
    </row>
    <row r="177" spans="1:25" x14ac:dyDescent="0.8">
      <c r="A177" s="18"/>
      <c r="B177" s="18"/>
      <c r="C177" s="18"/>
      <c r="D177" s="18"/>
      <c r="E177" s="18"/>
      <c r="F177" s="18"/>
      <c r="G177" s="18"/>
      <c r="H177" s="18"/>
      <c r="I177" s="18"/>
      <c r="J177" s="74"/>
      <c r="K177" s="48"/>
      <c r="L177" s="48"/>
      <c r="M177" s="48"/>
      <c r="N177" s="54"/>
      <c r="O177" s="48"/>
      <c r="P177" s="56"/>
      <c r="R177" s="48"/>
      <c r="S177" s="48"/>
      <c r="T177" s="48"/>
      <c r="U177" s="54"/>
      <c r="V177" s="48"/>
      <c r="W177" s="52"/>
      <c r="X177" s="48"/>
      <c r="Y177" s="48"/>
    </row>
    <row r="178" spans="1:25" x14ac:dyDescent="0.8">
      <c r="A178" s="18"/>
      <c r="B178" s="18"/>
      <c r="C178" s="18"/>
      <c r="D178" s="18"/>
      <c r="E178" s="18"/>
      <c r="F178" s="18"/>
      <c r="G178" s="18"/>
      <c r="H178" s="18"/>
      <c r="I178" s="18"/>
      <c r="J178" s="74"/>
      <c r="K178" s="48"/>
      <c r="L178" s="48"/>
      <c r="M178" s="48"/>
      <c r="N178" s="54"/>
      <c r="O178" s="48"/>
      <c r="P178" s="56"/>
      <c r="R178" s="48"/>
      <c r="S178" s="48"/>
      <c r="T178" s="48"/>
      <c r="U178" s="54"/>
      <c r="V178" s="48"/>
      <c r="W178" s="52"/>
      <c r="X178" s="48"/>
      <c r="Y178" s="48"/>
    </row>
    <row r="179" spans="1:25" x14ac:dyDescent="0.8">
      <c r="A179" s="18"/>
      <c r="B179" s="18"/>
      <c r="C179" s="18"/>
      <c r="D179" s="18"/>
      <c r="E179" s="18"/>
      <c r="F179" s="18"/>
      <c r="G179" s="18"/>
      <c r="H179" s="18"/>
      <c r="I179" s="18"/>
      <c r="J179" s="74"/>
      <c r="K179" s="48"/>
      <c r="L179" s="48"/>
      <c r="M179" s="48"/>
      <c r="N179" s="54"/>
      <c r="O179" s="48"/>
      <c r="P179" s="56"/>
      <c r="R179" s="48"/>
      <c r="S179" s="48"/>
      <c r="T179" s="48"/>
      <c r="U179" s="54"/>
      <c r="V179" s="48"/>
      <c r="W179" s="52"/>
      <c r="X179" s="48"/>
      <c r="Y179" s="48"/>
    </row>
    <row r="180" spans="1:25" x14ac:dyDescent="0.8">
      <c r="A180" s="18"/>
      <c r="B180" s="18"/>
      <c r="C180" s="18"/>
      <c r="D180" s="18"/>
      <c r="E180" s="18"/>
      <c r="F180" s="18"/>
      <c r="G180" s="18"/>
      <c r="H180" s="18"/>
      <c r="I180" s="18"/>
      <c r="J180" s="74"/>
      <c r="K180" s="48"/>
      <c r="L180" s="48"/>
      <c r="M180" s="48"/>
      <c r="N180" s="54"/>
      <c r="O180" s="48"/>
      <c r="P180" s="56"/>
      <c r="R180" s="48"/>
      <c r="S180" s="48"/>
      <c r="T180" s="48"/>
      <c r="U180" s="54"/>
      <c r="V180" s="48"/>
      <c r="W180" s="52"/>
      <c r="X180" s="48"/>
      <c r="Y180" s="48"/>
    </row>
    <row r="181" spans="1:25" x14ac:dyDescent="0.8">
      <c r="A181" s="18"/>
      <c r="B181" s="18"/>
      <c r="C181" s="18"/>
      <c r="D181" s="18"/>
      <c r="E181" s="18"/>
      <c r="F181" s="18"/>
      <c r="G181" s="18"/>
      <c r="H181" s="18"/>
      <c r="I181" s="18"/>
      <c r="J181" s="74"/>
      <c r="K181" s="48"/>
      <c r="L181" s="48"/>
      <c r="M181" s="48"/>
      <c r="N181" s="54"/>
      <c r="O181" s="48"/>
      <c r="P181" s="56"/>
      <c r="R181" s="48"/>
      <c r="S181" s="48"/>
      <c r="T181" s="48"/>
      <c r="U181" s="54"/>
      <c r="V181" s="48"/>
      <c r="W181" s="52"/>
      <c r="X181" s="48"/>
      <c r="Y181" s="48"/>
    </row>
    <row r="182" spans="1:25" x14ac:dyDescent="0.8">
      <c r="A182" s="18"/>
      <c r="B182" s="18"/>
      <c r="C182" s="18"/>
      <c r="D182" s="18"/>
      <c r="E182" s="18"/>
      <c r="F182" s="18"/>
      <c r="G182" s="18"/>
      <c r="H182" s="18"/>
      <c r="I182" s="18"/>
      <c r="J182" s="74"/>
      <c r="K182" s="48"/>
      <c r="L182" s="48"/>
      <c r="M182" s="48"/>
      <c r="N182" s="54"/>
      <c r="O182" s="48"/>
      <c r="P182" s="56"/>
      <c r="R182" s="48"/>
      <c r="S182" s="48"/>
      <c r="T182" s="48"/>
      <c r="U182" s="54"/>
      <c r="V182" s="48"/>
      <c r="W182" s="52"/>
      <c r="X182" s="48"/>
      <c r="Y182" s="48"/>
    </row>
    <row r="183" spans="1:25" x14ac:dyDescent="0.8">
      <c r="A183" s="18"/>
      <c r="B183" s="18"/>
      <c r="C183" s="18"/>
      <c r="D183" s="18"/>
      <c r="E183" s="18"/>
      <c r="F183" s="18"/>
      <c r="G183" s="18"/>
      <c r="H183" s="18"/>
      <c r="I183" s="18"/>
      <c r="J183" s="74"/>
      <c r="K183" s="48"/>
      <c r="L183" s="48"/>
      <c r="M183" s="48"/>
      <c r="N183" s="54"/>
      <c r="O183" s="48"/>
      <c r="P183" s="56"/>
      <c r="R183" s="48"/>
      <c r="S183" s="48"/>
      <c r="T183" s="48"/>
      <c r="U183" s="54"/>
      <c r="V183" s="48"/>
      <c r="W183" s="52"/>
      <c r="X183" s="48"/>
      <c r="Y183" s="48"/>
    </row>
    <row r="184" spans="1:25" x14ac:dyDescent="0.8">
      <c r="A184" s="18"/>
      <c r="B184" s="18"/>
      <c r="C184" s="18"/>
      <c r="D184" s="18"/>
      <c r="E184" s="18"/>
      <c r="F184" s="18"/>
      <c r="G184" s="18"/>
      <c r="H184" s="18"/>
      <c r="I184" s="18"/>
      <c r="J184" s="74"/>
      <c r="K184" s="48"/>
      <c r="L184" s="48"/>
      <c r="M184" s="48"/>
      <c r="N184" s="54"/>
      <c r="O184" s="48"/>
      <c r="P184" s="56"/>
      <c r="R184" s="48"/>
      <c r="S184" s="48"/>
      <c r="T184" s="48"/>
      <c r="U184" s="54"/>
      <c r="V184" s="48"/>
      <c r="W184" s="52"/>
      <c r="X184" s="48"/>
      <c r="Y184" s="48"/>
    </row>
    <row r="185" spans="1:25" x14ac:dyDescent="0.8">
      <c r="A185" s="18"/>
      <c r="B185" s="18"/>
      <c r="C185" s="18"/>
      <c r="D185" s="18"/>
      <c r="E185" s="18"/>
      <c r="F185" s="18"/>
      <c r="G185" s="18"/>
      <c r="H185" s="18"/>
      <c r="I185" s="18"/>
      <c r="J185" s="74"/>
      <c r="K185" s="48"/>
      <c r="L185" s="48"/>
      <c r="M185" s="48"/>
      <c r="N185" s="54"/>
      <c r="O185" s="48"/>
      <c r="P185" s="56"/>
      <c r="R185" s="48"/>
      <c r="S185" s="48"/>
      <c r="T185" s="48"/>
      <c r="U185" s="54"/>
      <c r="V185" s="48"/>
      <c r="W185" s="52"/>
      <c r="X185" s="48"/>
      <c r="Y185" s="48"/>
    </row>
    <row r="186" spans="1:25" x14ac:dyDescent="0.8">
      <c r="A186" s="18"/>
      <c r="B186" s="18"/>
      <c r="C186" s="18"/>
      <c r="D186" s="18"/>
      <c r="E186" s="18"/>
      <c r="F186" s="18"/>
      <c r="G186" s="18"/>
      <c r="H186" s="18"/>
      <c r="I186" s="18"/>
      <c r="J186" s="74"/>
      <c r="K186" s="48"/>
      <c r="L186" s="48"/>
      <c r="M186" s="48"/>
      <c r="N186" s="54"/>
      <c r="O186" s="48"/>
      <c r="P186" s="56"/>
      <c r="R186" s="48"/>
      <c r="S186" s="48"/>
      <c r="T186" s="48"/>
      <c r="U186" s="54"/>
      <c r="V186" s="48"/>
      <c r="W186" s="52"/>
      <c r="X186" s="48"/>
      <c r="Y186" s="48"/>
    </row>
    <row r="187" spans="1:25" x14ac:dyDescent="0.8">
      <c r="A187" s="18"/>
      <c r="B187" s="18"/>
      <c r="C187" s="18"/>
      <c r="D187" s="18"/>
      <c r="E187" s="18"/>
      <c r="F187" s="18"/>
      <c r="G187" s="18"/>
      <c r="H187" s="18"/>
      <c r="I187" s="18"/>
      <c r="J187" s="74"/>
      <c r="K187" s="48"/>
      <c r="L187" s="48"/>
      <c r="M187" s="48"/>
      <c r="N187" s="54"/>
      <c r="O187" s="48"/>
      <c r="P187" s="56"/>
      <c r="R187" s="48"/>
      <c r="S187" s="48"/>
      <c r="T187" s="48"/>
      <c r="U187" s="54"/>
      <c r="V187" s="48"/>
      <c r="W187" s="52"/>
      <c r="X187" s="48"/>
      <c r="Y187" s="48"/>
    </row>
    <row r="188" spans="1:25" x14ac:dyDescent="0.8">
      <c r="A188" s="18"/>
      <c r="B188" s="18"/>
      <c r="C188" s="18"/>
      <c r="D188" s="18"/>
      <c r="E188" s="18"/>
      <c r="F188" s="18"/>
      <c r="G188" s="18"/>
      <c r="H188" s="18"/>
      <c r="I188" s="18"/>
      <c r="J188" s="74"/>
      <c r="K188" s="48"/>
      <c r="L188" s="48"/>
      <c r="M188" s="48"/>
      <c r="N188" s="54"/>
      <c r="O188" s="48"/>
      <c r="P188" s="56"/>
      <c r="R188" s="48"/>
      <c r="S188" s="48"/>
      <c r="T188" s="48"/>
      <c r="U188" s="54"/>
      <c r="V188" s="48"/>
      <c r="W188" s="52"/>
      <c r="X188" s="48"/>
      <c r="Y188" s="48"/>
    </row>
    <row r="189" spans="1:25" x14ac:dyDescent="0.8">
      <c r="A189" s="18"/>
      <c r="B189" s="18"/>
      <c r="C189" s="18"/>
      <c r="D189" s="18"/>
      <c r="E189" s="18"/>
      <c r="F189" s="18"/>
      <c r="G189" s="18"/>
      <c r="H189" s="18"/>
      <c r="I189" s="18"/>
      <c r="J189" s="74"/>
      <c r="K189" s="48"/>
      <c r="L189" s="48"/>
      <c r="M189" s="48"/>
      <c r="N189" s="54"/>
      <c r="O189" s="48"/>
      <c r="P189" s="56"/>
      <c r="R189" s="48"/>
      <c r="S189" s="48"/>
      <c r="T189" s="48"/>
      <c r="U189" s="54"/>
      <c r="V189" s="48"/>
      <c r="W189" s="52"/>
      <c r="X189" s="48"/>
      <c r="Y189" s="48"/>
    </row>
    <row r="190" spans="1:25" x14ac:dyDescent="0.8">
      <c r="A190" s="18"/>
      <c r="B190" s="18"/>
      <c r="C190" s="18"/>
      <c r="D190" s="18"/>
      <c r="E190" s="18"/>
      <c r="F190" s="18"/>
      <c r="G190" s="18"/>
      <c r="H190" s="18"/>
      <c r="I190" s="18"/>
      <c r="J190" s="74"/>
      <c r="K190" s="48"/>
      <c r="L190" s="48"/>
      <c r="M190" s="48"/>
      <c r="N190" s="54"/>
      <c r="O190" s="48"/>
      <c r="P190" s="56"/>
      <c r="R190" s="48"/>
      <c r="S190" s="48"/>
      <c r="T190" s="48"/>
      <c r="U190" s="54"/>
      <c r="V190" s="48"/>
      <c r="W190" s="52"/>
      <c r="X190" s="48"/>
      <c r="Y190" s="48"/>
    </row>
    <row r="191" spans="1:25" x14ac:dyDescent="0.8">
      <c r="A191" s="18"/>
      <c r="B191" s="18"/>
      <c r="C191" s="18"/>
      <c r="D191" s="18"/>
      <c r="E191" s="18"/>
      <c r="F191" s="18"/>
      <c r="G191" s="18"/>
      <c r="H191" s="18"/>
      <c r="I191" s="18"/>
      <c r="J191" s="74"/>
      <c r="K191" s="48"/>
      <c r="L191" s="48"/>
      <c r="M191" s="48"/>
      <c r="N191" s="54"/>
      <c r="O191" s="48"/>
      <c r="P191" s="56"/>
      <c r="R191" s="48"/>
      <c r="S191" s="48"/>
      <c r="T191" s="48"/>
      <c r="U191" s="54"/>
      <c r="V191" s="48"/>
      <c r="W191" s="52"/>
      <c r="X191" s="48"/>
      <c r="Y191" s="48"/>
    </row>
    <row r="192" spans="1:25" x14ac:dyDescent="0.8">
      <c r="A192" s="18"/>
      <c r="B192" s="18"/>
      <c r="C192" s="18"/>
      <c r="D192" s="18"/>
      <c r="E192" s="18"/>
      <c r="F192" s="18"/>
      <c r="G192" s="18"/>
      <c r="H192" s="18"/>
      <c r="I192" s="18"/>
      <c r="J192" s="74"/>
      <c r="K192" s="48"/>
      <c r="L192" s="48"/>
      <c r="M192" s="48"/>
      <c r="N192" s="54"/>
      <c r="O192" s="48"/>
      <c r="P192" s="56"/>
      <c r="R192" s="48"/>
      <c r="S192" s="48"/>
      <c r="T192" s="48"/>
      <c r="U192" s="54"/>
      <c r="V192" s="48"/>
      <c r="W192" s="52"/>
      <c r="X192" s="48"/>
      <c r="Y192" s="48"/>
    </row>
    <row r="193" spans="1:25" x14ac:dyDescent="0.8">
      <c r="A193" s="18"/>
      <c r="B193" s="18"/>
      <c r="C193" s="18"/>
      <c r="D193" s="18"/>
      <c r="E193" s="18"/>
      <c r="F193" s="18"/>
      <c r="G193" s="18"/>
      <c r="H193" s="18"/>
      <c r="I193" s="18"/>
      <c r="J193" s="74"/>
      <c r="K193" s="48"/>
      <c r="L193" s="48"/>
      <c r="M193" s="48"/>
      <c r="N193" s="54"/>
      <c r="O193" s="48"/>
      <c r="P193" s="56"/>
      <c r="R193" s="48"/>
      <c r="S193" s="48"/>
      <c r="T193" s="48"/>
      <c r="U193" s="54"/>
      <c r="V193" s="48"/>
      <c r="W193" s="52"/>
      <c r="X193" s="48"/>
      <c r="Y193" s="48"/>
    </row>
    <row r="194" spans="1:25" x14ac:dyDescent="0.8">
      <c r="A194" s="18"/>
      <c r="B194" s="18"/>
      <c r="C194" s="18"/>
      <c r="D194" s="18"/>
      <c r="E194" s="18"/>
      <c r="F194" s="18"/>
      <c r="G194" s="18"/>
      <c r="H194" s="18"/>
      <c r="I194" s="18"/>
      <c r="J194" s="74"/>
      <c r="K194" s="48"/>
      <c r="L194" s="48"/>
      <c r="M194" s="48"/>
      <c r="N194" s="54"/>
      <c r="O194" s="48"/>
      <c r="P194" s="56"/>
      <c r="R194" s="48"/>
      <c r="S194" s="48"/>
      <c r="T194" s="48"/>
      <c r="U194" s="54"/>
      <c r="V194" s="48"/>
      <c r="W194" s="52"/>
      <c r="X194" s="48"/>
      <c r="Y194" s="48"/>
    </row>
    <row r="195" spans="1:25" x14ac:dyDescent="0.8">
      <c r="A195" s="18"/>
      <c r="B195" s="18"/>
      <c r="C195" s="18"/>
      <c r="D195" s="18"/>
      <c r="E195" s="18"/>
      <c r="F195" s="18"/>
      <c r="G195" s="18"/>
      <c r="H195" s="18"/>
      <c r="I195" s="18"/>
      <c r="J195" s="74"/>
      <c r="K195" s="48"/>
      <c r="L195" s="48"/>
      <c r="M195" s="48"/>
      <c r="N195" s="54"/>
      <c r="O195" s="48"/>
      <c r="P195" s="56"/>
      <c r="R195" s="48"/>
      <c r="S195" s="48"/>
      <c r="T195" s="48"/>
      <c r="U195" s="54"/>
      <c r="V195" s="48"/>
      <c r="W195" s="52"/>
      <c r="X195" s="48"/>
      <c r="Y195" s="48"/>
    </row>
    <row r="196" spans="1:25" x14ac:dyDescent="0.8">
      <c r="A196" s="18"/>
      <c r="B196" s="18"/>
      <c r="C196" s="18"/>
      <c r="D196" s="18"/>
      <c r="E196" s="18"/>
      <c r="F196" s="18"/>
      <c r="G196" s="18"/>
      <c r="H196" s="18"/>
      <c r="I196" s="18"/>
      <c r="J196" s="74"/>
      <c r="K196" s="48"/>
      <c r="L196" s="48"/>
      <c r="M196" s="48"/>
      <c r="N196" s="54"/>
      <c r="O196" s="48"/>
      <c r="P196" s="56"/>
      <c r="R196" s="48"/>
      <c r="S196" s="48"/>
      <c r="T196" s="48"/>
      <c r="U196" s="54"/>
      <c r="V196" s="48"/>
      <c r="W196" s="52"/>
      <c r="X196" s="48"/>
      <c r="Y196" s="48"/>
    </row>
    <row r="197" spans="1:25" x14ac:dyDescent="0.8">
      <c r="A197" s="18"/>
      <c r="B197" s="18"/>
      <c r="C197" s="18"/>
      <c r="D197" s="18"/>
      <c r="E197" s="18"/>
      <c r="F197" s="18"/>
      <c r="G197" s="18"/>
      <c r="H197" s="18"/>
      <c r="I197" s="18"/>
      <c r="J197" s="74"/>
      <c r="K197" s="48"/>
      <c r="L197" s="48"/>
      <c r="M197" s="48"/>
      <c r="N197" s="54"/>
      <c r="O197" s="48"/>
      <c r="P197" s="56"/>
      <c r="R197" s="48"/>
      <c r="S197" s="48"/>
      <c r="T197" s="48"/>
      <c r="U197" s="54"/>
      <c r="V197" s="48"/>
      <c r="W197" s="52"/>
      <c r="X197" s="48"/>
      <c r="Y197" s="48"/>
    </row>
    <row r="198" spans="1:25" x14ac:dyDescent="0.8">
      <c r="A198" s="18"/>
      <c r="B198" s="18"/>
      <c r="C198" s="18"/>
      <c r="D198" s="18"/>
      <c r="E198" s="18"/>
      <c r="F198" s="18"/>
      <c r="G198" s="18"/>
      <c r="H198" s="18"/>
      <c r="I198" s="18"/>
      <c r="J198" s="74"/>
      <c r="K198" s="48"/>
      <c r="L198" s="48"/>
      <c r="M198" s="48"/>
      <c r="N198" s="54"/>
      <c r="O198" s="48"/>
      <c r="P198" s="56"/>
      <c r="R198" s="48"/>
      <c r="S198" s="48"/>
      <c r="T198" s="48"/>
      <c r="U198" s="54"/>
      <c r="V198" s="48"/>
      <c r="W198" s="52"/>
      <c r="X198" s="48"/>
      <c r="Y198" s="48"/>
    </row>
    <row r="199" spans="1:25" x14ac:dyDescent="0.8">
      <c r="A199" s="18"/>
      <c r="B199" s="18"/>
      <c r="C199" s="18"/>
      <c r="D199" s="18"/>
      <c r="E199" s="18"/>
      <c r="F199" s="18"/>
      <c r="G199" s="18"/>
      <c r="H199" s="18"/>
      <c r="I199" s="18"/>
      <c r="J199" s="74"/>
      <c r="K199" s="48"/>
      <c r="L199" s="48"/>
      <c r="M199" s="48"/>
      <c r="N199" s="54"/>
      <c r="O199" s="48"/>
      <c r="P199" s="56"/>
      <c r="R199" s="48"/>
      <c r="S199" s="48"/>
      <c r="T199" s="48"/>
      <c r="U199" s="54"/>
      <c r="V199" s="48"/>
      <c r="W199" s="52"/>
      <c r="X199" s="48"/>
      <c r="Y199" s="48"/>
    </row>
    <row r="200" spans="1:25" x14ac:dyDescent="0.8">
      <c r="A200" s="18"/>
      <c r="B200" s="18"/>
      <c r="C200" s="18"/>
      <c r="D200" s="18"/>
      <c r="E200" s="18"/>
      <c r="F200" s="18"/>
      <c r="G200" s="18"/>
      <c r="H200" s="18"/>
      <c r="I200" s="18"/>
      <c r="J200" s="74"/>
      <c r="K200" s="48"/>
      <c r="L200" s="48"/>
      <c r="M200" s="48"/>
      <c r="N200" s="54"/>
      <c r="O200" s="48"/>
      <c r="P200" s="56"/>
      <c r="R200" s="48"/>
      <c r="S200" s="48"/>
      <c r="T200" s="48"/>
      <c r="U200" s="54"/>
      <c r="V200" s="48"/>
      <c r="W200" s="52"/>
      <c r="X200" s="48"/>
      <c r="Y200" s="48"/>
    </row>
    <row r="201" spans="1:25" x14ac:dyDescent="0.8">
      <c r="A201" s="18"/>
      <c r="B201" s="18"/>
      <c r="C201" s="18"/>
      <c r="D201" s="18"/>
      <c r="E201" s="18"/>
      <c r="F201" s="18"/>
      <c r="G201" s="18"/>
      <c r="H201" s="18"/>
      <c r="I201" s="18"/>
      <c r="J201" s="74"/>
      <c r="K201" s="48"/>
      <c r="L201" s="48"/>
      <c r="M201" s="48"/>
      <c r="N201" s="54"/>
      <c r="O201" s="48"/>
      <c r="P201" s="56"/>
      <c r="R201" s="48"/>
      <c r="S201" s="48"/>
      <c r="T201" s="48"/>
      <c r="U201" s="54"/>
      <c r="V201" s="48"/>
      <c r="W201" s="52"/>
      <c r="X201" s="48"/>
      <c r="Y201" s="48"/>
    </row>
    <row r="202" spans="1:25" x14ac:dyDescent="0.8">
      <c r="A202" s="18"/>
      <c r="B202" s="18"/>
      <c r="C202" s="18"/>
      <c r="D202" s="18"/>
      <c r="E202" s="18"/>
      <c r="F202" s="18"/>
      <c r="G202" s="18"/>
      <c r="H202" s="18"/>
      <c r="I202" s="18"/>
      <c r="J202" s="74"/>
      <c r="K202" s="48"/>
      <c r="L202" s="48"/>
      <c r="M202" s="48"/>
      <c r="N202" s="54"/>
      <c r="O202" s="48"/>
      <c r="P202" s="56"/>
      <c r="R202" s="48"/>
      <c r="S202" s="48"/>
      <c r="T202" s="48"/>
      <c r="U202" s="54"/>
      <c r="V202" s="48"/>
      <c r="W202" s="52"/>
      <c r="X202" s="48"/>
      <c r="Y202" s="48"/>
    </row>
    <row r="203" spans="1:25" x14ac:dyDescent="0.8">
      <c r="A203" s="18"/>
      <c r="B203" s="18"/>
      <c r="C203" s="18"/>
      <c r="D203" s="18"/>
      <c r="E203" s="18"/>
      <c r="F203" s="18"/>
      <c r="G203" s="18"/>
      <c r="H203" s="18"/>
      <c r="I203" s="18"/>
      <c r="J203" s="74"/>
      <c r="K203" s="48"/>
      <c r="L203" s="48"/>
      <c r="M203" s="48"/>
      <c r="N203" s="54"/>
      <c r="O203" s="48"/>
      <c r="P203" s="56"/>
      <c r="R203" s="48"/>
      <c r="S203" s="48"/>
      <c r="T203" s="48"/>
      <c r="U203" s="54"/>
      <c r="V203" s="48"/>
      <c r="W203" s="52"/>
      <c r="X203" s="48"/>
      <c r="Y203" s="48"/>
    </row>
    <row r="204" spans="1:25" x14ac:dyDescent="0.8">
      <c r="A204" s="18"/>
      <c r="B204" s="18"/>
      <c r="C204" s="18"/>
      <c r="D204" s="18"/>
      <c r="E204" s="18"/>
      <c r="F204" s="18"/>
      <c r="G204" s="18"/>
      <c r="H204" s="18"/>
      <c r="I204" s="18"/>
      <c r="J204" s="74"/>
      <c r="K204" s="48"/>
      <c r="L204" s="48"/>
      <c r="M204" s="48"/>
      <c r="N204" s="54"/>
      <c r="O204" s="48"/>
      <c r="P204" s="56"/>
      <c r="R204" s="48"/>
      <c r="S204" s="48"/>
      <c r="T204" s="48"/>
      <c r="U204" s="54"/>
      <c r="V204" s="48"/>
      <c r="W204" s="52"/>
      <c r="X204" s="48"/>
      <c r="Y204" s="48"/>
    </row>
    <row r="205" spans="1:25" x14ac:dyDescent="0.8">
      <c r="A205" s="18"/>
      <c r="B205" s="18"/>
      <c r="C205" s="18"/>
      <c r="D205" s="18"/>
      <c r="E205" s="18"/>
      <c r="F205" s="18"/>
      <c r="G205" s="18"/>
      <c r="H205" s="18"/>
      <c r="I205" s="18"/>
      <c r="J205" s="74"/>
      <c r="K205" s="48"/>
      <c r="L205" s="48"/>
      <c r="M205" s="48"/>
      <c r="N205" s="54"/>
      <c r="O205" s="48"/>
      <c r="P205" s="56"/>
      <c r="R205" s="48"/>
      <c r="S205" s="48"/>
      <c r="T205" s="48"/>
      <c r="U205" s="54"/>
      <c r="V205" s="48"/>
      <c r="W205" s="52"/>
      <c r="X205" s="48"/>
      <c r="Y205" s="48"/>
    </row>
    <row r="206" spans="1:25" x14ac:dyDescent="0.8">
      <c r="A206" s="18"/>
      <c r="B206" s="18"/>
      <c r="C206" s="18"/>
      <c r="D206" s="18"/>
      <c r="E206" s="18"/>
      <c r="F206" s="18"/>
      <c r="G206" s="18"/>
      <c r="H206" s="18"/>
      <c r="I206" s="18"/>
      <c r="J206" s="74"/>
      <c r="K206" s="48"/>
      <c r="L206" s="48"/>
      <c r="M206" s="48"/>
      <c r="N206" s="54"/>
      <c r="O206" s="48"/>
      <c r="P206" s="56"/>
      <c r="R206" s="48"/>
      <c r="S206" s="48"/>
      <c r="T206" s="48"/>
      <c r="U206" s="54"/>
      <c r="V206" s="48"/>
      <c r="W206" s="52"/>
      <c r="X206" s="48"/>
      <c r="Y206" s="48"/>
    </row>
    <row r="207" spans="1:25" x14ac:dyDescent="0.8">
      <c r="A207" s="18"/>
      <c r="B207" s="18"/>
      <c r="C207" s="18"/>
      <c r="D207" s="18"/>
      <c r="E207" s="18"/>
      <c r="F207" s="18"/>
      <c r="G207" s="18"/>
      <c r="H207" s="18"/>
      <c r="I207" s="18"/>
      <c r="J207" s="74"/>
      <c r="K207" s="48"/>
      <c r="L207" s="48"/>
      <c r="M207" s="48"/>
      <c r="N207" s="54"/>
      <c r="O207" s="48"/>
      <c r="P207" s="56"/>
      <c r="R207" s="48"/>
      <c r="S207" s="48"/>
      <c r="T207" s="48"/>
      <c r="U207" s="54"/>
      <c r="V207" s="48"/>
      <c r="W207" s="52"/>
      <c r="X207" s="48"/>
      <c r="Y207" s="48"/>
    </row>
    <row r="208" spans="1:25" x14ac:dyDescent="0.8">
      <c r="A208" s="18"/>
      <c r="B208" s="18"/>
      <c r="C208" s="18"/>
      <c r="D208" s="18"/>
      <c r="E208" s="18"/>
      <c r="F208" s="18"/>
      <c r="G208" s="18"/>
      <c r="H208" s="18"/>
      <c r="I208" s="18"/>
      <c r="J208" s="74"/>
      <c r="K208" s="48"/>
      <c r="L208" s="48"/>
      <c r="M208" s="48"/>
      <c r="N208" s="54"/>
      <c r="O208" s="48"/>
      <c r="P208" s="56"/>
      <c r="R208" s="48"/>
      <c r="S208" s="48"/>
      <c r="T208" s="48"/>
      <c r="U208" s="54"/>
      <c r="V208" s="48"/>
      <c r="W208" s="52"/>
      <c r="X208" s="48"/>
      <c r="Y208" s="48"/>
    </row>
    <row r="209" spans="1:25" x14ac:dyDescent="0.8">
      <c r="A209" s="18"/>
      <c r="B209" s="18"/>
      <c r="C209" s="18"/>
      <c r="D209" s="18"/>
      <c r="E209" s="18"/>
      <c r="F209" s="18"/>
      <c r="G209" s="18"/>
      <c r="H209" s="18"/>
      <c r="I209" s="18"/>
      <c r="J209" s="74"/>
      <c r="K209" s="48"/>
      <c r="L209" s="48"/>
      <c r="M209" s="48"/>
      <c r="N209" s="54"/>
      <c r="O209" s="48"/>
      <c r="P209" s="56"/>
      <c r="R209" s="48"/>
      <c r="S209" s="48"/>
      <c r="T209" s="48"/>
      <c r="U209" s="54"/>
      <c r="V209" s="48"/>
      <c r="W209" s="52"/>
      <c r="X209" s="48"/>
      <c r="Y209" s="48"/>
    </row>
    <row r="210" spans="1:25" x14ac:dyDescent="0.8">
      <c r="A210" s="18"/>
      <c r="B210" s="18"/>
      <c r="C210" s="18"/>
      <c r="D210" s="18"/>
      <c r="E210" s="18"/>
      <c r="F210" s="18"/>
      <c r="G210" s="18"/>
      <c r="H210" s="18"/>
      <c r="I210" s="18"/>
      <c r="J210" s="74"/>
      <c r="K210" s="48"/>
      <c r="L210" s="48"/>
      <c r="M210" s="48"/>
      <c r="N210" s="54"/>
      <c r="O210" s="48"/>
      <c r="P210" s="56"/>
      <c r="R210" s="48"/>
      <c r="S210" s="48"/>
      <c r="T210" s="48"/>
      <c r="U210" s="54"/>
      <c r="V210" s="48"/>
      <c r="W210" s="52"/>
      <c r="X210" s="48"/>
      <c r="Y210" s="48"/>
    </row>
    <row r="211" spans="1:25" x14ac:dyDescent="0.8">
      <c r="A211" s="18"/>
      <c r="B211" s="18"/>
      <c r="C211" s="18"/>
      <c r="D211" s="18"/>
      <c r="E211" s="18"/>
      <c r="F211" s="18"/>
      <c r="G211" s="18"/>
      <c r="H211" s="18"/>
      <c r="I211" s="18"/>
      <c r="J211" s="74"/>
      <c r="K211" s="48"/>
      <c r="L211" s="48"/>
      <c r="M211" s="48"/>
      <c r="N211" s="54"/>
      <c r="O211" s="48"/>
      <c r="P211" s="56"/>
      <c r="R211" s="48"/>
      <c r="S211" s="48"/>
      <c r="T211" s="48"/>
      <c r="U211" s="54"/>
      <c r="V211" s="48"/>
      <c r="W211" s="52"/>
      <c r="X211" s="48"/>
      <c r="Y211" s="48"/>
    </row>
    <row r="212" spans="1:25" x14ac:dyDescent="0.8">
      <c r="A212" s="18"/>
      <c r="B212" s="18"/>
      <c r="C212" s="18"/>
      <c r="D212" s="18"/>
      <c r="E212" s="18"/>
      <c r="F212" s="18"/>
      <c r="G212" s="18"/>
      <c r="H212" s="18"/>
      <c r="I212" s="18"/>
      <c r="J212" s="74"/>
      <c r="K212" s="48"/>
      <c r="L212" s="48"/>
      <c r="M212" s="48"/>
      <c r="N212" s="54"/>
      <c r="O212" s="48"/>
      <c r="P212" s="56"/>
      <c r="R212" s="48"/>
      <c r="S212" s="48"/>
      <c r="T212" s="48"/>
      <c r="U212" s="54"/>
      <c r="V212" s="48"/>
      <c r="W212" s="52"/>
      <c r="X212" s="48"/>
      <c r="Y212" s="48"/>
    </row>
    <row r="213" spans="1:25" x14ac:dyDescent="0.8">
      <c r="A213" s="18"/>
      <c r="B213" s="18"/>
      <c r="C213" s="18"/>
      <c r="D213" s="18"/>
      <c r="E213" s="18"/>
      <c r="F213" s="18"/>
      <c r="G213" s="18"/>
      <c r="H213" s="18"/>
      <c r="I213" s="18"/>
      <c r="J213" s="74"/>
      <c r="K213" s="48"/>
      <c r="L213" s="48"/>
      <c r="M213" s="48"/>
      <c r="N213" s="54"/>
      <c r="O213" s="48"/>
      <c r="P213" s="56"/>
      <c r="R213" s="48"/>
      <c r="S213" s="48"/>
      <c r="T213" s="48"/>
      <c r="U213" s="54"/>
      <c r="V213" s="48"/>
      <c r="W213" s="52"/>
      <c r="X213" s="48"/>
      <c r="Y213" s="48"/>
    </row>
    <row r="214" spans="1:25" x14ac:dyDescent="0.8">
      <c r="A214" s="18"/>
      <c r="B214" s="18"/>
      <c r="C214" s="18"/>
      <c r="D214" s="18"/>
      <c r="E214" s="18"/>
      <c r="F214" s="18"/>
      <c r="G214" s="18"/>
      <c r="H214" s="18"/>
      <c r="I214" s="18"/>
      <c r="J214" s="74"/>
      <c r="K214" s="48"/>
      <c r="L214" s="48"/>
      <c r="M214" s="48"/>
      <c r="N214" s="54"/>
      <c r="O214" s="48"/>
      <c r="P214" s="56"/>
      <c r="R214" s="48"/>
      <c r="S214" s="48"/>
      <c r="T214" s="48"/>
      <c r="U214" s="54"/>
      <c r="V214" s="48"/>
      <c r="W214" s="52"/>
      <c r="X214" s="48"/>
      <c r="Y214" s="48"/>
    </row>
    <row r="215" spans="1:25" x14ac:dyDescent="0.8">
      <c r="A215" s="18"/>
      <c r="B215" s="18"/>
      <c r="C215" s="18"/>
      <c r="D215" s="18"/>
      <c r="E215" s="18"/>
      <c r="F215" s="18"/>
      <c r="G215" s="18"/>
      <c r="H215" s="18"/>
      <c r="I215" s="18"/>
      <c r="J215" s="74"/>
      <c r="K215" s="48"/>
      <c r="L215" s="48"/>
      <c r="M215" s="48"/>
      <c r="N215" s="54"/>
      <c r="O215" s="48"/>
      <c r="P215" s="56"/>
      <c r="R215" s="48"/>
      <c r="S215" s="48"/>
      <c r="T215" s="48"/>
      <c r="U215" s="54"/>
      <c r="V215" s="48"/>
      <c r="W215" s="52"/>
      <c r="X215" s="48"/>
      <c r="Y215" s="48"/>
    </row>
    <row r="216" spans="1:25" x14ac:dyDescent="0.8">
      <c r="A216" s="18"/>
      <c r="B216" s="18"/>
      <c r="C216" s="18"/>
      <c r="D216" s="18"/>
      <c r="E216" s="18"/>
      <c r="F216" s="18"/>
      <c r="G216" s="18"/>
      <c r="H216" s="18"/>
      <c r="I216" s="18"/>
      <c r="J216" s="74"/>
      <c r="K216" s="48"/>
      <c r="L216" s="48"/>
      <c r="M216" s="48"/>
      <c r="N216" s="54"/>
      <c r="O216" s="48"/>
      <c r="P216" s="56"/>
      <c r="R216" s="48"/>
      <c r="S216" s="48"/>
      <c r="T216" s="48"/>
      <c r="U216" s="54"/>
      <c r="V216" s="48"/>
      <c r="W216" s="52"/>
      <c r="X216" s="48"/>
      <c r="Y216" s="48"/>
    </row>
    <row r="217" spans="1:25" x14ac:dyDescent="0.8">
      <c r="A217" s="18"/>
      <c r="B217" s="18"/>
      <c r="C217" s="18"/>
      <c r="D217" s="18"/>
      <c r="E217" s="18"/>
      <c r="F217" s="18"/>
      <c r="G217" s="18"/>
      <c r="H217" s="18"/>
      <c r="I217" s="18"/>
      <c r="J217" s="74"/>
      <c r="K217" s="48"/>
      <c r="L217" s="48"/>
      <c r="M217" s="48"/>
      <c r="N217" s="54"/>
      <c r="O217" s="48"/>
      <c r="P217" s="56"/>
      <c r="R217" s="48"/>
      <c r="S217" s="48"/>
      <c r="T217" s="48"/>
      <c r="U217" s="54"/>
      <c r="V217" s="48"/>
      <c r="W217" s="52"/>
      <c r="X217" s="48"/>
      <c r="Y217" s="48"/>
    </row>
    <row r="218" spans="1:25" x14ac:dyDescent="0.8">
      <c r="A218" s="18"/>
      <c r="B218" s="18"/>
      <c r="C218" s="18"/>
      <c r="D218" s="18"/>
      <c r="E218" s="18"/>
      <c r="F218" s="18"/>
      <c r="G218" s="18"/>
      <c r="H218" s="18"/>
      <c r="I218" s="18"/>
      <c r="J218" s="74"/>
      <c r="K218" s="48"/>
      <c r="L218" s="48"/>
      <c r="M218" s="48"/>
      <c r="N218" s="54"/>
      <c r="O218" s="48"/>
      <c r="P218" s="56"/>
      <c r="R218" s="48"/>
      <c r="S218" s="48"/>
      <c r="T218" s="48"/>
      <c r="U218" s="54"/>
      <c r="V218" s="48"/>
      <c r="W218" s="52"/>
      <c r="X218" s="48"/>
      <c r="Y218" s="48"/>
    </row>
    <row r="219" spans="1:25" x14ac:dyDescent="0.8">
      <c r="A219" s="18"/>
      <c r="B219" s="18"/>
      <c r="C219" s="18"/>
      <c r="D219" s="18"/>
      <c r="E219" s="18"/>
      <c r="F219" s="18"/>
      <c r="G219" s="18"/>
      <c r="H219" s="18"/>
      <c r="I219" s="18"/>
      <c r="J219" s="74"/>
      <c r="K219" s="48"/>
      <c r="L219" s="48"/>
      <c r="M219" s="48"/>
      <c r="N219" s="54"/>
      <c r="O219" s="48"/>
      <c r="P219" s="56"/>
      <c r="R219" s="48"/>
      <c r="S219" s="48"/>
      <c r="T219" s="48"/>
      <c r="U219" s="54"/>
      <c r="V219" s="48"/>
      <c r="W219" s="52"/>
      <c r="X219" s="48"/>
      <c r="Y219" s="48"/>
    </row>
    <row r="220" spans="1:25" x14ac:dyDescent="0.8">
      <c r="A220" s="18"/>
      <c r="B220" s="18"/>
      <c r="C220" s="18"/>
      <c r="D220" s="18"/>
      <c r="E220" s="18"/>
      <c r="F220" s="18"/>
      <c r="G220" s="18"/>
      <c r="H220" s="18"/>
      <c r="I220" s="18"/>
      <c r="J220" s="74"/>
      <c r="K220" s="48"/>
      <c r="L220" s="48"/>
      <c r="M220" s="48"/>
      <c r="N220" s="54"/>
      <c r="O220" s="48"/>
      <c r="P220" s="56"/>
      <c r="R220" s="48"/>
      <c r="S220" s="48"/>
      <c r="T220" s="48"/>
      <c r="U220" s="54"/>
      <c r="V220" s="48"/>
      <c r="W220" s="52"/>
      <c r="X220" s="48"/>
      <c r="Y220" s="48"/>
    </row>
    <row r="221" spans="1:25" x14ac:dyDescent="0.8">
      <c r="A221" s="18"/>
      <c r="B221" s="18"/>
      <c r="C221" s="18"/>
      <c r="D221" s="18"/>
      <c r="E221" s="18"/>
      <c r="F221" s="18"/>
      <c r="G221" s="18"/>
      <c r="H221" s="18"/>
      <c r="I221" s="18"/>
      <c r="J221" s="74"/>
      <c r="K221" s="48"/>
      <c r="L221" s="48"/>
      <c r="M221" s="48"/>
      <c r="N221" s="54"/>
      <c r="O221" s="48"/>
      <c r="P221" s="56"/>
      <c r="R221" s="48"/>
      <c r="S221" s="48"/>
      <c r="T221" s="48"/>
      <c r="U221" s="54"/>
      <c r="V221" s="48"/>
      <c r="W221" s="52"/>
      <c r="X221" s="48"/>
      <c r="Y221" s="48"/>
    </row>
    <row r="222" spans="1:25" x14ac:dyDescent="0.8">
      <c r="A222" s="18"/>
      <c r="B222" s="18"/>
      <c r="C222" s="18"/>
      <c r="D222" s="18"/>
      <c r="E222" s="18"/>
      <c r="F222" s="18"/>
      <c r="G222" s="18"/>
      <c r="H222" s="18"/>
      <c r="I222" s="18"/>
      <c r="J222" s="74"/>
      <c r="K222" s="48"/>
      <c r="L222" s="48"/>
      <c r="M222" s="48"/>
      <c r="N222" s="54"/>
      <c r="O222" s="48"/>
      <c r="P222" s="56"/>
      <c r="R222" s="48"/>
      <c r="S222" s="48"/>
      <c r="T222" s="48"/>
      <c r="U222" s="54"/>
      <c r="V222" s="48"/>
      <c r="W222" s="52"/>
      <c r="X222" s="48"/>
      <c r="Y222" s="48"/>
    </row>
    <row r="223" spans="1:25" x14ac:dyDescent="0.8">
      <c r="A223" s="18"/>
      <c r="B223" s="18"/>
      <c r="C223" s="18"/>
      <c r="D223" s="18"/>
      <c r="E223" s="18"/>
      <c r="F223" s="18"/>
      <c r="G223" s="18"/>
      <c r="H223" s="18"/>
      <c r="I223" s="18"/>
      <c r="J223" s="74"/>
      <c r="K223" s="48"/>
      <c r="L223" s="48"/>
      <c r="M223" s="48"/>
      <c r="N223" s="54"/>
      <c r="O223" s="48"/>
      <c r="P223" s="56"/>
      <c r="R223" s="48"/>
      <c r="S223" s="48"/>
      <c r="T223" s="48"/>
      <c r="U223" s="54"/>
      <c r="V223" s="48"/>
      <c r="W223" s="52"/>
      <c r="X223" s="48"/>
      <c r="Y223" s="48"/>
    </row>
    <row r="224" spans="1:25" x14ac:dyDescent="0.8">
      <c r="A224" s="18"/>
      <c r="B224" s="18"/>
      <c r="C224" s="18"/>
      <c r="D224" s="18"/>
      <c r="E224" s="18"/>
      <c r="F224" s="18"/>
      <c r="G224" s="18"/>
      <c r="H224" s="18"/>
      <c r="I224" s="18"/>
      <c r="J224" s="74"/>
      <c r="K224" s="48"/>
      <c r="L224" s="48"/>
      <c r="M224" s="48"/>
      <c r="N224" s="54"/>
      <c r="O224" s="48"/>
      <c r="P224" s="56"/>
      <c r="R224" s="48"/>
      <c r="S224" s="48"/>
      <c r="T224" s="48"/>
      <c r="U224" s="54"/>
      <c r="V224" s="48"/>
      <c r="W224" s="52"/>
      <c r="X224" s="48"/>
      <c r="Y224" s="48"/>
    </row>
    <row r="225" spans="1:25" x14ac:dyDescent="0.8">
      <c r="A225" s="18"/>
      <c r="B225" s="18"/>
      <c r="C225" s="18"/>
      <c r="D225" s="18"/>
      <c r="E225" s="18"/>
      <c r="F225" s="18"/>
      <c r="G225" s="18"/>
      <c r="H225" s="18"/>
      <c r="I225" s="18"/>
      <c r="J225" s="74"/>
      <c r="K225" s="48"/>
      <c r="L225" s="48"/>
      <c r="M225" s="48"/>
      <c r="N225" s="54"/>
      <c r="O225" s="48"/>
      <c r="P225" s="56"/>
      <c r="R225" s="48"/>
      <c r="S225" s="48"/>
      <c r="T225" s="48"/>
      <c r="U225" s="54"/>
      <c r="V225" s="48"/>
      <c r="W225" s="52"/>
      <c r="X225" s="48"/>
      <c r="Y225" s="48"/>
    </row>
    <row r="226" spans="1:25" x14ac:dyDescent="0.8">
      <c r="A226" s="18"/>
      <c r="B226" s="18"/>
      <c r="C226" s="18"/>
      <c r="D226" s="18"/>
      <c r="E226" s="18"/>
      <c r="F226" s="18"/>
      <c r="G226" s="18"/>
      <c r="H226" s="18"/>
      <c r="I226" s="18"/>
      <c r="J226" s="74"/>
      <c r="K226" s="48"/>
      <c r="L226" s="48"/>
      <c r="M226" s="48"/>
      <c r="N226" s="54"/>
      <c r="O226" s="48"/>
      <c r="P226" s="56"/>
      <c r="R226" s="48"/>
      <c r="S226" s="48"/>
      <c r="T226" s="48"/>
      <c r="U226" s="54"/>
      <c r="V226" s="48"/>
      <c r="W226" s="52"/>
      <c r="X226" s="48"/>
      <c r="Y226" s="48"/>
    </row>
    <row r="227" spans="1:25" x14ac:dyDescent="0.8">
      <c r="A227" s="18"/>
      <c r="B227" s="18"/>
      <c r="C227" s="18"/>
      <c r="D227" s="18"/>
      <c r="E227" s="18"/>
      <c r="F227" s="18"/>
      <c r="G227" s="18"/>
      <c r="H227" s="18"/>
      <c r="I227" s="18"/>
      <c r="J227" s="74"/>
      <c r="K227" s="48"/>
      <c r="L227" s="48"/>
      <c r="M227" s="48"/>
      <c r="N227" s="54"/>
      <c r="O227" s="48"/>
      <c r="P227" s="56"/>
      <c r="R227" s="48"/>
      <c r="S227" s="48"/>
      <c r="T227" s="48"/>
      <c r="U227" s="54"/>
      <c r="V227" s="48"/>
      <c r="W227" s="52"/>
      <c r="X227" s="48"/>
      <c r="Y227" s="48"/>
    </row>
    <row r="228" spans="1:25" x14ac:dyDescent="0.8">
      <c r="A228" s="18"/>
      <c r="B228" s="18"/>
      <c r="C228" s="18"/>
      <c r="D228" s="18"/>
      <c r="E228" s="18"/>
      <c r="F228" s="18"/>
      <c r="G228" s="18"/>
      <c r="H228" s="18"/>
      <c r="I228" s="18"/>
      <c r="J228" s="74"/>
      <c r="K228" s="48"/>
      <c r="L228" s="48"/>
      <c r="M228" s="48"/>
      <c r="N228" s="54"/>
      <c r="O228" s="48"/>
      <c r="P228" s="56"/>
      <c r="R228" s="48"/>
      <c r="S228" s="48"/>
      <c r="T228" s="48"/>
      <c r="U228" s="54"/>
      <c r="V228" s="48"/>
      <c r="W228" s="52"/>
      <c r="X228" s="48"/>
      <c r="Y228" s="48"/>
    </row>
    <row r="229" spans="1:25" x14ac:dyDescent="0.8">
      <c r="A229" s="18"/>
      <c r="B229" s="18"/>
      <c r="C229" s="18"/>
      <c r="D229" s="18"/>
      <c r="E229" s="18"/>
      <c r="F229" s="18"/>
      <c r="G229" s="18"/>
      <c r="H229" s="18"/>
      <c r="I229" s="18"/>
      <c r="J229" s="74"/>
      <c r="K229" s="48"/>
      <c r="L229" s="48"/>
      <c r="M229" s="48"/>
      <c r="N229" s="54"/>
      <c r="O229" s="48"/>
      <c r="P229" s="56"/>
      <c r="R229" s="48"/>
      <c r="S229" s="48"/>
      <c r="T229" s="48"/>
      <c r="U229" s="54"/>
      <c r="V229" s="48"/>
      <c r="W229" s="52"/>
      <c r="X229" s="48"/>
      <c r="Y229" s="48"/>
    </row>
    <row r="230" spans="1:25" x14ac:dyDescent="0.8">
      <c r="A230" s="18"/>
      <c r="B230" s="18"/>
      <c r="C230" s="18"/>
      <c r="D230" s="18"/>
      <c r="E230" s="18"/>
      <c r="F230" s="18"/>
      <c r="G230" s="18"/>
      <c r="H230" s="18"/>
      <c r="I230" s="18"/>
      <c r="J230" s="74"/>
      <c r="K230" s="48"/>
      <c r="L230" s="48"/>
      <c r="M230" s="48"/>
      <c r="N230" s="54"/>
      <c r="O230" s="48"/>
      <c r="P230" s="56"/>
      <c r="R230" s="48"/>
      <c r="S230" s="48"/>
      <c r="T230" s="48"/>
      <c r="U230" s="54"/>
      <c r="V230" s="48"/>
      <c r="W230" s="52"/>
      <c r="X230" s="48"/>
      <c r="Y230" s="48"/>
    </row>
    <row r="231" spans="1:25" x14ac:dyDescent="0.8">
      <c r="A231" s="18"/>
      <c r="B231" s="18"/>
      <c r="C231" s="18"/>
      <c r="D231" s="18"/>
      <c r="E231" s="18"/>
      <c r="F231" s="18"/>
      <c r="G231" s="18"/>
      <c r="H231" s="18"/>
      <c r="I231" s="18"/>
      <c r="J231" s="74"/>
      <c r="K231" s="48"/>
      <c r="L231" s="48"/>
      <c r="M231" s="48"/>
      <c r="N231" s="54"/>
      <c r="O231" s="48"/>
      <c r="P231" s="56"/>
      <c r="R231" s="48"/>
      <c r="S231" s="48"/>
      <c r="T231" s="48"/>
      <c r="U231" s="54"/>
      <c r="V231" s="48"/>
      <c r="W231" s="52"/>
      <c r="X231" s="48"/>
      <c r="Y231" s="48"/>
    </row>
    <row r="232" spans="1:25" x14ac:dyDescent="0.8">
      <c r="A232" s="18"/>
      <c r="B232" s="18"/>
      <c r="C232" s="18"/>
      <c r="D232" s="18"/>
      <c r="E232" s="18"/>
      <c r="F232" s="18"/>
      <c r="G232" s="18"/>
      <c r="H232" s="18"/>
      <c r="I232" s="18"/>
      <c r="J232" s="74"/>
      <c r="K232" s="48"/>
      <c r="L232" s="48"/>
      <c r="M232" s="48"/>
      <c r="N232" s="54"/>
      <c r="O232" s="48"/>
      <c r="P232" s="56"/>
      <c r="R232" s="48"/>
      <c r="S232" s="48"/>
      <c r="T232" s="48"/>
      <c r="U232" s="54"/>
      <c r="V232" s="48"/>
      <c r="W232" s="52"/>
      <c r="X232" s="48"/>
      <c r="Y232" s="48"/>
    </row>
    <row r="233" spans="1:25" x14ac:dyDescent="0.8">
      <c r="A233" s="18"/>
      <c r="B233" s="18"/>
      <c r="C233" s="18"/>
      <c r="D233" s="18"/>
      <c r="E233" s="18"/>
      <c r="F233" s="18"/>
      <c r="G233" s="18"/>
      <c r="H233" s="18"/>
      <c r="I233" s="18"/>
      <c r="J233" s="74"/>
      <c r="K233" s="48"/>
      <c r="L233" s="48"/>
      <c r="M233" s="48"/>
      <c r="N233" s="54"/>
      <c r="O233" s="48"/>
      <c r="P233" s="56"/>
      <c r="R233" s="48"/>
      <c r="S233" s="48"/>
      <c r="T233" s="48"/>
      <c r="U233" s="54"/>
      <c r="V233" s="48"/>
      <c r="W233" s="52"/>
      <c r="X233" s="48"/>
      <c r="Y233" s="48"/>
    </row>
    <row r="234" spans="1:25" x14ac:dyDescent="0.8">
      <c r="A234" s="18"/>
      <c r="B234" s="18"/>
      <c r="C234" s="18"/>
      <c r="D234" s="18"/>
      <c r="E234" s="18"/>
      <c r="F234" s="18"/>
      <c r="G234" s="18"/>
      <c r="H234" s="18"/>
      <c r="I234" s="18"/>
      <c r="J234" s="74"/>
      <c r="K234" s="48"/>
      <c r="L234" s="48"/>
      <c r="M234" s="48"/>
      <c r="N234" s="54"/>
      <c r="O234" s="48"/>
      <c r="P234" s="56"/>
      <c r="R234" s="48"/>
      <c r="S234" s="48"/>
      <c r="T234" s="48"/>
      <c r="U234" s="54"/>
      <c r="V234" s="48"/>
      <c r="W234" s="52"/>
      <c r="X234" s="48"/>
      <c r="Y234" s="48"/>
    </row>
    <row r="235" spans="1:25" x14ac:dyDescent="0.8">
      <c r="A235" s="18"/>
      <c r="B235" s="18"/>
      <c r="C235" s="18"/>
      <c r="D235" s="18"/>
      <c r="E235" s="18"/>
      <c r="F235" s="18"/>
      <c r="G235" s="18"/>
      <c r="H235" s="18"/>
      <c r="I235" s="18"/>
      <c r="J235" s="74"/>
      <c r="K235" s="48"/>
      <c r="L235" s="48"/>
      <c r="M235" s="48"/>
      <c r="N235" s="54"/>
      <c r="O235" s="48"/>
      <c r="P235" s="56"/>
      <c r="R235" s="48"/>
      <c r="S235" s="48"/>
      <c r="T235" s="48"/>
      <c r="U235" s="54"/>
      <c r="V235" s="48"/>
      <c r="W235" s="52"/>
      <c r="X235" s="48"/>
      <c r="Y235" s="48"/>
    </row>
    <row r="236" spans="1:25" x14ac:dyDescent="0.8">
      <c r="A236" s="18"/>
      <c r="B236" s="18"/>
      <c r="C236" s="18"/>
      <c r="D236" s="18"/>
      <c r="E236" s="18"/>
      <c r="F236" s="18"/>
      <c r="G236" s="18"/>
      <c r="H236" s="18"/>
      <c r="I236" s="18"/>
      <c r="J236" s="74"/>
      <c r="K236" s="48"/>
      <c r="L236" s="48"/>
      <c r="M236" s="48"/>
      <c r="N236" s="54"/>
      <c r="O236" s="48"/>
      <c r="P236" s="56"/>
      <c r="R236" s="48"/>
      <c r="S236" s="48"/>
      <c r="T236" s="48"/>
      <c r="U236" s="54"/>
      <c r="V236" s="48"/>
      <c r="W236" s="52"/>
      <c r="X236" s="48"/>
      <c r="Y236" s="48"/>
    </row>
    <row r="237" spans="1:25" x14ac:dyDescent="0.8">
      <c r="A237" s="18"/>
      <c r="B237" s="18"/>
      <c r="C237" s="18"/>
      <c r="D237" s="18"/>
      <c r="E237" s="18"/>
      <c r="F237" s="18"/>
      <c r="G237" s="18"/>
      <c r="H237" s="18"/>
      <c r="I237" s="18"/>
      <c r="J237" s="74"/>
      <c r="K237" s="48"/>
      <c r="L237" s="48"/>
      <c r="M237" s="48"/>
      <c r="N237" s="54"/>
      <c r="O237" s="48"/>
      <c r="P237" s="56"/>
      <c r="R237" s="48"/>
      <c r="S237" s="48"/>
      <c r="T237" s="48"/>
      <c r="U237" s="54"/>
      <c r="V237" s="48"/>
      <c r="W237" s="52"/>
      <c r="X237" s="48"/>
      <c r="Y237" s="48"/>
    </row>
    <row r="238" spans="1:25" x14ac:dyDescent="0.8">
      <c r="A238" s="18"/>
      <c r="B238" s="18"/>
      <c r="C238" s="18"/>
      <c r="D238" s="18"/>
      <c r="E238" s="18"/>
      <c r="F238" s="18"/>
      <c r="G238" s="18"/>
      <c r="H238" s="18"/>
      <c r="I238" s="18"/>
      <c r="J238" s="74"/>
      <c r="K238" s="48"/>
      <c r="L238" s="48"/>
      <c r="M238" s="48"/>
      <c r="N238" s="54"/>
      <c r="O238" s="48"/>
      <c r="P238" s="56"/>
      <c r="R238" s="48"/>
      <c r="S238" s="48"/>
      <c r="T238" s="48"/>
      <c r="U238" s="54"/>
      <c r="V238" s="48"/>
      <c r="W238" s="52"/>
      <c r="X238" s="48"/>
      <c r="Y238" s="48"/>
    </row>
    <row r="239" spans="1:25" x14ac:dyDescent="0.8">
      <c r="A239" s="18"/>
      <c r="B239" s="18"/>
      <c r="C239" s="18"/>
      <c r="D239" s="18"/>
      <c r="E239" s="18"/>
      <c r="F239" s="18"/>
      <c r="G239" s="18"/>
      <c r="H239" s="18"/>
      <c r="I239" s="18"/>
      <c r="J239" s="74"/>
      <c r="K239" s="48"/>
      <c r="L239" s="48"/>
      <c r="M239" s="48"/>
      <c r="N239" s="54"/>
      <c r="O239" s="48"/>
      <c r="P239" s="56"/>
      <c r="R239" s="48"/>
      <c r="S239" s="48"/>
      <c r="T239" s="48"/>
      <c r="U239" s="54"/>
      <c r="V239" s="48"/>
      <c r="W239" s="52"/>
      <c r="X239" s="48"/>
      <c r="Y239" s="48"/>
    </row>
    <row r="240" spans="1:25" x14ac:dyDescent="0.8">
      <c r="A240" s="18"/>
      <c r="B240" s="18"/>
      <c r="C240" s="18"/>
      <c r="D240" s="18"/>
      <c r="E240" s="18"/>
      <c r="F240" s="18"/>
      <c r="G240" s="18"/>
      <c r="H240" s="18"/>
      <c r="I240" s="18"/>
      <c r="J240" s="74"/>
      <c r="K240" s="48"/>
      <c r="L240" s="48"/>
      <c r="M240" s="48"/>
      <c r="N240" s="54"/>
      <c r="O240" s="48"/>
      <c r="P240" s="56"/>
      <c r="R240" s="48"/>
      <c r="S240" s="48"/>
      <c r="T240" s="48"/>
      <c r="U240" s="54"/>
      <c r="V240" s="48"/>
      <c r="W240" s="52"/>
      <c r="X240" s="48"/>
      <c r="Y240" s="48"/>
    </row>
    <row r="241" spans="1:25" x14ac:dyDescent="0.8">
      <c r="A241" s="18"/>
      <c r="B241" s="18"/>
      <c r="C241" s="18"/>
      <c r="D241" s="18"/>
      <c r="E241" s="18"/>
      <c r="F241" s="18"/>
      <c r="G241" s="18"/>
      <c r="H241" s="18"/>
      <c r="I241" s="18"/>
      <c r="J241" s="74"/>
      <c r="K241" s="48"/>
      <c r="L241" s="48"/>
      <c r="M241" s="48"/>
      <c r="N241" s="54"/>
      <c r="O241" s="48"/>
      <c r="P241" s="56"/>
      <c r="R241" s="48"/>
      <c r="S241" s="48"/>
      <c r="T241" s="48"/>
      <c r="U241" s="54"/>
      <c r="V241" s="48"/>
      <c r="W241" s="52"/>
      <c r="X241" s="48"/>
      <c r="Y241" s="48"/>
    </row>
    <row r="242" spans="1:25" x14ac:dyDescent="0.8">
      <c r="A242" s="18"/>
      <c r="B242" s="18"/>
      <c r="C242" s="18"/>
      <c r="D242" s="18"/>
      <c r="E242" s="18"/>
      <c r="F242" s="18"/>
      <c r="G242" s="18"/>
      <c r="H242" s="18"/>
      <c r="I242" s="18"/>
      <c r="J242" s="74"/>
      <c r="K242" s="48"/>
      <c r="L242" s="48"/>
      <c r="M242" s="48"/>
      <c r="N242" s="54"/>
      <c r="O242" s="48"/>
      <c r="P242" s="56"/>
      <c r="R242" s="48"/>
      <c r="S242" s="48"/>
      <c r="T242" s="48"/>
      <c r="U242" s="54"/>
      <c r="V242" s="48"/>
      <c r="W242" s="52"/>
      <c r="X242" s="48"/>
      <c r="Y242" s="48"/>
    </row>
    <row r="243" spans="1:25" x14ac:dyDescent="0.8">
      <c r="A243" s="18"/>
      <c r="B243" s="18"/>
      <c r="C243" s="18"/>
      <c r="D243" s="18"/>
      <c r="E243" s="18"/>
      <c r="F243" s="18"/>
      <c r="G243" s="18"/>
      <c r="H243" s="18"/>
      <c r="I243" s="18"/>
      <c r="J243" s="74"/>
      <c r="K243" s="48"/>
      <c r="L243" s="48"/>
      <c r="M243" s="48"/>
      <c r="N243" s="54"/>
      <c r="O243" s="48"/>
      <c r="P243" s="56"/>
      <c r="R243" s="48"/>
      <c r="S243" s="48"/>
      <c r="T243" s="48"/>
      <c r="U243" s="54"/>
      <c r="V243" s="48"/>
      <c r="W243" s="52"/>
      <c r="X243" s="48"/>
      <c r="Y243" s="48"/>
    </row>
    <row r="244" spans="1:25" x14ac:dyDescent="0.8">
      <c r="A244" s="18"/>
      <c r="B244" s="18"/>
      <c r="C244" s="18"/>
      <c r="D244" s="18"/>
      <c r="E244" s="18"/>
      <c r="F244" s="18"/>
      <c r="G244" s="18"/>
      <c r="H244" s="18"/>
      <c r="I244" s="18"/>
      <c r="J244" s="74"/>
      <c r="K244" s="48"/>
      <c r="L244" s="48"/>
      <c r="M244" s="48"/>
      <c r="N244" s="54"/>
      <c r="O244" s="48"/>
      <c r="P244" s="56"/>
      <c r="R244" s="48"/>
      <c r="S244" s="48"/>
      <c r="T244" s="48"/>
      <c r="U244" s="54"/>
      <c r="V244" s="48"/>
      <c r="W244" s="52"/>
      <c r="X244" s="48"/>
      <c r="Y244" s="48"/>
    </row>
    <row r="245" spans="1:25" x14ac:dyDescent="0.8">
      <c r="A245" s="18"/>
      <c r="B245" s="18"/>
      <c r="C245" s="18"/>
      <c r="D245" s="18"/>
      <c r="E245" s="18"/>
      <c r="F245" s="18"/>
      <c r="G245" s="18"/>
      <c r="H245" s="18"/>
      <c r="I245" s="18"/>
      <c r="J245" s="74"/>
      <c r="K245" s="48"/>
      <c r="L245" s="48"/>
      <c r="M245" s="48"/>
      <c r="N245" s="54"/>
      <c r="O245" s="48"/>
      <c r="P245" s="56"/>
      <c r="R245" s="48"/>
      <c r="S245" s="48"/>
      <c r="T245" s="48"/>
      <c r="U245" s="54"/>
      <c r="V245" s="48"/>
      <c r="W245" s="52"/>
      <c r="X245" s="48"/>
      <c r="Y245" s="48"/>
    </row>
    <row r="246" spans="1:25" x14ac:dyDescent="0.8">
      <c r="A246" s="18"/>
      <c r="B246" s="18"/>
      <c r="C246" s="18"/>
      <c r="D246" s="18"/>
      <c r="E246" s="18"/>
      <c r="F246" s="18"/>
      <c r="G246" s="18"/>
      <c r="H246" s="18"/>
      <c r="I246" s="18"/>
      <c r="J246" s="74"/>
      <c r="K246" s="48"/>
      <c r="L246" s="48"/>
      <c r="M246" s="48"/>
      <c r="N246" s="54"/>
      <c r="O246" s="48"/>
      <c r="P246" s="56"/>
      <c r="R246" s="48"/>
      <c r="S246" s="48"/>
      <c r="T246" s="48"/>
      <c r="U246" s="54"/>
      <c r="V246" s="48"/>
      <c r="W246" s="52"/>
      <c r="X246" s="48"/>
      <c r="Y246" s="48"/>
    </row>
    <row r="247" spans="1:25" x14ac:dyDescent="0.8">
      <c r="A247" s="18"/>
      <c r="B247" s="18"/>
      <c r="C247" s="18"/>
      <c r="D247" s="18"/>
      <c r="E247" s="18"/>
      <c r="F247" s="18"/>
      <c r="G247" s="18"/>
      <c r="H247" s="18"/>
      <c r="I247" s="18"/>
      <c r="J247" s="74"/>
      <c r="K247" s="48"/>
      <c r="L247" s="48"/>
      <c r="M247" s="48"/>
      <c r="N247" s="54"/>
      <c r="O247" s="48"/>
      <c r="P247" s="56"/>
      <c r="R247" s="48"/>
      <c r="S247" s="48"/>
      <c r="T247" s="48"/>
      <c r="U247" s="54"/>
      <c r="V247" s="48"/>
      <c r="W247" s="52"/>
      <c r="X247" s="48"/>
      <c r="Y247" s="48"/>
    </row>
    <row r="248" spans="1:25" x14ac:dyDescent="0.8">
      <c r="A248" s="18"/>
      <c r="B248" s="18"/>
      <c r="C248" s="18"/>
      <c r="D248" s="18"/>
      <c r="E248" s="18"/>
      <c r="F248" s="18"/>
      <c r="G248" s="18"/>
      <c r="H248" s="18"/>
      <c r="I248" s="18"/>
      <c r="J248" s="74"/>
      <c r="K248" s="48"/>
      <c r="L248" s="48"/>
      <c r="M248" s="48"/>
      <c r="N248" s="54"/>
      <c r="O248" s="48"/>
      <c r="P248" s="56"/>
      <c r="R248" s="48"/>
      <c r="S248" s="48"/>
      <c r="T248" s="48"/>
      <c r="U248" s="54"/>
      <c r="V248" s="48"/>
      <c r="W248" s="52"/>
      <c r="X248" s="48"/>
      <c r="Y248" s="48"/>
    </row>
    <row r="249" spans="1:25" x14ac:dyDescent="0.8">
      <c r="A249" s="18"/>
      <c r="B249" s="18"/>
      <c r="C249" s="18"/>
      <c r="D249" s="18"/>
      <c r="E249" s="18"/>
      <c r="F249" s="18"/>
      <c r="G249" s="18"/>
      <c r="H249" s="18"/>
      <c r="I249" s="18"/>
      <c r="J249" s="74"/>
      <c r="K249" s="48"/>
      <c r="L249" s="48"/>
      <c r="M249" s="48"/>
      <c r="N249" s="54"/>
      <c r="O249" s="48"/>
      <c r="P249" s="56"/>
      <c r="R249" s="48"/>
      <c r="S249" s="48"/>
      <c r="T249" s="48"/>
      <c r="U249" s="54"/>
      <c r="V249" s="48"/>
      <c r="W249" s="52"/>
      <c r="X249" s="48"/>
      <c r="Y249" s="48"/>
    </row>
    <row r="250" spans="1:25" x14ac:dyDescent="0.8">
      <c r="A250" s="18"/>
      <c r="B250" s="18"/>
      <c r="C250" s="18"/>
      <c r="D250" s="18"/>
      <c r="E250" s="18"/>
      <c r="F250" s="18"/>
      <c r="G250" s="18"/>
      <c r="H250" s="18"/>
      <c r="I250" s="18"/>
      <c r="J250" s="74"/>
      <c r="K250" s="48"/>
      <c r="L250" s="48"/>
      <c r="M250" s="48"/>
      <c r="N250" s="54"/>
      <c r="O250" s="48"/>
      <c r="P250" s="56"/>
      <c r="R250" s="48"/>
      <c r="S250" s="48"/>
      <c r="T250" s="48"/>
      <c r="U250" s="54"/>
      <c r="V250" s="48"/>
      <c r="W250" s="52"/>
      <c r="X250" s="48"/>
      <c r="Y250" s="48"/>
    </row>
    <row r="251" spans="1:25" x14ac:dyDescent="0.8">
      <c r="A251" s="18"/>
      <c r="B251" s="18"/>
      <c r="C251" s="18"/>
      <c r="D251" s="18"/>
      <c r="E251" s="18"/>
      <c r="F251" s="18"/>
      <c r="G251" s="18"/>
      <c r="H251" s="18"/>
      <c r="I251" s="18"/>
      <c r="J251" s="74"/>
      <c r="K251" s="48"/>
      <c r="L251" s="48"/>
      <c r="M251" s="48"/>
      <c r="N251" s="54"/>
      <c r="O251" s="48"/>
      <c r="P251" s="56"/>
      <c r="R251" s="48"/>
      <c r="S251" s="48"/>
      <c r="T251" s="48"/>
      <c r="U251" s="54"/>
      <c r="V251" s="48"/>
      <c r="W251" s="52"/>
      <c r="X251" s="48"/>
      <c r="Y251" s="48"/>
    </row>
    <row r="252" spans="1:25" x14ac:dyDescent="0.8">
      <c r="A252" s="18"/>
      <c r="B252" s="18"/>
      <c r="C252" s="18"/>
      <c r="D252" s="18"/>
      <c r="E252" s="18"/>
      <c r="F252" s="18"/>
      <c r="G252" s="18"/>
      <c r="H252" s="18"/>
      <c r="I252" s="18"/>
      <c r="J252" s="74"/>
      <c r="K252" s="48"/>
      <c r="L252" s="48"/>
      <c r="M252" s="48"/>
      <c r="N252" s="54"/>
      <c r="O252" s="48"/>
      <c r="P252" s="56"/>
      <c r="R252" s="48"/>
      <c r="S252" s="48"/>
      <c r="T252" s="48"/>
      <c r="U252" s="54"/>
      <c r="V252" s="48"/>
      <c r="W252" s="52"/>
      <c r="X252" s="48"/>
      <c r="Y252" s="48"/>
    </row>
    <row r="253" spans="1:25" x14ac:dyDescent="0.8">
      <c r="A253" s="18"/>
      <c r="B253" s="18"/>
      <c r="C253" s="18"/>
      <c r="D253" s="18"/>
      <c r="E253" s="18"/>
      <c r="F253" s="18"/>
      <c r="G253" s="18"/>
      <c r="H253" s="18"/>
      <c r="I253" s="18"/>
      <c r="J253" s="74"/>
      <c r="K253" s="48"/>
      <c r="L253" s="48"/>
      <c r="M253" s="48"/>
      <c r="N253" s="54"/>
      <c r="O253" s="48"/>
      <c r="P253" s="56"/>
      <c r="R253" s="48"/>
      <c r="S253" s="48"/>
      <c r="T253" s="48"/>
      <c r="U253" s="54"/>
      <c r="V253" s="48"/>
      <c r="W253" s="52"/>
      <c r="X253" s="48"/>
      <c r="Y253" s="48"/>
    </row>
    <row r="254" spans="1:25" x14ac:dyDescent="0.8">
      <c r="A254" s="18"/>
      <c r="B254" s="18"/>
      <c r="C254" s="18"/>
      <c r="D254" s="18"/>
      <c r="E254" s="18"/>
      <c r="F254" s="18"/>
      <c r="G254" s="18"/>
      <c r="H254" s="18"/>
      <c r="I254" s="18"/>
      <c r="J254" s="74"/>
      <c r="K254" s="48"/>
      <c r="L254" s="48"/>
      <c r="M254" s="48"/>
      <c r="N254" s="54"/>
      <c r="O254" s="48"/>
      <c r="P254" s="56"/>
      <c r="R254" s="48"/>
      <c r="S254" s="48"/>
      <c r="T254" s="48"/>
      <c r="U254" s="54"/>
      <c r="V254" s="48"/>
      <c r="W254" s="52"/>
      <c r="X254" s="48"/>
      <c r="Y254" s="48"/>
    </row>
    <row r="255" spans="1:25" x14ac:dyDescent="0.8">
      <c r="A255" s="18"/>
      <c r="B255" s="18"/>
      <c r="C255" s="18"/>
      <c r="D255" s="18"/>
      <c r="E255" s="18"/>
      <c r="F255" s="18"/>
      <c r="G255" s="18"/>
      <c r="H255" s="18"/>
      <c r="I255" s="18"/>
      <c r="J255" s="74"/>
      <c r="K255" s="48"/>
      <c r="L255" s="48"/>
      <c r="M255" s="48"/>
      <c r="N255" s="54"/>
      <c r="O255" s="48"/>
      <c r="P255" s="56"/>
      <c r="R255" s="48"/>
      <c r="S255" s="48"/>
      <c r="T255" s="48"/>
      <c r="U255" s="54"/>
      <c r="V255" s="48"/>
      <c r="W255" s="52"/>
      <c r="X255" s="48"/>
      <c r="Y255" s="48"/>
    </row>
    <row r="256" spans="1:25" x14ac:dyDescent="0.8">
      <c r="A256" s="18"/>
      <c r="B256" s="18"/>
      <c r="C256" s="18"/>
      <c r="D256" s="18"/>
      <c r="E256" s="18"/>
      <c r="F256" s="18"/>
      <c r="G256" s="18"/>
      <c r="H256" s="18"/>
      <c r="I256" s="18"/>
      <c r="J256" s="74"/>
      <c r="K256" s="48"/>
      <c r="L256" s="48"/>
      <c r="M256" s="48"/>
      <c r="N256" s="54"/>
      <c r="O256" s="48"/>
      <c r="P256" s="56"/>
      <c r="R256" s="48"/>
      <c r="S256" s="48"/>
      <c r="T256" s="48"/>
      <c r="U256" s="54"/>
      <c r="V256" s="48"/>
      <c r="W256" s="52"/>
      <c r="X256" s="48"/>
      <c r="Y256" s="48"/>
    </row>
    <row r="257" spans="1:25" x14ac:dyDescent="0.8">
      <c r="A257" s="18"/>
      <c r="B257" s="18"/>
      <c r="C257" s="18"/>
      <c r="D257" s="18"/>
      <c r="E257" s="18"/>
      <c r="F257" s="18"/>
      <c r="G257" s="18"/>
      <c r="H257" s="18"/>
      <c r="I257" s="18"/>
      <c r="J257" s="74"/>
      <c r="K257" s="48"/>
      <c r="L257" s="48"/>
      <c r="M257" s="48"/>
      <c r="N257" s="54"/>
      <c r="O257" s="48"/>
      <c r="P257" s="56"/>
      <c r="R257" s="48"/>
      <c r="S257" s="48"/>
      <c r="T257" s="48"/>
      <c r="U257" s="54"/>
      <c r="V257" s="48"/>
      <c r="W257" s="52"/>
      <c r="X257" s="48"/>
      <c r="Y257" s="48"/>
    </row>
    <row r="258" spans="1:25" x14ac:dyDescent="0.8">
      <c r="A258" s="18"/>
      <c r="B258" s="18"/>
      <c r="C258" s="18"/>
      <c r="D258" s="18"/>
      <c r="E258" s="18"/>
      <c r="F258" s="18"/>
      <c r="G258" s="18"/>
      <c r="H258" s="18"/>
      <c r="I258" s="18"/>
      <c r="J258" s="74"/>
      <c r="K258" s="48"/>
      <c r="L258" s="48"/>
      <c r="M258" s="48"/>
      <c r="N258" s="54"/>
      <c r="O258" s="48"/>
      <c r="P258" s="56"/>
      <c r="R258" s="48"/>
      <c r="S258" s="48"/>
      <c r="T258" s="48"/>
      <c r="U258" s="54"/>
      <c r="V258" s="48"/>
      <c r="W258" s="52"/>
      <c r="X258" s="48"/>
      <c r="Y258" s="48"/>
    </row>
    <row r="259" spans="1:25" x14ac:dyDescent="0.8">
      <c r="A259" s="18"/>
      <c r="B259" s="18"/>
      <c r="C259" s="18"/>
      <c r="D259" s="18"/>
      <c r="E259" s="18"/>
      <c r="F259" s="18"/>
      <c r="G259" s="18"/>
      <c r="H259" s="18"/>
      <c r="I259" s="18"/>
      <c r="J259" s="74"/>
      <c r="K259" s="48"/>
      <c r="L259" s="48"/>
      <c r="M259" s="48"/>
      <c r="N259" s="54"/>
      <c r="O259" s="48"/>
      <c r="P259" s="56"/>
      <c r="R259" s="48"/>
      <c r="S259" s="48"/>
      <c r="T259" s="48"/>
      <c r="U259" s="54"/>
      <c r="V259" s="48"/>
      <c r="W259" s="52"/>
      <c r="X259" s="48"/>
      <c r="Y259" s="48"/>
    </row>
    <row r="260" spans="1:25" x14ac:dyDescent="0.8">
      <c r="A260" s="18"/>
      <c r="B260" s="18"/>
      <c r="C260" s="18"/>
      <c r="D260" s="18"/>
      <c r="E260" s="18"/>
      <c r="F260" s="18"/>
      <c r="G260" s="18"/>
      <c r="H260" s="18"/>
      <c r="I260" s="18"/>
      <c r="J260" s="74"/>
      <c r="K260" s="48"/>
      <c r="L260" s="48"/>
      <c r="M260" s="48"/>
      <c r="N260" s="54"/>
      <c r="O260" s="48"/>
      <c r="P260" s="56"/>
      <c r="R260" s="48"/>
      <c r="S260" s="48"/>
      <c r="T260" s="48"/>
      <c r="U260" s="54"/>
      <c r="V260" s="48"/>
      <c r="W260" s="52"/>
      <c r="X260" s="48"/>
      <c r="Y260" s="48"/>
    </row>
    <row r="261" spans="1:25" x14ac:dyDescent="0.8">
      <c r="A261" s="18"/>
      <c r="B261" s="18"/>
      <c r="C261" s="18"/>
      <c r="D261" s="18"/>
      <c r="E261" s="18"/>
      <c r="F261" s="18"/>
      <c r="G261" s="18"/>
      <c r="H261" s="18"/>
      <c r="I261" s="18"/>
      <c r="J261" s="74"/>
      <c r="K261" s="48"/>
      <c r="L261" s="48"/>
      <c r="M261" s="48"/>
      <c r="N261" s="54"/>
      <c r="O261" s="48"/>
      <c r="P261" s="56"/>
      <c r="R261" s="48"/>
      <c r="S261" s="48"/>
      <c r="T261" s="48"/>
      <c r="U261" s="54"/>
      <c r="V261" s="48"/>
      <c r="W261" s="52"/>
      <c r="X261" s="48"/>
      <c r="Y261" s="48"/>
    </row>
    <row r="262" spans="1:25" x14ac:dyDescent="0.8">
      <c r="A262" s="18"/>
      <c r="B262" s="18"/>
      <c r="C262" s="18"/>
      <c r="D262" s="18"/>
      <c r="E262" s="18"/>
      <c r="F262" s="18"/>
      <c r="G262" s="18"/>
      <c r="H262" s="18"/>
      <c r="I262" s="18"/>
      <c r="J262" s="74"/>
      <c r="K262" s="48"/>
      <c r="L262" s="48"/>
      <c r="M262" s="48"/>
      <c r="N262" s="54"/>
      <c r="O262" s="48"/>
      <c r="P262" s="56"/>
      <c r="R262" s="48"/>
      <c r="S262" s="48"/>
      <c r="T262" s="48"/>
      <c r="U262" s="54"/>
      <c r="V262" s="48"/>
      <c r="W262" s="52"/>
      <c r="X262" s="48"/>
      <c r="Y262" s="48"/>
    </row>
    <row r="263" spans="1:25" x14ac:dyDescent="0.8">
      <c r="A263" s="18"/>
      <c r="B263" s="18"/>
      <c r="C263" s="18"/>
      <c r="D263" s="18"/>
      <c r="E263" s="18"/>
      <c r="F263" s="18"/>
      <c r="G263" s="18"/>
      <c r="H263" s="18"/>
      <c r="I263" s="18"/>
      <c r="J263" s="74"/>
      <c r="K263" s="48"/>
      <c r="L263" s="48"/>
      <c r="M263" s="48"/>
      <c r="N263" s="54"/>
      <c r="O263" s="48"/>
      <c r="P263" s="56"/>
      <c r="R263" s="48"/>
      <c r="S263" s="48"/>
      <c r="T263" s="48"/>
      <c r="U263" s="54"/>
      <c r="V263" s="48"/>
      <c r="W263" s="52"/>
      <c r="X263" s="48"/>
      <c r="Y263" s="48"/>
    </row>
    <row r="264" spans="1:25" x14ac:dyDescent="0.8">
      <c r="A264" s="18"/>
      <c r="B264" s="18"/>
      <c r="C264" s="18"/>
      <c r="D264" s="18"/>
      <c r="E264" s="18"/>
      <c r="F264" s="18"/>
      <c r="G264" s="18"/>
      <c r="H264" s="18"/>
      <c r="I264" s="18"/>
      <c r="J264" s="74"/>
      <c r="K264" s="48"/>
      <c r="L264" s="48"/>
      <c r="M264" s="48"/>
      <c r="N264" s="54"/>
      <c r="O264" s="48"/>
      <c r="P264" s="56"/>
      <c r="R264" s="48"/>
      <c r="S264" s="48"/>
      <c r="T264" s="48"/>
      <c r="U264" s="54"/>
      <c r="V264" s="48"/>
      <c r="W264" s="52"/>
      <c r="X264" s="48"/>
      <c r="Y264" s="48"/>
    </row>
    <row r="265" spans="1:25" x14ac:dyDescent="0.8">
      <c r="A265" s="18"/>
      <c r="B265" s="18"/>
      <c r="C265" s="18"/>
      <c r="D265" s="18"/>
      <c r="E265" s="18"/>
      <c r="F265" s="18"/>
      <c r="G265" s="18"/>
      <c r="H265" s="18"/>
      <c r="I265" s="18"/>
      <c r="J265" s="74"/>
      <c r="K265" s="48"/>
      <c r="L265" s="48"/>
      <c r="M265" s="48"/>
      <c r="N265" s="54"/>
      <c r="O265" s="48"/>
      <c r="P265" s="56"/>
      <c r="R265" s="48"/>
      <c r="S265" s="48"/>
      <c r="T265" s="48"/>
      <c r="U265" s="54"/>
      <c r="V265" s="48"/>
      <c r="W265" s="52"/>
      <c r="X265" s="48"/>
      <c r="Y265" s="48"/>
    </row>
    <row r="266" spans="1:25" x14ac:dyDescent="0.8">
      <c r="A266" s="18"/>
      <c r="B266" s="18"/>
      <c r="C266" s="18"/>
      <c r="D266" s="18"/>
      <c r="E266" s="18"/>
      <c r="F266" s="18"/>
      <c r="G266" s="18"/>
      <c r="H266" s="18"/>
      <c r="I266" s="18"/>
      <c r="J266" s="74"/>
      <c r="K266" s="48"/>
      <c r="L266" s="48"/>
      <c r="M266" s="48"/>
      <c r="N266" s="54"/>
      <c r="O266" s="48"/>
      <c r="P266" s="56"/>
      <c r="R266" s="48"/>
      <c r="S266" s="48"/>
      <c r="T266" s="48"/>
      <c r="U266" s="54"/>
      <c r="V266" s="48"/>
      <c r="W266" s="52"/>
      <c r="X266" s="48"/>
      <c r="Y266" s="48"/>
    </row>
    <row r="267" spans="1:25" x14ac:dyDescent="0.8">
      <c r="A267" s="18"/>
      <c r="B267" s="18"/>
      <c r="C267" s="18"/>
      <c r="D267" s="18"/>
      <c r="E267" s="18"/>
      <c r="F267" s="18"/>
      <c r="G267" s="18"/>
      <c r="H267" s="18"/>
      <c r="I267" s="18"/>
      <c r="J267" s="74"/>
      <c r="K267" s="48"/>
      <c r="L267" s="48"/>
      <c r="M267" s="48"/>
      <c r="N267" s="54"/>
      <c r="O267" s="48"/>
      <c r="P267" s="56"/>
      <c r="R267" s="48"/>
      <c r="S267" s="48"/>
      <c r="T267" s="48"/>
      <c r="U267" s="54"/>
      <c r="V267" s="48"/>
      <c r="W267" s="52"/>
      <c r="X267" s="48"/>
      <c r="Y267" s="48"/>
    </row>
    <row r="268" spans="1:25" x14ac:dyDescent="0.8">
      <c r="A268" s="18"/>
      <c r="B268" s="18"/>
      <c r="C268" s="18"/>
      <c r="D268" s="18"/>
      <c r="E268" s="18"/>
      <c r="F268" s="18"/>
      <c r="G268" s="18"/>
      <c r="H268" s="18"/>
      <c r="I268" s="18"/>
      <c r="J268" s="74"/>
      <c r="K268" s="48"/>
      <c r="L268" s="48"/>
      <c r="M268" s="48"/>
      <c r="N268" s="54"/>
      <c r="O268" s="48"/>
      <c r="P268" s="56"/>
      <c r="R268" s="48"/>
      <c r="S268" s="48"/>
      <c r="T268" s="48"/>
      <c r="U268" s="54"/>
      <c r="V268" s="48"/>
      <c r="W268" s="52"/>
      <c r="X268" s="48"/>
      <c r="Y268" s="48"/>
    </row>
    <row r="269" spans="1:25" x14ac:dyDescent="0.8">
      <c r="A269" s="18"/>
      <c r="B269" s="18"/>
      <c r="C269" s="18"/>
      <c r="D269" s="18"/>
      <c r="E269" s="18"/>
      <c r="F269" s="18"/>
      <c r="G269" s="18"/>
      <c r="H269" s="18"/>
      <c r="I269" s="18"/>
      <c r="J269" s="74"/>
      <c r="K269" s="48"/>
      <c r="L269" s="48"/>
      <c r="M269" s="48"/>
      <c r="N269" s="54"/>
      <c r="O269" s="48"/>
      <c r="P269" s="56"/>
      <c r="R269" s="48"/>
      <c r="S269" s="48"/>
      <c r="T269" s="48"/>
      <c r="U269" s="54"/>
      <c r="V269" s="48"/>
      <c r="W269" s="52"/>
      <c r="X269" s="48"/>
      <c r="Y269" s="48"/>
    </row>
    <row r="270" spans="1:25" x14ac:dyDescent="0.8">
      <c r="A270" s="18"/>
      <c r="B270" s="18"/>
      <c r="C270" s="18"/>
      <c r="D270" s="18"/>
      <c r="E270" s="18"/>
      <c r="F270" s="18"/>
      <c r="G270" s="18"/>
      <c r="H270" s="18"/>
      <c r="I270" s="18"/>
      <c r="J270" s="74"/>
      <c r="K270" s="48"/>
      <c r="L270" s="48"/>
      <c r="M270" s="48"/>
      <c r="N270" s="54"/>
      <c r="O270" s="48"/>
      <c r="P270" s="56"/>
      <c r="R270" s="48"/>
      <c r="S270" s="48"/>
      <c r="T270" s="48"/>
      <c r="U270" s="54"/>
      <c r="V270" s="48"/>
      <c r="W270" s="52"/>
      <c r="X270" s="48"/>
      <c r="Y270" s="48"/>
    </row>
    <row r="271" spans="1:25" x14ac:dyDescent="0.8">
      <c r="A271" s="18"/>
      <c r="B271" s="18"/>
      <c r="C271" s="18"/>
      <c r="D271" s="18"/>
      <c r="E271" s="18"/>
      <c r="F271" s="18"/>
      <c r="G271" s="18"/>
      <c r="H271" s="18"/>
      <c r="I271" s="18"/>
      <c r="J271" s="74"/>
      <c r="K271" s="48"/>
      <c r="L271" s="48"/>
      <c r="M271" s="48"/>
      <c r="N271" s="54"/>
      <c r="O271" s="48"/>
      <c r="P271" s="56"/>
      <c r="R271" s="48"/>
      <c r="S271" s="48"/>
      <c r="T271" s="48"/>
      <c r="U271" s="54"/>
      <c r="V271" s="48"/>
      <c r="W271" s="52"/>
      <c r="X271" s="48"/>
      <c r="Y271" s="48"/>
    </row>
    <row r="272" spans="1:25" x14ac:dyDescent="0.8">
      <c r="A272" s="18"/>
      <c r="B272" s="18"/>
      <c r="C272" s="18"/>
      <c r="D272" s="18"/>
      <c r="E272" s="18"/>
      <c r="F272" s="18"/>
      <c r="G272" s="18"/>
      <c r="H272" s="18"/>
      <c r="I272" s="18"/>
      <c r="J272" s="74"/>
      <c r="K272" s="48"/>
      <c r="L272" s="48"/>
      <c r="M272" s="48"/>
      <c r="N272" s="54"/>
      <c r="O272" s="48"/>
      <c r="P272" s="56"/>
      <c r="R272" s="48"/>
      <c r="S272" s="48"/>
      <c r="T272" s="48"/>
      <c r="U272" s="54"/>
      <c r="V272" s="48"/>
      <c r="W272" s="52"/>
      <c r="X272" s="48"/>
      <c r="Y272" s="48"/>
    </row>
    <row r="273" spans="1:25" x14ac:dyDescent="0.8">
      <c r="A273" s="18"/>
      <c r="B273" s="18"/>
      <c r="C273" s="18"/>
      <c r="D273" s="18"/>
      <c r="E273" s="18"/>
      <c r="F273" s="18"/>
      <c r="G273" s="18"/>
      <c r="H273" s="18"/>
      <c r="I273" s="18"/>
      <c r="J273" s="74"/>
      <c r="K273" s="48"/>
      <c r="L273" s="48"/>
      <c r="M273" s="48"/>
      <c r="N273" s="54"/>
      <c r="O273" s="48"/>
      <c r="P273" s="56"/>
      <c r="R273" s="48"/>
      <c r="S273" s="48"/>
      <c r="T273" s="48"/>
      <c r="U273" s="54"/>
      <c r="V273" s="48"/>
      <c r="W273" s="52"/>
      <c r="X273" s="48"/>
      <c r="Y273" s="48"/>
    </row>
    <row r="274" spans="1:25" x14ac:dyDescent="0.8">
      <c r="A274" s="18"/>
      <c r="B274" s="18"/>
      <c r="C274" s="18"/>
      <c r="D274" s="18"/>
      <c r="E274" s="18"/>
      <c r="F274" s="18"/>
      <c r="G274" s="18"/>
      <c r="H274" s="18"/>
      <c r="I274" s="18"/>
      <c r="J274" s="74"/>
      <c r="K274" s="48"/>
      <c r="L274" s="48"/>
      <c r="M274" s="48"/>
      <c r="N274" s="54"/>
      <c r="O274" s="48"/>
      <c r="P274" s="56"/>
      <c r="R274" s="48"/>
      <c r="S274" s="48"/>
      <c r="T274" s="48"/>
      <c r="U274" s="54"/>
      <c r="V274" s="48"/>
      <c r="W274" s="52"/>
      <c r="X274" s="48"/>
      <c r="Y274" s="48"/>
    </row>
    <row r="275" spans="1:25" x14ac:dyDescent="0.8">
      <c r="A275" s="18"/>
      <c r="B275" s="18"/>
      <c r="C275" s="18"/>
      <c r="D275" s="18"/>
      <c r="E275" s="18"/>
      <c r="F275" s="18"/>
      <c r="G275" s="18"/>
      <c r="H275" s="18"/>
      <c r="I275" s="18"/>
      <c r="J275" s="74"/>
      <c r="K275" s="48"/>
      <c r="L275" s="48"/>
      <c r="M275" s="48"/>
      <c r="N275" s="54"/>
      <c r="O275" s="48"/>
      <c r="P275" s="56"/>
      <c r="R275" s="48"/>
      <c r="S275" s="48"/>
      <c r="T275" s="48"/>
      <c r="U275" s="54"/>
      <c r="V275" s="48"/>
      <c r="W275" s="52"/>
      <c r="X275" s="48"/>
      <c r="Y275" s="48"/>
    </row>
    <row r="276" spans="1:25" x14ac:dyDescent="0.8">
      <c r="A276" s="18"/>
      <c r="B276" s="18"/>
      <c r="C276" s="18"/>
      <c r="D276" s="18"/>
      <c r="E276" s="18"/>
      <c r="F276" s="18"/>
      <c r="G276" s="18"/>
      <c r="H276" s="18"/>
      <c r="I276" s="18"/>
      <c r="J276" s="74"/>
      <c r="K276" s="48"/>
      <c r="L276" s="48"/>
      <c r="M276" s="48"/>
      <c r="N276" s="54"/>
      <c r="O276" s="48"/>
      <c r="P276" s="56"/>
      <c r="R276" s="48"/>
      <c r="S276" s="48"/>
      <c r="T276" s="48"/>
      <c r="U276" s="54"/>
      <c r="V276" s="48"/>
      <c r="W276" s="52"/>
      <c r="X276" s="48"/>
      <c r="Y276" s="48"/>
    </row>
    <row r="277" spans="1:25" x14ac:dyDescent="0.8">
      <c r="A277" s="18"/>
      <c r="B277" s="18"/>
      <c r="C277" s="18"/>
      <c r="D277" s="18"/>
      <c r="E277" s="18"/>
      <c r="F277" s="18"/>
      <c r="G277" s="18"/>
      <c r="H277" s="18"/>
      <c r="I277" s="18"/>
      <c r="J277" s="74"/>
      <c r="K277" s="48"/>
      <c r="L277" s="48"/>
      <c r="M277" s="48"/>
      <c r="N277" s="54"/>
      <c r="O277" s="48"/>
      <c r="P277" s="56"/>
      <c r="R277" s="48"/>
      <c r="S277" s="48"/>
      <c r="T277" s="48"/>
      <c r="U277" s="54"/>
      <c r="V277" s="48"/>
      <c r="W277" s="52"/>
      <c r="X277" s="48"/>
      <c r="Y277" s="48"/>
    </row>
    <row r="278" spans="1:25" x14ac:dyDescent="0.8">
      <c r="A278" s="18"/>
      <c r="B278" s="18"/>
      <c r="C278" s="18"/>
      <c r="D278" s="18"/>
      <c r="E278" s="18"/>
      <c r="F278" s="18"/>
      <c r="G278" s="18"/>
      <c r="H278" s="18"/>
      <c r="I278" s="18"/>
      <c r="J278" s="74"/>
      <c r="K278" s="48"/>
      <c r="L278" s="48"/>
      <c r="M278" s="48"/>
      <c r="N278" s="54"/>
      <c r="O278" s="48"/>
      <c r="P278" s="56"/>
      <c r="R278" s="48"/>
      <c r="S278" s="48"/>
      <c r="T278" s="48"/>
      <c r="U278" s="54"/>
      <c r="V278" s="48"/>
      <c r="W278" s="52"/>
      <c r="X278" s="48"/>
      <c r="Y278" s="48"/>
    </row>
    <row r="279" spans="1:25" x14ac:dyDescent="0.8">
      <c r="A279" s="18"/>
      <c r="B279" s="18"/>
      <c r="C279" s="18"/>
      <c r="D279" s="18"/>
      <c r="E279" s="18"/>
      <c r="F279" s="18"/>
      <c r="G279" s="18"/>
      <c r="H279" s="18"/>
      <c r="I279" s="18"/>
      <c r="J279" s="74"/>
      <c r="K279" s="48"/>
      <c r="L279" s="48"/>
      <c r="M279" s="48"/>
      <c r="N279" s="54"/>
      <c r="O279" s="48"/>
      <c r="P279" s="56"/>
      <c r="R279" s="48"/>
      <c r="S279" s="48"/>
      <c r="T279" s="48"/>
      <c r="U279" s="54"/>
      <c r="V279" s="48"/>
      <c r="W279" s="52"/>
      <c r="X279" s="48"/>
      <c r="Y279" s="48"/>
    </row>
    <row r="280" spans="1:25" x14ac:dyDescent="0.8">
      <c r="A280" s="18"/>
      <c r="B280" s="18"/>
      <c r="C280" s="18"/>
      <c r="D280" s="18"/>
      <c r="E280" s="18"/>
      <c r="F280" s="18"/>
      <c r="G280" s="18"/>
      <c r="H280" s="18"/>
      <c r="I280" s="18"/>
      <c r="J280" s="74"/>
      <c r="K280" s="48"/>
      <c r="L280" s="48"/>
      <c r="M280" s="48"/>
      <c r="N280" s="54"/>
      <c r="O280" s="48"/>
      <c r="P280" s="56"/>
      <c r="R280" s="48"/>
      <c r="S280" s="48"/>
      <c r="T280" s="48"/>
      <c r="U280" s="54"/>
      <c r="V280" s="48"/>
      <c r="W280" s="52"/>
      <c r="X280" s="48"/>
      <c r="Y280" s="48"/>
    </row>
    <row r="281" spans="1:25" x14ac:dyDescent="0.8">
      <c r="A281" s="18"/>
      <c r="B281" s="18"/>
      <c r="C281" s="18"/>
      <c r="D281" s="18"/>
      <c r="E281" s="18"/>
      <c r="F281" s="18"/>
      <c r="G281" s="18"/>
      <c r="H281" s="18"/>
      <c r="I281" s="18"/>
      <c r="J281" s="74"/>
      <c r="K281" s="48"/>
      <c r="L281" s="48"/>
      <c r="M281" s="48"/>
      <c r="N281" s="54"/>
      <c r="O281" s="48"/>
      <c r="P281" s="56"/>
      <c r="R281" s="48"/>
      <c r="S281" s="48"/>
      <c r="T281" s="48"/>
      <c r="U281" s="54"/>
      <c r="V281" s="48"/>
      <c r="W281" s="52"/>
      <c r="X281" s="48"/>
      <c r="Y281" s="48"/>
    </row>
    <row r="282" spans="1:25" x14ac:dyDescent="0.8">
      <c r="A282" s="18"/>
      <c r="B282" s="18"/>
      <c r="C282" s="18"/>
      <c r="D282" s="18"/>
      <c r="E282" s="18"/>
      <c r="F282" s="18"/>
      <c r="G282" s="18"/>
      <c r="H282" s="18"/>
      <c r="I282" s="18"/>
      <c r="J282" s="74"/>
    </row>
    <row r="283" spans="1:25" x14ac:dyDescent="0.8">
      <c r="A283" s="18"/>
      <c r="B283" s="18"/>
      <c r="C283" s="18"/>
      <c r="D283" s="18"/>
      <c r="E283" s="18"/>
      <c r="F283" s="18"/>
      <c r="G283" s="18"/>
      <c r="H283" s="18"/>
      <c r="I283" s="18"/>
      <c r="J283" s="74"/>
    </row>
    <row r="284" spans="1:25" x14ac:dyDescent="0.8">
      <c r="A284" s="18"/>
      <c r="B284" s="18"/>
      <c r="C284" s="18"/>
      <c r="D284" s="18"/>
      <c r="E284" s="18"/>
      <c r="F284" s="18"/>
      <c r="G284" s="18"/>
      <c r="H284" s="18"/>
      <c r="I284" s="18"/>
      <c r="J284" s="74"/>
    </row>
    <row r="285" spans="1:25" x14ac:dyDescent="0.8">
      <c r="A285" s="18"/>
      <c r="B285" s="18"/>
      <c r="C285" s="18"/>
      <c r="D285" s="18"/>
      <c r="E285" s="18"/>
      <c r="F285" s="18"/>
      <c r="G285" s="18"/>
      <c r="H285" s="18"/>
      <c r="I285" s="18"/>
      <c r="J285" s="74"/>
    </row>
    <row r="286" spans="1:25" x14ac:dyDescent="0.8">
      <c r="A286" s="18"/>
      <c r="B286" s="18"/>
      <c r="C286" s="18"/>
      <c r="D286" s="18"/>
      <c r="E286" s="18"/>
      <c r="F286" s="18"/>
      <c r="G286" s="18"/>
      <c r="H286" s="18"/>
      <c r="I286" s="18"/>
      <c r="J286" s="74"/>
    </row>
    <row r="287" spans="1:25" x14ac:dyDescent="0.8">
      <c r="A287" s="18"/>
      <c r="B287" s="18"/>
      <c r="C287" s="18"/>
      <c r="D287" s="18"/>
      <c r="E287" s="18"/>
      <c r="F287" s="18"/>
      <c r="G287" s="18"/>
      <c r="H287" s="18"/>
      <c r="I287" s="18"/>
      <c r="J287" s="74"/>
    </row>
    <row r="288" spans="1:25" x14ac:dyDescent="0.8">
      <c r="A288" s="18"/>
      <c r="B288" s="18"/>
      <c r="C288" s="18"/>
      <c r="D288" s="18"/>
      <c r="E288" s="18"/>
      <c r="F288" s="18"/>
      <c r="G288" s="18"/>
      <c r="H288" s="18"/>
      <c r="I288" s="18"/>
      <c r="J288" s="74"/>
    </row>
    <row r="289" spans="1:10" x14ac:dyDescent="0.8">
      <c r="A289" s="18"/>
      <c r="B289" s="18"/>
      <c r="C289" s="18"/>
      <c r="D289" s="18"/>
      <c r="E289" s="18"/>
      <c r="F289" s="18"/>
      <c r="G289" s="18"/>
      <c r="H289" s="18"/>
      <c r="I289" s="18"/>
      <c r="J289" s="74"/>
    </row>
    <row r="290" spans="1:10" x14ac:dyDescent="0.8">
      <c r="A290" s="18"/>
      <c r="B290" s="18"/>
      <c r="C290" s="18"/>
      <c r="D290" s="18"/>
      <c r="E290" s="18"/>
      <c r="F290" s="18"/>
      <c r="G290" s="18"/>
      <c r="H290" s="18"/>
      <c r="I290" s="18"/>
      <c r="J290" s="74"/>
    </row>
    <row r="291" spans="1:10" x14ac:dyDescent="0.8">
      <c r="A291" s="18"/>
      <c r="B291" s="18"/>
      <c r="C291" s="18"/>
      <c r="D291" s="18"/>
      <c r="E291" s="18"/>
      <c r="F291" s="18"/>
      <c r="G291" s="18"/>
      <c r="H291" s="18"/>
      <c r="I291" s="18"/>
      <c r="J291" s="74"/>
    </row>
    <row r="292" spans="1:10" x14ac:dyDescent="0.8">
      <c r="A292" s="18"/>
      <c r="B292" s="18"/>
      <c r="C292" s="18"/>
      <c r="D292" s="18"/>
      <c r="E292" s="18"/>
      <c r="F292" s="18"/>
      <c r="G292" s="18"/>
      <c r="H292" s="18"/>
      <c r="I292" s="18"/>
      <c r="J292" s="74"/>
    </row>
    <row r="293" spans="1:10" x14ac:dyDescent="0.8">
      <c r="A293" s="18"/>
      <c r="B293" s="18"/>
      <c r="C293" s="18"/>
      <c r="D293" s="18"/>
      <c r="E293" s="18"/>
      <c r="F293" s="18"/>
      <c r="G293" s="18"/>
      <c r="H293" s="18"/>
      <c r="I293" s="18"/>
      <c r="J293" s="74"/>
    </row>
    <row r="294" spans="1:10" x14ac:dyDescent="0.8">
      <c r="A294" s="18"/>
      <c r="B294" s="18"/>
      <c r="C294" s="18"/>
      <c r="D294" s="18"/>
      <c r="E294" s="18"/>
      <c r="F294" s="18"/>
      <c r="G294" s="18"/>
      <c r="H294" s="18"/>
      <c r="I294" s="18"/>
      <c r="J294" s="74"/>
    </row>
    <row r="295" spans="1:10" x14ac:dyDescent="0.8">
      <c r="A295" s="18"/>
      <c r="B295" s="18"/>
      <c r="C295" s="18"/>
      <c r="D295" s="18"/>
      <c r="E295" s="18"/>
      <c r="F295" s="18"/>
      <c r="G295" s="18"/>
      <c r="H295" s="18"/>
      <c r="I295" s="18"/>
      <c r="J295" s="74"/>
    </row>
    <row r="296" spans="1:10" x14ac:dyDescent="0.8">
      <c r="A296" s="18"/>
      <c r="B296" s="18"/>
      <c r="C296" s="18"/>
      <c r="D296" s="18"/>
      <c r="E296" s="18"/>
      <c r="F296" s="18"/>
      <c r="G296" s="18"/>
      <c r="H296" s="18"/>
      <c r="I296" s="18"/>
      <c r="J296" s="74"/>
    </row>
    <row r="297" spans="1:10" x14ac:dyDescent="0.8">
      <c r="A297" s="18"/>
      <c r="B297" s="18"/>
      <c r="C297" s="18"/>
      <c r="D297" s="18"/>
      <c r="E297" s="18"/>
      <c r="F297" s="18"/>
      <c r="G297" s="18"/>
      <c r="H297" s="18"/>
      <c r="I297" s="18"/>
      <c r="J297" s="74"/>
    </row>
    <row r="298" spans="1:10" x14ac:dyDescent="0.8">
      <c r="A298" s="18"/>
      <c r="B298" s="18"/>
      <c r="C298" s="18"/>
      <c r="D298" s="18"/>
      <c r="E298" s="18"/>
      <c r="F298" s="18"/>
      <c r="G298" s="18"/>
      <c r="H298" s="18"/>
      <c r="I298" s="18"/>
      <c r="J298" s="74"/>
    </row>
    <row r="299" spans="1:10" x14ac:dyDescent="0.8">
      <c r="A299" s="18"/>
      <c r="B299" s="18"/>
      <c r="C299" s="18"/>
      <c r="D299" s="18"/>
      <c r="E299" s="18"/>
      <c r="F299" s="18"/>
      <c r="G299" s="18"/>
      <c r="H299" s="18"/>
      <c r="I299" s="18"/>
      <c r="J299" s="74"/>
    </row>
    <row r="300" spans="1:10" x14ac:dyDescent="0.8">
      <c r="A300" s="18"/>
      <c r="B300" s="18"/>
      <c r="C300" s="18"/>
      <c r="D300" s="18"/>
      <c r="E300" s="18"/>
      <c r="F300" s="18"/>
      <c r="G300" s="18"/>
      <c r="H300" s="18"/>
      <c r="I300" s="18"/>
      <c r="J300" s="74"/>
    </row>
    <row r="301" spans="1:10" x14ac:dyDescent="0.8">
      <c r="A301" s="18"/>
      <c r="B301" s="18"/>
      <c r="C301" s="18"/>
      <c r="D301" s="18"/>
      <c r="E301" s="18"/>
      <c r="F301" s="18"/>
      <c r="G301" s="18"/>
      <c r="H301" s="18"/>
      <c r="I301" s="18"/>
      <c r="J301" s="74"/>
    </row>
    <row r="302" spans="1:10" x14ac:dyDescent="0.8">
      <c r="A302" s="18"/>
      <c r="B302" s="18"/>
      <c r="C302" s="18"/>
      <c r="D302" s="18"/>
      <c r="E302" s="18"/>
      <c r="F302" s="18"/>
      <c r="G302" s="18"/>
      <c r="H302" s="18"/>
      <c r="I302" s="18"/>
      <c r="J302" s="74"/>
    </row>
    <row r="303" spans="1:10" x14ac:dyDescent="0.8">
      <c r="A303" s="18"/>
      <c r="B303" s="18"/>
      <c r="C303" s="18"/>
      <c r="D303" s="18"/>
      <c r="E303" s="18"/>
      <c r="F303" s="18"/>
      <c r="G303" s="18"/>
      <c r="H303" s="18"/>
      <c r="I303" s="18"/>
      <c r="J303" s="74"/>
    </row>
    <row r="304" spans="1:10" x14ac:dyDescent="0.8">
      <c r="A304" s="18"/>
      <c r="B304" s="18"/>
      <c r="C304" s="18"/>
      <c r="D304" s="18"/>
      <c r="E304" s="18"/>
      <c r="F304" s="18"/>
      <c r="G304" s="18"/>
      <c r="H304" s="18"/>
      <c r="I304" s="18"/>
      <c r="J304" s="74"/>
    </row>
    <row r="305" spans="1:10" x14ac:dyDescent="0.8">
      <c r="A305" s="18"/>
      <c r="B305" s="18"/>
      <c r="C305" s="18"/>
      <c r="D305" s="18"/>
      <c r="E305" s="18"/>
      <c r="F305" s="18"/>
      <c r="G305" s="18"/>
      <c r="H305" s="18"/>
      <c r="I305" s="18"/>
      <c r="J305" s="74"/>
    </row>
    <row r="306" spans="1:10" x14ac:dyDescent="0.8">
      <c r="A306" s="18"/>
      <c r="B306" s="18"/>
      <c r="C306" s="18"/>
      <c r="D306" s="18"/>
      <c r="E306" s="18"/>
      <c r="F306" s="18"/>
      <c r="G306" s="18"/>
      <c r="H306" s="18"/>
      <c r="I306" s="18"/>
      <c r="J306" s="74"/>
    </row>
    <row r="307" spans="1:10" x14ac:dyDescent="0.8">
      <c r="A307" s="18"/>
      <c r="B307" s="18"/>
      <c r="C307" s="18"/>
      <c r="D307" s="18"/>
      <c r="E307" s="18"/>
      <c r="F307" s="18"/>
      <c r="G307" s="18"/>
      <c r="H307" s="18"/>
      <c r="I307" s="18"/>
      <c r="J307" s="74"/>
    </row>
    <row r="308" spans="1:10" x14ac:dyDescent="0.8">
      <c r="A308" s="18"/>
      <c r="B308" s="18"/>
      <c r="C308" s="18"/>
      <c r="D308" s="18"/>
      <c r="E308" s="18"/>
      <c r="F308" s="18"/>
      <c r="G308" s="18"/>
      <c r="H308" s="18"/>
      <c r="I308" s="18"/>
      <c r="J308" s="74"/>
    </row>
    <row r="309" spans="1:10" x14ac:dyDescent="0.8">
      <c r="A309" s="18"/>
      <c r="B309" s="18"/>
      <c r="C309" s="18"/>
      <c r="D309" s="18"/>
      <c r="E309" s="18"/>
      <c r="F309" s="18"/>
      <c r="G309" s="18"/>
      <c r="H309" s="18"/>
      <c r="I309" s="18"/>
      <c r="J309" s="74"/>
    </row>
    <row r="310" spans="1:10" x14ac:dyDescent="0.8">
      <c r="A310" s="18"/>
      <c r="B310" s="18"/>
      <c r="C310" s="18"/>
      <c r="D310" s="18"/>
      <c r="E310" s="18"/>
      <c r="F310" s="18"/>
      <c r="G310" s="18"/>
      <c r="H310" s="18"/>
      <c r="I310" s="18"/>
      <c r="J310" s="74"/>
    </row>
    <row r="311" spans="1:10" x14ac:dyDescent="0.8">
      <c r="A311" s="18"/>
      <c r="B311" s="18"/>
      <c r="C311" s="18"/>
      <c r="D311" s="18"/>
      <c r="E311" s="18"/>
      <c r="F311" s="18"/>
      <c r="G311" s="18"/>
      <c r="H311" s="18"/>
      <c r="I311" s="18"/>
      <c r="J311" s="74"/>
    </row>
    <row r="312" spans="1:10" x14ac:dyDescent="0.8">
      <c r="A312" s="18"/>
      <c r="B312" s="18"/>
      <c r="C312" s="18"/>
      <c r="D312" s="18"/>
      <c r="E312" s="18"/>
      <c r="F312" s="18"/>
      <c r="G312" s="18"/>
      <c r="H312" s="18"/>
      <c r="I312" s="18"/>
      <c r="J312" s="74"/>
    </row>
    <row r="313" spans="1:10" x14ac:dyDescent="0.8">
      <c r="A313" s="18"/>
      <c r="B313" s="18"/>
      <c r="C313" s="18"/>
      <c r="D313" s="18"/>
      <c r="E313" s="18"/>
      <c r="F313" s="18"/>
      <c r="G313" s="18"/>
      <c r="H313" s="18"/>
      <c r="I313" s="18"/>
      <c r="J313" s="74"/>
    </row>
    <row r="314" spans="1:10" x14ac:dyDescent="0.8">
      <c r="A314" s="18"/>
      <c r="B314" s="18"/>
      <c r="C314" s="18"/>
      <c r="D314" s="18"/>
      <c r="E314" s="18"/>
      <c r="F314" s="18"/>
      <c r="G314" s="18"/>
      <c r="H314" s="18"/>
      <c r="I314" s="18"/>
      <c r="J314" s="74"/>
    </row>
    <row r="315" spans="1:10" x14ac:dyDescent="0.8">
      <c r="A315" s="18"/>
      <c r="B315" s="18"/>
      <c r="C315" s="18"/>
      <c r="D315" s="18"/>
      <c r="E315" s="18"/>
      <c r="F315" s="18"/>
      <c r="G315" s="18"/>
      <c r="H315" s="18"/>
      <c r="I315" s="18"/>
      <c r="J315" s="74"/>
    </row>
  </sheetData>
  <sheetProtection sheet="1" selectLockedCells="1"/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BC6C5-6D63-4C82-86F8-3BCEF231B20F}">
  <sheetPr codeName="Sheet8"/>
  <dimension ref="A1:AE315"/>
  <sheetViews>
    <sheetView showGridLines="0" workbookViewId="0">
      <selection activeCell="K2" sqref="K2:K6"/>
    </sheetView>
  </sheetViews>
  <sheetFormatPr defaultRowHeight="34.200000000000003" x14ac:dyDescent="0.8"/>
  <cols>
    <col min="1" max="1" width="26.109375" customWidth="1"/>
    <col min="2" max="2" width="5.33203125" customWidth="1"/>
    <col min="3" max="3" width="12.6640625" customWidth="1"/>
    <col min="4" max="4" width="4.6640625" customWidth="1"/>
    <col min="5" max="5" width="23.33203125" customWidth="1"/>
    <col min="6" max="6" width="3.88671875" customWidth="1"/>
    <col min="7" max="7" width="7.6640625" customWidth="1"/>
    <col min="8" max="8" width="3.44140625" customWidth="1"/>
    <col min="9" max="9" width="13.33203125" customWidth="1"/>
    <col min="10" max="10" width="9" style="76" customWidth="1"/>
    <col min="11" max="11" width="9.33203125" style="46" bestFit="1" customWidth="1"/>
    <col min="12" max="12" width="15.6640625" style="46" customWidth="1"/>
    <col min="13" max="13" width="3.88671875" style="46" customWidth="1"/>
    <col min="14" max="14" width="13.5546875" style="55" customWidth="1"/>
    <col min="15" max="15" width="4.6640625" style="46" customWidth="1"/>
    <col min="16" max="16" width="13.88671875" style="47" customWidth="1"/>
    <col min="17" max="17" width="16.109375" style="48" customWidth="1"/>
    <col min="18" max="18" width="15.88671875" style="46" bestFit="1" customWidth="1"/>
    <col min="19" max="19" width="15.88671875" style="46" customWidth="1"/>
    <col min="20" max="20" width="2.109375" style="46" customWidth="1"/>
    <col min="21" max="21" width="11.33203125" style="55" customWidth="1"/>
    <col min="22" max="22" width="4.6640625" style="46" customWidth="1"/>
    <col min="23" max="23" width="17.33203125" style="53" customWidth="1"/>
    <col min="24" max="24" width="8.88671875" style="46"/>
    <col min="25" max="25" width="18.5546875" style="46" customWidth="1"/>
    <col min="26" max="26" width="3" style="46" customWidth="1"/>
    <col min="27" max="27" width="5.6640625" style="46" customWidth="1"/>
    <col min="28" max="28" width="20" customWidth="1"/>
  </cols>
  <sheetData>
    <row r="1" spans="1:31" s="18" customFormat="1" ht="28.2" thickBot="1" x14ac:dyDescent="0.7">
      <c r="B1" s="91"/>
      <c r="C1" s="91"/>
      <c r="D1" s="91"/>
      <c r="E1" s="91"/>
      <c r="F1" s="91"/>
      <c r="G1" s="91"/>
      <c r="H1" s="91"/>
      <c r="I1" s="91"/>
      <c r="J1" s="92"/>
      <c r="K1" s="93"/>
      <c r="L1" s="94"/>
      <c r="M1" s="95"/>
      <c r="N1" s="96"/>
      <c r="O1" s="91"/>
      <c r="P1" s="97" t="str">
        <f>IF('Mos-Days'!C1&lt;&gt;"",'Mos-Days'!C1," ")</f>
        <v xml:space="preserve"> </v>
      </c>
      <c r="Q1" s="91"/>
    </row>
    <row r="2" spans="1:31" ht="34.799999999999997" thickTop="1" x14ac:dyDescent="0.8">
      <c r="A2" s="68"/>
      <c r="B2" s="98" t="s">
        <v>42</v>
      </c>
      <c r="C2" s="98" t="s">
        <v>43</v>
      </c>
      <c r="D2" s="99" t="s">
        <v>44</v>
      </c>
      <c r="E2" s="99" t="s">
        <v>45</v>
      </c>
      <c r="F2" s="99" t="s">
        <v>44</v>
      </c>
      <c r="G2" s="99" t="s">
        <v>46</v>
      </c>
      <c r="H2" s="99" t="s">
        <v>44</v>
      </c>
      <c r="I2" s="100">
        <v>0.01</v>
      </c>
      <c r="J2" s="101"/>
      <c r="K2" s="102"/>
      <c r="L2" s="91" t="str">
        <f>IF(K2=1,"cent","cents")</f>
        <v>cents</v>
      </c>
      <c r="M2" s="99" t="s">
        <v>44</v>
      </c>
      <c r="N2" s="96" t="str">
        <f>IF(K2&gt;0,CONCATENATE(K2,"¢")," ")</f>
        <v xml:space="preserve"> </v>
      </c>
      <c r="O2" s="99" t="s">
        <v>44</v>
      </c>
      <c r="P2" s="97">
        <f>K2/100</f>
        <v>0</v>
      </c>
      <c r="Q2" s="103"/>
      <c r="R2" s="56"/>
      <c r="S2" s="48"/>
      <c r="T2" s="48"/>
      <c r="U2" s="54"/>
    </row>
    <row r="3" spans="1:31" ht="33.6" customHeight="1" x14ac:dyDescent="0.8">
      <c r="A3" s="68"/>
      <c r="B3" s="98" t="s">
        <v>42</v>
      </c>
      <c r="C3" s="98" t="s">
        <v>47</v>
      </c>
      <c r="D3" s="99" t="s">
        <v>44</v>
      </c>
      <c r="E3" s="99" t="s">
        <v>48</v>
      </c>
      <c r="F3" s="99" t="s">
        <v>44</v>
      </c>
      <c r="G3" s="99" t="s">
        <v>49</v>
      </c>
      <c r="H3" s="99" t="s">
        <v>44</v>
      </c>
      <c r="I3" s="100">
        <v>0.05</v>
      </c>
      <c r="J3" s="101"/>
      <c r="K3" s="102"/>
      <c r="L3" s="91" t="str">
        <f>IF(K3=1,"nickel","nickels")</f>
        <v>nickels</v>
      </c>
      <c r="M3" s="99" t="s">
        <v>44</v>
      </c>
      <c r="N3" s="96" t="str">
        <f>IF(K3&gt;0,CONCATENATE(5*K3,"¢")," ")</f>
        <v xml:space="preserve"> </v>
      </c>
      <c r="O3" s="99" t="s">
        <v>44</v>
      </c>
      <c r="P3" s="97">
        <f>5*K3/100</f>
        <v>0</v>
      </c>
      <c r="Q3" s="91"/>
      <c r="R3" s="48"/>
      <c r="S3" s="48"/>
      <c r="T3" s="48"/>
      <c r="U3" s="54"/>
    </row>
    <row r="4" spans="1:31" x14ac:dyDescent="0.8">
      <c r="A4" s="68"/>
      <c r="B4" s="98" t="s">
        <v>42</v>
      </c>
      <c r="C4" s="98" t="s">
        <v>50</v>
      </c>
      <c r="D4" s="99" t="s">
        <v>44</v>
      </c>
      <c r="E4" s="99" t="s">
        <v>51</v>
      </c>
      <c r="F4" s="99" t="s">
        <v>44</v>
      </c>
      <c r="G4" s="99" t="s">
        <v>52</v>
      </c>
      <c r="H4" s="99" t="s">
        <v>44</v>
      </c>
      <c r="I4" s="100">
        <v>0.1</v>
      </c>
      <c r="J4" s="101"/>
      <c r="K4" s="102"/>
      <c r="L4" s="91" t="str">
        <f>IF(K4=1,"dime","dimes")</f>
        <v>dimes</v>
      </c>
      <c r="M4" s="99" t="s">
        <v>44</v>
      </c>
      <c r="N4" s="96" t="str">
        <f>IF(K4&gt;0,CONCATENATE(10*K4,"¢")," ")</f>
        <v xml:space="preserve"> </v>
      </c>
      <c r="O4" s="99" t="s">
        <v>44</v>
      </c>
      <c r="P4" s="97">
        <f>10*K4/100</f>
        <v>0</v>
      </c>
      <c r="Q4" s="91"/>
      <c r="R4" s="48"/>
      <c r="S4" s="48"/>
      <c r="T4" s="48"/>
      <c r="U4" s="54"/>
    </row>
    <row r="5" spans="1:31" x14ac:dyDescent="0.8">
      <c r="A5" s="68"/>
      <c r="B5" s="98" t="s">
        <v>42</v>
      </c>
      <c r="C5" s="98" t="s">
        <v>53</v>
      </c>
      <c r="D5" s="99" t="s">
        <v>44</v>
      </c>
      <c r="E5" s="99" t="s">
        <v>54</v>
      </c>
      <c r="F5" s="99" t="s">
        <v>44</v>
      </c>
      <c r="G5" s="99" t="s">
        <v>55</v>
      </c>
      <c r="H5" s="99" t="s">
        <v>44</v>
      </c>
      <c r="I5" s="100">
        <v>0.25</v>
      </c>
      <c r="J5" s="101"/>
      <c r="K5" s="102"/>
      <c r="L5" s="91" t="str">
        <f>IF(K5=1,"quarter","quarters")</f>
        <v>quarters</v>
      </c>
      <c r="M5" s="99" t="s">
        <v>44</v>
      </c>
      <c r="N5" s="96" t="str">
        <f>IF(K5&gt;0,CONCATENATE(25*K5,"¢")," ")</f>
        <v xml:space="preserve"> </v>
      </c>
      <c r="O5" s="99" t="s">
        <v>44</v>
      </c>
      <c r="P5" s="97">
        <f>25*K5/100</f>
        <v>0</v>
      </c>
      <c r="Q5" s="91"/>
      <c r="R5" s="48"/>
      <c r="S5" s="48"/>
      <c r="T5" s="48"/>
      <c r="U5" s="54"/>
    </row>
    <row r="6" spans="1:31" x14ac:dyDescent="0.8">
      <c r="A6" s="68"/>
      <c r="B6" s="98" t="s">
        <v>42</v>
      </c>
      <c r="C6" s="98" t="s">
        <v>56</v>
      </c>
      <c r="D6" s="99" t="s">
        <v>44</v>
      </c>
      <c r="E6" s="99" t="s">
        <v>57</v>
      </c>
      <c r="F6" s="99" t="s">
        <v>44</v>
      </c>
      <c r="G6" s="99" t="s">
        <v>58</v>
      </c>
      <c r="H6" s="99" t="s">
        <v>44</v>
      </c>
      <c r="I6" s="100">
        <v>1</v>
      </c>
      <c r="J6" s="101"/>
      <c r="K6" s="102"/>
      <c r="L6" s="91" t="str">
        <f>IF(K6=1,"dollar","dollars")</f>
        <v>dollars</v>
      </c>
      <c r="M6" s="99" t="s">
        <v>44</v>
      </c>
      <c r="N6" s="96" t="str">
        <f>IF(K6&gt;0,CONCATENATE(100*K6,"¢")," ")</f>
        <v xml:space="preserve"> </v>
      </c>
      <c r="O6" s="99" t="s">
        <v>44</v>
      </c>
      <c r="P6" s="97">
        <f>K6</f>
        <v>0</v>
      </c>
      <c r="Q6" s="91"/>
      <c r="R6" s="48"/>
      <c r="S6" s="48"/>
      <c r="T6" s="48"/>
      <c r="U6" s="54"/>
      <c r="V6" s="48"/>
      <c r="W6" s="52"/>
      <c r="X6" s="48"/>
      <c r="Y6" s="48"/>
      <c r="Z6" s="48"/>
      <c r="AA6" s="48"/>
      <c r="AB6" s="18"/>
      <c r="AC6" s="18"/>
      <c r="AD6" s="18"/>
      <c r="AE6" s="18"/>
    </row>
    <row r="7" spans="1:31" x14ac:dyDescent="0.8">
      <c r="A7" s="18"/>
      <c r="B7" s="99"/>
      <c r="C7" s="99"/>
      <c r="D7" s="99"/>
      <c r="E7" s="99"/>
      <c r="F7" s="99"/>
      <c r="G7" s="99"/>
      <c r="H7" s="99"/>
      <c r="I7" s="99"/>
      <c r="J7" s="101"/>
      <c r="K7" s="105"/>
      <c r="L7" s="91"/>
      <c r="M7" s="99"/>
      <c r="N7" s="96"/>
      <c r="O7" s="99" t="s">
        <v>44</v>
      </c>
      <c r="P7" s="97">
        <f>SUM(P2:P6)</f>
        <v>0</v>
      </c>
      <c r="Q7" s="91"/>
      <c r="R7" s="48"/>
      <c r="S7" s="48"/>
      <c r="T7" s="48"/>
      <c r="U7" s="54"/>
      <c r="V7" s="48"/>
      <c r="W7" s="52"/>
      <c r="X7" s="48"/>
      <c r="Y7" s="48"/>
      <c r="Z7" s="48"/>
      <c r="AA7" s="48"/>
      <c r="AB7" s="18"/>
      <c r="AC7" s="18"/>
      <c r="AD7" s="18"/>
      <c r="AE7" s="18"/>
    </row>
    <row r="8" spans="1:31" s="7" customFormat="1" ht="1.95" customHeight="1" x14ac:dyDescent="0.8">
      <c r="A8" s="18"/>
      <c r="B8" s="99"/>
      <c r="C8" s="99"/>
      <c r="D8" s="99"/>
      <c r="E8" s="99"/>
      <c r="F8" s="99"/>
      <c r="G8" s="99"/>
      <c r="H8" s="99"/>
      <c r="I8" s="99"/>
      <c r="J8" s="101"/>
      <c r="K8" s="91"/>
      <c r="L8" s="91"/>
      <c r="M8" s="91"/>
      <c r="N8" s="96"/>
      <c r="O8" s="91"/>
      <c r="P8" s="97"/>
      <c r="Q8" s="91"/>
      <c r="R8" s="48"/>
      <c r="S8" s="48"/>
      <c r="T8" s="48"/>
      <c r="U8" s="54"/>
      <c r="V8" s="48"/>
      <c r="W8" s="18"/>
      <c r="X8" s="48"/>
      <c r="Y8" s="48"/>
      <c r="Z8" s="48"/>
      <c r="AA8" s="48"/>
      <c r="AB8" s="48"/>
      <c r="AC8" s="18"/>
      <c r="AD8" s="18"/>
      <c r="AE8" s="18"/>
    </row>
    <row r="9" spans="1:31" s="7" customFormat="1" ht="25.2" customHeight="1" thickBot="1" x14ac:dyDescent="0.85">
      <c r="A9" s="18"/>
      <c r="B9" s="99"/>
      <c r="C9" s="99"/>
      <c r="D9" s="99"/>
      <c r="E9" s="99"/>
      <c r="F9" s="99"/>
      <c r="G9" s="99"/>
      <c r="H9" s="99"/>
      <c r="I9" s="99"/>
      <c r="J9" s="101"/>
      <c r="K9" s="105" t="s">
        <v>59</v>
      </c>
      <c r="L9" s="106">
        <v>1.75</v>
      </c>
      <c r="M9" s="95"/>
      <c r="N9" s="96"/>
      <c r="O9" s="91"/>
      <c r="P9" s="97"/>
      <c r="Q9" s="91"/>
      <c r="R9" s="48"/>
      <c r="S9" s="48"/>
      <c r="T9" s="48"/>
      <c r="U9" s="54"/>
      <c r="V9" s="48"/>
      <c r="W9" s="52"/>
      <c r="X9" s="48"/>
      <c r="Y9" s="48"/>
      <c r="Z9" s="48"/>
      <c r="AA9" s="48"/>
      <c r="AB9" s="18"/>
      <c r="AC9" s="18"/>
      <c r="AD9" s="18"/>
      <c r="AE9" s="18"/>
    </row>
    <row r="10" spans="1:31" ht="25.2" customHeight="1" thickTop="1" x14ac:dyDescent="0.8">
      <c r="A10" s="18"/>
      <c r="B10" s="99"/>
      <c r="C10" s="99"/>
      <c r="D10" s="99"/>
      <c r="E10" s="99"/>
      <c r="F10" s="99"/>
      <c r="G10" s="99"/>
      <c r="H10" s="99"/>
      <c r="I10" s="99"/>
      <c r="J10" s="101"/>
      <c r="K10" s="102"/>
      <c r="L10" s="91" t="str">
        <f>IF(K10=1,"cent","cents")</f>
        <v>cents</v>
      </c>
      <c r="M10" s="99" t="s">
        <v>44</v>
      </c>
      <c r="N10" s="96" t="str">
        <f>IF(K10&gt;0,CONCATENATE(K10,"¢")," ")</f>
        <v xml:space="preserve"> </v>
      </c>
      <c r="O10" s="99" t="s">
        <v>44</v>
      </c>
      <c r="P10" s="97">
        <f>K10/100</f>
        <v>0</v>
      </c>
      <c r="Q10" s="103"/>
      <c r="R10" s="48"/>
      <c r="S10" s="48"/>
      <c r="T10" s="48"/>
      <c r="U10" s="54"/>
      <c r="V10" s="48"/>
      <c r="W10" s="52"/>
      <c r="X10" s="48"/>
      <c r="Y10" s="48"/>
      <c r="Z10" s="48"/>
      <c r="AA10" s="48"/>
      <c r="AB10" s="18"/>
      <c r="AC10" s="18"/>
      <c r="AD10" s="18"/>
      <c r="AE10" s="18"/>
    </row>
    <row r="11" spans="1:31" ht="25.2" customHeight="1" x14ac:dyDescent="0.8">
      <c r="A11" s="18"/>
      <c r="B11" s="99"/>
      <c r="C11" s="99"/>
      <c r="D11" s="99"/>
      <c r="E11" s="99"/>
      <c r="F11" s="99"/>
      <c r="G11" s="99"/>
      <c r="H11" s="99"/>
      <c r="I11" s="99"/>
      <c r="J11" s="101"/>
      <c r="K11" s="102"/>
      <c r="L11" s="91" t="str">
        <f>IF(K11=1,"nickel","nickels")</f>
        <v>nickels</v>
      </c>
      <c r="M11" s="99" t="s">
        <v>44</v>
      </c>
      <c r="N11" s="96" t="str">
        <f>IF(K11&gt;0,CONCATENATE(5*K11,"¢")," ")</f>
        <v xml:space="preserve"> </v>
      </c>
      <c r="O11" s="99" t="s">
        <v>44</v>
      </c>
      <c r="P11" s="97">
        <f t="shared" ref="P11" si="0">5*K11/100</f>
        <v>0</v>
      </c>
      <c r="Q11" s="91"/>
      <c r="R11" s="48"/>
      <c r="S11" s="48"/>
      <c r="T11" s="48"/>
      <c r="U11" s="54"/>
      <c r="V11" s="48"/>
      <c r="W11" s="52"/>
      <c r="X11" s="48"/>
      <c r="Y11" s="48"/>
      <c r="Z11" s="48"/>
      <c r="AA11" s="48"/>
      <c r="AB11" s="18"/>
      <c r="AC11" s="18"/>
      <c r="AD11" s="18"/>
      <c r="AE11" s="18"/>
    </row>
    <row r="12" spans="1:31" ht="25.2" customHeight="1" x14ac:dyDescent="0.8">
      <c r="A12" s="18"/>
      <c r="B12" s="99"/>
      <c r="C12" s="99"/>
      <c r="D12" s="99"/>
      <c r="E12" s="99"/>
      <c r="F12" s="99"/>
      <c r="G12" s="99"/>
      <c r="H12" s="99"/>
      <c r="I12" s="99"/>
      <c r="J12" s="101"/>
      <c r="K12" s="102"/>
      <c r="L12" s="91" t="str">
        <f>IF(K12=1,"dime","dimes")</f>
        <v>dimes</v>
      </c>
      <c r="M12" s="99" t="s">
        <v>44</v>
      </c>
      <c r="N12" s="96" t="str">
        <f>IF(K12&gt;0,CONCATENATE(10*K12,"¢")," ")</f>
        <v xml:space="preserve"> </v>
      </c>
      <c r="O12" s="99" t="s">
        <v>44</v>
      </c>
      <c r="P12" s="97">
        <f>10*K12/100</f>
        <v>0</v>
      </c>
      <c r="Q12" s="91"/>
      <c r="R12" s="48"/>
      <c r="S12" s="48"/>
      <c r="T12" s="48"/>
      <c r="U12" s="54"/>
      <c r="V12" s="48"/>
      <c r="W12" s="52"/>
      <c r="X12" s="48"/>
      <c r="Y12" s="48"/>
      <c r="Z12" s="48"/>
      <c r="AA12" s="48"/>
      <c r="AB12" s="18"/>
      <c r="AC12" s="18"/>
      <c r="AD12" s="18"/>
      <c r="AE12" s="18"/>
    </row>
    <row r="13" spans="1:31" ht="25.2" customHeight="1" x14ac:dyDescent="0.8">
      <c r="A13" s="18"/>
      <c r="B13" s="99"/>
      <c r="C13" s="99"/>
      <c r="D13" s="99"/>
      <c r="E13" s="99"/>
      <c r="F13" s="99"/>
      <c r="G13" s="99"/>
      <c r="H13" s="99"/>
      <c r="I13" s="99"/>
      <c r="J13" s="101"/>
      <c r="K13" s="102"/>
      <c r="L13" s="91" t="str">
        <f>IF(K13=1,"quarter","quarters")</f>
        <v>quarters</v>
      </c>
      <c r="M13" s="99" t="s">
        <v>44</v>
      </c>
      <c r="N13" s="96" t="str">
        <f>IF(K13&gt;0,CONCATENATE(25*K13,"¢")," ")</f>
        <v xml:space="preserve"> </v>
      </c>
      <c r="O13" s="99" t="s">
        <v>44</v>
      </c>
      <c r="P13" s="97">
        <f>25*K13/100</f>
        <v>0</v>
      </c>
      <c r="Q13" s="91"/>
      <c r="R13" s="48"/>
      <c r="S13" s="48"/>
      <c r="T13" s="48"/>
      <c r="U13" s="54"/>
      <c r="V13" s="48"/>
      <c r="W13" s="52"/>
      <c r="X13" s="48"/>
      <c r="Y13" s="48"/>
      <c r="Z13" s="48"/>
      <c r="AA13" s="48"/>
      <c r="AB13" s="18"/>
      <c r="AC13" s="18"/>
      <c r="AD13" s="18"/>
      <c r="AE13" s="18"/>
    </row>
    <row r="14" spans="1:31" ht="25.2" customHeight="1" x14ac:dyDescent="0.8">
      <c r="A14" s="18"/>
      <c r="B14" s="99"/>
      <c r="C14" s="99"/>
      <c r="D14" s="99"/>
      <c r="E14" s="99"/>
      <c r="F14" s="99"/>
      <c r="G14" s="99"/>
      <c r="H14" s="99"/>
      <c r="I14" s="99"/>
      <c r="J14" s="101"/>
      <c r="K14" s="102"/>
      <c r="L14" s="91" t="str">
        <f>IF(K14=1,"dollar","dollars")</f>
        <v>dollars</v>
      </c>
      <c r="M14" s="99" t="s">
        <v>44</v>
      </c>
      <c r="N14" s="96" t="str">
        <f>IF(K14&gt;0,CONCATENATE(100*K14,"¢")," ")</f>
        <v xml:space="preserve"> </v>
      </c>
      <c r="O14" s="99" t="s">
        <v>44</v>
      </c>
      <c r="P14" s="97">
        <f>K14</f>
        <v>0</v>
      </c>
      <c r="Q14" s="91"/>
      <c r="R14" s="48"/>
      <c r="S14" s="48"/>
      <c r="T14" s="48"/>
      <c r="U14" s="54"/>
      <c r="V14" s="48"/>
      <c r="W14" s="52"/>
      <c r="X14" s="48"/>
      <c r="Y14" s="48"/>
      <c r="Z14" s="48"/>
      <c r="AA14" s="48"/>
      <c r="AB14" s="18"/>
      <c r="AC14" s="18"/>
      <c r="AD14" s="18"/>
      <c r="AE14" s="18"/>
    </row>
    <row r="15" spans="1:31" ht="25.2" customHeight="1" x14ac:dyDescent="0.8">
      <c r="A15" s="18"/>
      <c r="B15" s="99"/>
      <c r="C15" s="99"/>
      <c r="D15" s="99"/>
      <c r="E15" s="99"/>
      <c r="F15" s="99"/>
      <c r="G15" s="99"/>
      <c r="H15" s="99"/>
      <c r="I15" s="99"/>
      <c r="J15" s="101"/>
      <c r="K15" s="91">
        <v>6</v>
      </c>
      <c r="L15" s="91"/>
      <c r="M15" s="99"/>
      <c r="N15" s="96"/>
      <c r="O15" s="99" t="s">
        <v>44</v>
      </c>
      <c r="P15" s="97">
        <f>SUM(P10:P14)</f>
        <v>0</v>
      </c>
      <c r="Q15" s="91" t="str">
        <f>IF(P15&gt;0,IF(L9=P15,"Good","Please try again")," ")</f>
        <v xml:space="preserve"> </v>
      </c>
      <c r="R15" s="48"/>
      <c r="S15" s="48"/>
      <c r="T15" s="48"/>
      <c r="U15" s="54"/>
      <c r="V15" s="48"/>
      <c r="W15" s="52"/>
      <c r="X15" s="48"/>
      <c r="Y15" s="48"/>
      <c r="Z15" s="48"/>
      <c r="AA15" s="48"/>
      <c r="AB15" s="18"/>
      <c r="AC15" s="18"/>
      <c r="AD15" s="18"/>
      <c r="AE15" s="18"/>
    </row>
    <row r="16" spans="1:31" ht="25.2" customHeight="1" x14ac:dyDescent="0.8">
      <c r="A16" s="18"/>
      <c r="B16" s="99"/>
      <c r="C16" s="99"/>
      <c r="D16" s="99"/>
      <c r="E16" s="99"/>
      <c r="F16" s="99"/>
      <c r="G16" s="99"/>
      <c r="H16" s="99"/>
      <c r="I16" s="99"/>
      <c r="J16" s="101"/>
      <c r="K16" s="91"/>
      <c r="L16" s="91"/>
      <c r="M16" s="91"/>
      <c r="N16" s="96"/>
      <c r="O16" s="104"/>
      <c r="P16" s="97"/>
      <c r="Q16" s="91"/>
      <c r="R16" s="48"/>
      <c r="S16" s="48"/>
      <c r="T16" s="48"/>
      <c r="U16" s="54"/>
      <c r="V16" s="48"/>
      <c r="W16" s="52"/>
      <c r="X16" s="48"/>
      <c r="Y16" s="48"/>
      <c r="Z16" s="48"/>
      <c r="AA16" s="48"/>
      <c r="AB16" s="18"/>
      <c r="AC16" s="18"/>
      <c r="AD16" s="18"/>
      <c r="AE16" s="18"/>
    </row>
    <row r="17" spans="1:31" ht="25.2" customHeight="1" thickBot="1" x14ac:dyDescent="0.85">
      <c r="A17" s="18"/>
      <c r="B17" s="99"/>
      <c r="C17" s="99"/>
      <c r="D17" s="99"/>
      <c r="E17" s="99"/>
      <c r="F17" s="99"/>
      <c r="G17" s="99"/>
      <c r="H17" s="99"/>
      <c r="I17" s="99"/>
      <c r="J17" s="101"/>
      <c r="K17" s="105" t="s">
        <v>59</v>
      </c>
      <c r="L17" s="106">
        <v>13.49</v>
      </c>
      <c r="M17" s="94">
        <v>13.49</v>
      </c>
      <c r="N17" s="94"/>
      <c r="O17" s="91"/>
      <c r="P17" s="97"/>
      <c r="Q17" s="91"/>
      <c r="R17" s="18"/>
      <c r="S17" s="48"/>
      <c r="T17" s="48"/>
      <c r="U17" s="54"/>
      <c r="V17" s="48"/>
      <c r="W17" s="52"/>
      <c r="X17" s="48"/>
      <c r="Y17" s="48"/>
      <c r="Z17" s="48"/>
      <c r="AA17" s="48"/>
      <c r="AB17" s="18"/>
      <c r="AC17" s="18"/>
      <c r="AD17" s="18"/>
      <c r="AE17" s="18"/>
    </row>
    <row r="18" spans="1:31" ht="25.2" customHeight="1" thickTop="1" x14ac:dyDescent="0.8">
      <c r="A18" s="18"/>
      <c r="B18" s="99"/>
      <c r="C18" s="99"/>
      <c r="D18" s="99"/>
      <c r="E18" s="99"/>
      <c r="F18" s="99"/>
      <c r="G18" s="99"/>
      <c r="H18" s="99"/>
      <c r="I18" s="99"/>
      <c r="J18" s="101"/>
      <c r="K18" s="102"/>
      <c r="L18" s="91" t="str">
        <f>IF(K18=1,"cent","cents")</f>
        <v>cents</v>
      </c>
      <c r="M18" s="99" t="s">
        <v>44</v>
      </c>
      <c r="N18" s="96" t="str">
        <f>IF(K18&gt;0,CONCATENATE(K18,"¢")," ")</f>
        <v xml:space="preserve"> </v>
      </c>
      <c r="O18" s="99" t="s">
        <v>44</v>
      </c>
      <c r="P18" s="97">
        <f>K18/100</f>
        <v>0</v>
      </c>
      <c r="Q18" s="103"/>
      <c r="R18" s="18"/>
      <c r="S18" s="48"/>
      <c r="T18" s="48"/>
      <c r="U18" s="54"/>
      <c r="V18" s="48"/>
      <c r="W18" s="52"/>
      <c r="X18" s="48"/>
      <c r="Y18" s="48"/>
      <c r="Z18" s="48"/>
      <c r="AA18" s="48"/>
      <c r="AB18" s="18"/>
      <c r="AC18" s="18"/>
      <c r="AD18" s="18"/>
      <c r="AE18" s="18"/>
    </row>
    <row r="19" spans="1:31" ht="25.2" customHeight="1" x14ac:dyDescent="0.8">
      <c r="A19" s="18"/>
      <c r="B19" s="99"/>
      <c r="C19" s="99"/>
      <c r="D19" s="99"/>
      <c r="E19" s="99"/>
      <c r="F19" s="99"/>
      <c r="G19" s="99"/>
      <c r="H19" s="99"/>
      <c r="I19" s="99"/>
      <c r="J19" s="101"/>
      <c r="K19" s="102"/>
      <c r="L19" s="91" t="str">
        <f>IF(K19=1,"nickel","nickels")</f>
        <v>nickels</v>
      </c>
      <c r="M19" s="99" t="s">
        <v>44</v>
      </c>
      <c r="N19" s="96" t="str">
        <f>IF(K19&gt;0,CONCATENATE(5*K19,"¢")," ")</f>
        <v xml:space="preserve"> </v>
      </c>
      <c r="O19" s="99" t="s">
        <v>44</v>
      </c>
      <c r="P19" s="97">
        <f t="shared" ref="P19" si="1">5*K19/100</f>
        <v>0</v>
      </c>
      <c r="Q19" s="91"/>
      <c r="R19" s="18"/>
      <c r="S19" s="48"/>
      <c r="T19" s="48"/>
      <c r="U19" s="54"/>
      <c r="V19" s="48"/>
      <c r="W19" s="52"/>
      <c r="X19" s="48"/>
      <c r="Y19" s="48"/>
      <c r="Z19" s="48"/>
      <c r="AA19" s="48"/>
      <c r="AB19" s="18"/>
      <c r="AC19" s="18"/>
      <c r="AD19" s="18"/>
      <c r="AE19" s="18"/>
    </row>
    <row r="20" spans="1:31" ht="25.2" customHeight="1" x14ac:dyDescent="0.8">
      <c r="A20" s="18"/>
      <c r="B20" s="99"/>
      <c r="C20" s="99"/>
      <c r="D20" s="99"/>
      <c r="E20" s="99"/>
      <c r="F20" s="99"/>
      <c r="G20" s="99"/>
      <c r="H20" s="99"/>
      <c r="I20" s="99"/>
      <c r="J20" s="101"/>
      <c r="K20" s="102"/>
      <c r="L20" s="91" t="str">
        <f>IF(K20=1,"dime","dimes")</f>
        <v>dimes</v>
      </c>
      <c r="M20" s="99" t="s">
        <v>44</v>
      </c>
      <c r="N20" s="96" t="str">
        <f>IF(K20&gt;0,CONCATENATE(10*K20,"¢")," ")</f>
        <v xml:space="preserve"> </v>
      </c>
      <c r="O20" s="99" t="s">
        <v>44</v>
      </c>
      <c r="P20" s="97">
        <f>10*K20/100</f>
        <v>0</v>
      </c>
      <c r="Q20" s="91"/>
      <c r="R20" s="18"/>
      <c r="S20" s="48"/>
      <c r="T20" s="48"/>
      <c r="U20" s="54"/>
      <c r="V20" s="48"/>
      <c r="W20" s="52"/>
      <c r="X20" s="48"/>
      <c r="Y20" s="48"/>
      <c r="Z20" s="48"/>
      <c r="AA20" s="48"/>
      <c r="AB20" s="18"/>
      <c r="AC20" s="18"/>
      <c r="AD20" s="18"/>
      <c r="AE20" s="18"/>
    </row>
    <row r="21" spans="1:31" ht="25.2" customHeight="1" x14ac:dyDescent="0.8">
      <c r="A21" s="18"/>
      <c r="B21" s="99"/>
      <c r="C21" s="99"/>
      <c r="D21" s="99"/>
      <c r="E21" s="99"/>
      <c r="F21" s="99"/>
      <c r="G21" s="99"/>
      <c r="H21" s="99"/>
      <c r="I21" s="99"/>
      <c r="J21" s="101"/>
      <c r="K21" s="102"/>
      <c r="L21" s="91" t="str">
        <f>IF(K21=1,"quarter","quarters")</f>
        <v>quarters</v>
      </c>
      <c r="M21" s="99" t="s">
        <v>44</v>
      </c>
      <c r="N21" s="96" t="str">
        <f>IF(K21&gt;0,CONCATENATE(25*K21,"¢")," ")</f>
        <v xml:space="preserve"> </v>
      </c>
      <c r="O21" s="99" t="s">
        <v>44</v>
      </c>
      <c r="P21" s="97">
        <f>25*K21/100</f>
        <v>0</v>
      </c>
      <c r="Q21" s="91"/>
      <c r="R21" s="18"/>
      <c r="S21" s="48"/>
      <c r="T21" s="48"/>
      <c r="U21" s="54"/>
      <c r="V21" s="48"/>
      <c r="W21" s="52"/>
      <c r="X21" s="48"/>
      <c r="Y21" s="48"/>
      <c r="Z21" s="48"/>
      <c r="AA21" s="48"/>
      <c r="AB21" s="18"/>
      <c r="AC21" s="18"/>
      <c r="AD21" s="18"/>
      <c r="AE21" s="18"/>
    </row>
    <row r="22" spans="1:31" ht="25.2" customHeight="1" x14ac:dyDescent="0.8">
      <c r="A22" s="18"/>
      <c r="B22" s="99"/>
      <c r="C22" s="99"/>
      <c r="D22" s="99"/>
      <c r="E22" s="99"/>
      <c r="F22" s="99"/>
      <c r="G22" s="99"/>
      <c r="H22" s="99"/>
      <c r="I22" s="99"/>
      <c r="J22" s="101"/>
      <c r="K22" s="102"/>
      <c r="L22" s="91" t="str">
        <f>IF(K22=1,"dollar","dollars")</f>
        <v>dollars</v>
      </c>
      <c r="M22" s="99" t="s">
        <v>44</v>
      </c>
      <c r="N22" s="96" t="str">
        <f>IF(K22&gt;0,CONCATENATE(100*K22,"¢")," ")</f>
        <v xml:space="preserve"> </v>
      </c>
      <c r="O22" s="99" t="s">
        <v>44</v>
      </c>
      <c r="P22" s="97">
        <f>K22</f>
        <v>0</v>
      </c>
      <c r="Q22" s="91"/>
      <c r="R22" s="18"/>
      <c r="S22" s="48"/>
      <c r="T22" s="48"/>
      <c r="U22" s="54"/>
      <c r="V22" s="48"/>
      <c r="W22" s="52"/>
      <c r="X22" s="48"/>
      <c r="Y22" s="48"/>
      <c r="Z22" s="48"/>
      <c r="AA22" s="48"/>
      <c r="AB22" s="18"/>
      <c r="AC22" s="18"/>
      <c r="AD22" s="18"/>
      <c r="AE22" s="18"/>
    </row>
    <row r="23" spans="1:31" ht="25.2" customHeight="1" x14ac:dyDescent="0.8">
      <c r="A23" s="18"/>
      <c r="B23" s="99"/>
      <c r="C23" s="99"/>
      <c r="D23" s="99"/>
      <c r="E23" s="99"/>
      <c r="F23" s="99"/>
      <c r="G23" s="99"/>
      <c r="H23" s="99"/>
      <c r="I23" s="99"/>
      <c r="J23" s="101"/>
      <c r="K23" s="91">
        <v>5</v>
      </c>
      <c r="L23" s="91"/>
      <c r="M23" s="99"/>
      <c r="N23" s="96"/>
      <c r="O23" s="99" t="s">
        <v>44</v>
      </c>
      <c r="P23" s="97">
        <f>SUM(P18:P22)</f>
        <v>0</v>
      </c>
      <c r="Q23" s="91" t="str">
        <f>IF(P23&gt;0,IF(L17=P23,"Good","Please try again")," ")</f>
        <v xml:space="preserve"> </v>
      </c>
      <c r="R23" s="18"/>
      <c r="S23" s="48"/>
      <c r="T23" s="48"/>
      <c r="U23" s="54"/>
      <c r="V23" s="48"/>
      <c r="W23" s="52"/>
      <c r="X23" s="48"/>
      <c r="Y23" s="48"/>
      <c r="Z23" s="48"/>
      <c r="AA23" s="48"/>
      <c r="AB23" s="18"/>
      <c r="AC23" s="18"/>
      <c r="AD23" s="18"/>
      <c r="AE23" s="18"/>
    </row>
    <row r="24" spans="1:31" x14ac:dyDescent="0.8">
      <c r="A24" s="18"/>
      <c r="B24" s="99"/>
      <c r="C24" s="99"/>
      <c r="D24" s="99"/>
      <c r="E24" s="99"/>
      <c r="F24" s="99"/>
      <c r="G24" s="99"/>
      <c r="H24" s="99"/>
      <c r="I24" s="99"/>
      <c r="J24" s="101"/>
      <c r="K24" s="91"/>
      <c r="L24" s="91"/>
      <c r="M24" s="91"/>
      <c r="N24" s="96"/>
      <c r="O24" s="104"/>
      <c r="P24" s="97"/>
      <c r="Q24" s="91"/>
      <c r="R24" s="48"/>
      <c r="S24" s="48"/>
      <c r="T24" s="48"/>
      <c r="U24" s="54"/>
      <c r="V24" s="48"/>
      <c r="W24" s="52"/>
      <c r="X24" s="48"/>
      <c r="Y24" s="48"/>
      <c r="Z24" s="48"/>
      <c r="AA24" s="48"/>
      <c r="AB24" s="18"/>
      <c r="AC24" s="18"/>
      <c r="AD24" s="18"/>
      <c r="AE24" s="18"/>
    </row>
    <row r="25" spans="1:31" x14ac:dyDescent="0.8">
      <c r="A25" s="18"/>
      <c r="B25" s="99"/>
      <c r="C25" s="99"/>
      <c r="D25" s="99"/>
      <c r="E25" s="99"/>
      <c r="F25" s="99"/>
      <c r="G25" s="99"/>
      <c r="H25" s="99"/>
      <c r="I25" s="99"/>
      <c r="J25" s="101"/>
      <c r="K25" s="91"/>
      <c r="L25" s="91"/>
      <c r="M25" s="91"/>
      <c r="N25" s="96"/>
      <c r="O25" s="91"/>
      <c r="P25" s="97"/>
      <c r="Q25" s="91" t="s">
        <v>60</v>
      </c>
      <c r="R25" s="48"/>
      <c r="S25" s="48"/>
      <c r="T25" s="48"/>
      <c r="U25" s="54"/>
      <c r="V25" s="48"/>
      <c r="W25" s="52"/>
      <c r="X25" s="48"/>
      <c r="Y25" s="48"/>
      <c r="Z25" s="48"/>
      <c r="AA25" s="48"/>
      <c r="AB25" s="18"/>
      <c r="AC25" s="18"/>
      <c r="AD25" s="18"/>
      <c r="AE25" s="18"/>
    </row>
    <row r="26" spans="1:31" x14ac:dyDescent="0.8">
      <c r="A26" s="18"/>
      <c r="B26" s="49"/>
      <c r="C26" s="49"/>
      <c r="D26" s="49"/>
      <c r="E26" s="49"/>
      <c r="F26" s="49"/>
      <c r="G26" s="49"/>
      <c r="H26" s="49"/>
      <c r="I26" s="49"/>
      <c r="J26" s="75"/>
      <c r="K26" s="48"/>
      <c r="L26" s="48"/>
      <c r="M26" s="48"/>
      <c r="N26" s="54"/>
      <c r="O26" s="48"/>
      <c r="P26" s="56"/>
      <c r="R26" s="48"/>
      <c r="S26" s="48"/>
      <c r="T26" s="48"/>
      <c r="U26" s="54"/>
      <c r="V26" s="48"/>
      <c r="W26" s="52"/>
      <c r="X26" s="48"/>
      <c r="Y26" s="48"/>
      <c r="Z26" s="48"/>
      <c r="AA26" s="48"/>
      <c r="AB26" s="18"/>
      <c r="AC26" s="18"/>
      <c r="AD26" s="18"/>
      <c r="AE26" s="18"/>
    </row>
    <row r="27" spans="1:31" x14ac:dyDescent="0.8">
      <c r="A27" s="18"/>
      <c r="B27" s="49"/>
      <c r="C27" s="49"/>
      <c r="D27" s="49"/>
      <c r="E27" s="49"/>
      <c r="F27" s="49"/>
      <c r="G27" s="49"/>
      <c r="H27" s="49"/>
      <c r="I27" s="49"/>
      <c r="J27" s="75"/>
      <c r="K27" s="48"/>
      <c r="L27" s="48"/>
      <c r="M27" s="48"/>
      <c r="N27" s="54"/>
      <c r="O27" s="48"/>
      <c r="P27" s="56"/>
      <c r="R27" s="48"/>
      <c r="S27" s="48"/>
      <c r="T27" s="48"/>
      <c r="U27" s="54"/>
      <c r="V27" s="48"/>
      <c r="W27" s="52"/>
      <c r="X27" s="48"/>
      <c r="Y27" s="48"/>
      <c r="Z27" s="48"/>
      <c r="AA27" s="48"/>
      <c r="AB27" s="18"/>
      <c r="AC27" s="18"/>
      <c r="AD27" s="18"/>
      <c r="AE27" s="18"/>
    </row>
    <row r="28" spans="1:31" x14ac:dyDescent="0.8">
      <c r="A28" s="18"/>
      <c r="B28" s="49"/>
      <c r="C28" s="49"/>
      <c r="D28" s="49"/>
      <c r="E28" s="49"/>
      <c r="F28" s="49"/>
      <c r="G28" s="49"/>
      <c r="H28" s="49"/>
      <c r="I28" s="49"/>
      <c r="J28" s="75"/>
      <c r="K28" s="48"/>
      <c r="L28" s="48"/>
      <c r="M28" s="48"/>
      <c r="N28" s="54"/>
      <c r="O28" s="48"/>
      <c r="P28" s="56"/>
      <c r="R28" s="48"/>
      <c r="S28" s="48"/>
      <c r="T28" s="48"/>
      <c r="U28" s="54"/>
      <c r="V28" s="48"/>
      <c r="W28" s="52"/>
      <c r="X28" s="48"/>
      <c r="Y28" s="48"/>
      <c r="Z28" s="48"/>
      <c r="AA28" s="48"/>
      <c r="AB28" s="18"/>
      <c r="AC28" s="18"/>
      <c r="AD28" s="18"/>
      <c r="AE28" s="18"/>
    </row>
    <row r="29" spans="1:31" x14ac:dyDescent="0.8">
      <c r="A29" s="18"/>
      <c r="B29" s="49"/>
      <c r="C29" s="49"/>
      <c r="D29" s="49"/>
      <c r="E29" s="49"/>
      <c r="F29" s="49"/>
      <c r="G29" s="49"/>
      <c r="H29" s="49"/>
      <c r="I29" s="49"/>
      <c r="J29" s="75"/>
      <c r="K29" s="48"/>
      <c r="L29" s="48"/>
      <c r="M29" s="48"/>
      <c r="N29" s="54"/>
      <c r="O29" s="48"/>
      <c r="P29" s="56"/>
      <c r="R29" s="48"/>
      <c r="S29" s="48"/>
      <c r="T29" s="48"/>
      <c r="U29" s="54"/>
      <c r="V29" s="48"/>
      <c r="W29" s="52"/>
      <c r="X29" s="48"/>
      <c r="Y29" s="48"/>
      <c r="Z29" s="48"/>
      <c r="AA29" s="48"/>
      <c r="AB29" s="18"/>
      <c r="AC29" s="18"/>
      <c r="AD29" s="18"/>
      <c r="AE29" s="18"/>
    </row>
    <row r="30" spans="1:31" x14ac:dyDescent="0.8">
      <c r="A30" s="18"/>
      <c r="B30" s="18"/>
      <c r="C30" s="18"/>
      <c r="D30" s="18"/>
      <c r="E30" s="18"/>
      <c r="F30" s="18"/>
      <c r="G30" s="18"/>
      <c r="H30" s="18"/>
      <c r="I30" s="18"/>
      <c r="J30" s="74"/>
      <c r="K30" s="48"/>
      <c r="L30" s="48"/>
      <c r="M30" s="48"/>
      <c r="N30" s="54"/>
      <c r="O30" s="48"/>
      <c r="P30" s="56"/>
      <c r="R30" s="48"/>
      <c r="S30" s="48"/>
      <c r="T30" s="48"/>
      <c r="U30" s="54"/>
      <c r="V30" s="48"/>
      <c r="W30" s="52"/>
      <c r="X30" s="48"/>
      <c r="Y30" s="48"/>
      <c r="Z30" s="48"/>
      <c r="AA30" s="48"/>
      <c r="AB30" s="18"/>
      <c r="AC30" s="18"/>
      <c r="AD30" s="18"/>
      <c r="AE30" s="18"/>
    </row>
    <row r="31" spans="1:31" x14ac:dyDescent="0.8">
      <c r="A31" s="18"/>
      <c r="B31" s="18"/>
      <c r="C31" s="18"/>
      <c r="D31" s="18"/>
      <c r="E31" s="18"/>
      <c r="F31" s="18"/>
      <c r="G31" s="18"/>
      <c r="H31" s="18"/>
      <c r="I31" s="18"/>
      <c r="J31" s="74"/>
      <c r="K31" s="48"/>
      <c r="L31" s="48"/>
      <c r="M31" s="48"/>
      <c r="N31" s="54"/>
      <c r="O31" s="48"/>
      <c r="P31" s="56"/>
      <c r="R31" s="48"/>
      <c r="S31" s="48"/>
      <c r="T31" s="48"/>
      <c r="U31" s="54"/>
      <c r="V31" s="48"/>
      <c r="W31" s="52"/>
      <c r="X31" s="48"/>
      <c r="Y31" s="48"/>
      <c r="Z31" s="48"/>
      <c r="AA31" s="48"/>
      <c r="AB31" s="18"/>
      <c r="AC31" s="18"/>
      <c r="AD31" s="18"/>
      <c r="AE31" s="18"/>
    </row>
    <row r="32" spans="1:31" x14ac:dyDescent="0.8">
      <c r="A32" s="18"/>
      <c r="B32" s="18"/>
      <c r="C32" s="18"/>
      <c r="D32" s="18"/>
      <c r="E32" s="18"/>
      <c r="F32" s="18"/>
      <c r="G32" s="18"/>
      <c r="H32" s="18"/>
      <c r="I32" s="18"/>
      <c r="J32" s="74"/>
      <c r="K32" s="48"/>
      <c r="L32" s="48"/>
      <c r="M32" s="48"/>
      <c r="N32" s="54"/>
      <c r="O32" s="48"/>
      <c r="P32" s="56"/>
      <c r="R32" s="48"/>
      <c r="S32" s="48"/>
      <c r="T32" s="48"/>
      <c r="U32" s="54"/>
      <c r="V32" s="48"/>
      <c r="W32" s="52"/>
      <c r="X32" s="48"/>
      <c r="Y32" s="48"/>
      <c r="Z32" s="48"/>
      <c r="AA32" s="48"/>
      <c r="AB32" s="18"/>
      <c r="AC32" s="18"/>
      <c r="AD32" s="18"/>
      <c r="AE32" s="18"/>
    </row>
    <row r="33" spans="1:31" x14ac:dyDescent="0.8">
      <c r="A33" s="18"/>
      <c r="B33" s="18"/>
      <c r="C33" s="18"/>
      <c r="D33" s="18"/>
      <c r="E33" s="18"/>
      <c r="F33" s="18"/>
      <c r="G33" s="18"/>
      <c r="H33" s="18"/>
      <c r="I33" s="18"/>
      <c r="J33" s="74"/>
      <c r="K33" s="48"/>
      <c r="L33" s="48"/>
      <c r="M33" s="48"/>
      <c r="N33" s="54"/>
      <c r="O33" s="48"/>
      <c r="P33" s="56"/>
      <c r="R33" s="48"/>
      <c r="S33" s="48"/>
      <c r="T33" s="48"/>
      <c r="U33" s="54"/>
      <c r="V33" s="48"/>
      <c r="W33" s="52"/>
      <c r="X33" s="48"/>
      <c r="Y33" s="48"/>
      <c r="Z33" s="48"/>
      <c r="AA33" s="48"/>
      <c r="AB33" s="18"/>
      <c r="AC33" s="18"/>
      <c r="AD33" s="18"/>
      <c r="AE33" s="18"/>
    </row>
    <row r="34" spans="1:31" x14ac:dyDescent="0.8">
      <c r="A34" s="18"/>
      <c r="B34" s="18"/>
      <c r="C34" s="18"/>
      <c r="D34" s="18"/>
      <c r="E34" s="18"/>
      <c r="F34" s="18"/>
      <c r="G34" s="18"/>
      <c r="H34" s="18"/>
      <c r="I34" s="18"/>
      <c r="J34" s="74"/>
      <c r="K34" s="48"/>
      <c r="L34" s="48"/>
      <c r="M34" s="48"/>
      <c r="N34" s="54"/>
      <c r="O34" s="48"/>
      <c r="P34" s="56"/>
      <c r="R34" s="48"/>
      <c r="S34" s="48"/>
      <c r="T34" s="48"/>
      <c r="U34" s="54"/>
      <c r="V34" s="48"/>
      <c r="W34" s="52"/>
      <c r="X34" s="48"/>
      <c r="Y34" s="48"/>
      <c r="Z34" s="48"/>
      <c r="AA34" s="48"/>
      <c r="AB34" s="18"/>
      <c r="AC34" s="18"/>
      <c r="AD34" s="18"/>
      <c r="AE34" s="18"/>
    </row>
    <row r="35" spans="1:31" x14ac:dyDescent="0.8">
      <c r="A35" s="18"/>
      <c r="B35" s="18"/>
      <c r="C35" s="18"/>
      <c r="D35" s="18"/>
      <c r="E35" s="18"/>
      <c r="F35" s="18"/>
      <c r="G35" s="18"/>
      <c r="H35" s="18"/>
      <c r="I35" s="18"/>
      <c r="J35" s="74"/>
      <c r="K35" s="48"/>
      <c r="L35" s="48"/>
      <c r="M35" s="48"/>
      <c r="N35" s="54"/>
      <c r="O35" s="48"/>
      <c r="P35" s="56"/>
      <c r="R35" s="48"/>
      <c r="S35" s="48"/>
      <c r="T35" s="48"/>
      <c r="U35" s="54"/>
      <c r="V35" s="48"/>
      <c r="W35" s="52"/>
      <c r="X35" s="48"/>
      <c r="Y35" s="48"/>
      <c r="Z35" s="48"/>
      <c r="AA35" s="48"/>
      <c r="AB35" s="18"/>
      <c r="AC35" s="18"/>
      <c r="AD35" s="18"/>
      <c r="AE35" s="18"/>
    </row>
    <row r="36" spans="1:31" x14ac:dyDescent="0.8">
      <c r="A36" s="18"/>
      <c r="B36" s="18"/>
      <c r="C36" s="18"/>
      <c r="D36" s="18"/>
      <c r="E36" s="18"/>
      <c r="F36" s="18"/>
      <c r="G36" s="18"/>
      <c r="H36" s="18"/>
      <c r="I36" s="18"/>
      <c r="J36" s="74"/>
      <c r="K36" s="48"/>
      <c r="L36" s="48"/>
      <c r="M36" s="48"/>
      <c r="N36" s="54"/>
      <c r="O36" s="48"/>
      <c r="P36" s="56"/>
      <c r="R36" s="48"/>
      <c r="S36" s="48"/>
      <c r="T36" s="48"/>
      <c r="U36" s="54"/>
      <c r="V36" s="48"/>
      <c r="W36" s="52"/>
      <c r="X36" s="48"/>
      <c r="Y36" s="48"/>
      <c r="Z36" s="48"/>
      <c r="AA36" s="48"/>
      <c r="AB36" s="18"/>
      <c r="AC36" s="18"/>
      <c r="AD36" s="18"/>
      <c r="AE36" s="18"/>
    </row>
    <row r="37" spans="1:31" x14ac:dyDescent="0.8">
      <c r="A37" s="18"/>
      <c r="B37" s="18"/>
      <c r="C37" s="18"/>
      <c r="D37" s="18"/>
      <c r="E37" s="18"/>
      <c r="F37" s="18"/>
      <c r="G37" s="18"/>
      <c r="H37" s="18"/>
      <c r="I37" s="18"/>
      <c r="J37" s="74"/>
      <c r="K37" s="48"/>
      <c r="L37" s="48"/>
      <c r="M37" s="48"/>
      <c r="N37" s="54"/>
      <c r="O37" s="48"/>
      <c r="P37" s="56"/>
      <c r="R37" s="48"/>
      <c r="S37" s="48"/>
      <c r="T37" s="48"/>
      <c r="U37" s="54"/>
      <c r="V37" s="48"/>
      <c r="W37" s="52"/>
      <c r="X37" s="48"/>
      <c r="Y37" s="48"/>
      <c r="Z37" s="48"/>
      <c r="AA37" s="48"/>
      <c r="AB37" s="18"/>
      <c r="AC37" s="18"/>
      <c r="AD37" s="18"/>
      <c r="AE37" s="18"/>
    </row>
    <row r="38" spans="1:31" x14ac:dyDescent="0.8">
      <c r="A38" s="18"/>
      <c r="B38" s="18"/>
      <c r="C38" s="18"/>
      <c r="D38" s="18"/>
      <c r="E38" s="18"/>
      <c r="F38" s="18"/>
      <c r="G38" s="18"/>
      <c r="H38" s="18"/>
      <c r="I38" s="18"/>
      <c r="J38" s="74"/>
      <c r="K38" s="48"/>
      <c r="L38" s="48"/>
      <c r="M38" s="48"/>
      <c r="N38" s="54"/>
      <c r="O38" s="48"/>
      <c r="P38" s="56"/>
      <c r="R38" s="48"/>
      <c r="S38" s="48"/>
      <c r="T38" s="48"/>
      <c r="U38" s="54"/>
      <c r="V38" s="48"/>
      <c r="W38" s="52"/>
      <c r="X38" s="48"/>
      <c r="Y38" s="48"/>
    </row>
    <row r="39" spans="1:31" x14ac:dyDescent="0.8">
      <c r="A39" s="18"/>
      <c r="B39" s="18"/>
      <c r="C39" s="18"/>
      <c r="D39" s="18"/>
      <c r="E39" s="18"/>
      <c r="F39" s="18"/>
      <c r="G39" s="18"/>
      <c r="H39" s="18"/>
      <c r="I39" s="18"/>
      <c r="J39" s="74"/>
      <c r="K39" s="48"/>
      <c r="L39" s="48"/>
      <c r="M39" s="48"/>
      <c r="N39" s="54"/>
      <c r="O39" s="48"/>
      <c r="P39" s="56"/>
      <c r="R39" s="48"/>
      <c r="S39" s="48"/>
      <c r="T39" s="48"/>
      <c r="U39" s="54"/>
      <c r="V39" s="48"/>
      <c r="W39" s="52"/>
      <c r="X39" s="48"/>
      <c r="Y39" s="48"/>
    </row>
    <row r="40" spans="1:31" x14ac:dyDescent="0.8">
      <c r="A40" s="18"/>
      <c r="B40" s="18"/>
      <c r="C40" s="18"/>
      <c r="D40" s="18"/>
      <c r="E40" s="18"/>
      <c r="F40" s="18"/>
      <c r="G40" s="18"/>
      <c r="H40" s="18"/>
      <c r="I40" s="18"/>
      <c r="J40" s="74"/>
      <c r="K40" s="48"/>
      <c r="L40" s="48"/>
      <c r="M40" s="48"/>
      <c r="N40" s="54"/>
      <c r="O40" s="48"/>
      <c r="P40" s="56"/>
      <c r="R40" s="48"/>
      <c r="S40" s="48"/>
      <c r="T40" s="48"/>
      <c r="U40" s="54"/>
      <c r="V40" s="48"/>
      <c r="W40" s="52"/>
      <c r="X40" s="48"/>
      <c r="Y40" s="48"/>
    </row>
    <row r="41" spans="1:31" x14ac:dyDescent="0.8">
      <c r="A41" s="18"/>
      <c r="B41" s="18"/>
      <c r="C41" s="18"/>
      <c r="D41" s="18"/>
      <c r="E41" s="18"/>
      <c r="F41" s="18"/>
      <c r="G41" s="18"/>
      <c r="H41" s="18"/>
      <c r="I41" s="18"/>
      <c r="J41" s="74"/>
      <c r="K41" s="48"/>
      <c r="L41" s="48"/>
      <c r="M41" s="48"/>
      <c r="N41" s="54"/>
      <c r="O41" s="48"/>
      <c r="P41" s="56"/>
      <c r="R41" s="48"/>
      <c r="S41" s="48"/>
      <c r="T41" s="48"/>
      <c r="U41" s="54"/>
      <c r="V41" s="48"/>
      <c r="W41" s="52"/>
      <c r="X41" s="48"/>
      <c r="Y41" s="48"/>
    </row>
    <row r="42" spans="1:31" x14ac:dyDescent="0.8">
      <c r="A42" s="18"/>
      <c r="B42" s="18"/>
      <c r="C42" s="18"/>
      <c r="D42" s="18"/>
      <c r="E42" s="18"/>
      <c r="F42" s="18"/>
      <c r="G42" s="18"/>
      <c r="H42" s="18"/>
      <c r="I42" s="18"/>
      <c r="J42" s="74"/>
      <c r="K42" s="48"/>
      <c r="L42" s="48"/>
      <c r="M42" s="48"/>
      <c r="N42" s="54"/>
      <c r="O42" s="48"/>
      <c r="P42" s="56"/>
      <c r="R42" s="48"/>
      <c r="S42" s="48"/>
      <c r="T42" s="48"/>
      <c r="U42" s="54"/>
      <c r="V42" s="48"/>
      <c r="W42" s="52"/>
      <c r="X42" s="48"/>
      <c r="Y42" s="48"/>
    </row>
    <row r="43" spans="1:31" x14ac:dyDescent="0.8">
      <c r="A43" s="18"/>
      <c r="B43" s="18"/>
      <c r="C43" s="18"/>
      <c r="D43" s="18"/>
      <c r="E43" s="18"/>
      <c r="F43" s="18"/>
      <c r="G43" s="18"/>
      <c r="H43" s="18"/>
      <c r="I43" s="18"/>
      <c r="J43" s="74"/>
      <c r="K43" s="48"/>
      <c r="L43" s="48"/>
      <c r="M43" s="48"/>
      <c r="N43" s="54"/>
      <c r="O43" s="48"/>
      <c r="P43" s="56"/>
      <c r="R43" s="48"/>
      <c r="S43" s="48"/>
      <c r="T43" s="48"/>
      <c r="U43" s="54"/>
      <c r="V43" s="48"/>
      <c r="W43" s="52"/>
      <c r="X43" s="48"/>
      <c r="Y43" s="48"/>
    </row>
    <row r="44" spans="1:31" x14ac:dyDescent="0.8">
      <c r="A44" s="18"/>
      <c r="B44" s="18"/>
      <c r="C44" s="18"/>
      <c r="D44" s="18"/>
      <c r="E44" s="18"/>
      <c r="F44" s="18"/>
      <c r="G44" s="18"/>
      <c r="H44" s="18"/>
      <c r="I44" s="18"/>
      <c r="J44" s="74"/>
      <c r="K44" s="48"/>
      <c r="L44" s="48"/>
      <c r="M44" s="48"/>
      <c r="N44" s="54"/>
      <c r="O44" s="48"/>
      <c r="P44" s="56"/>
      <c r="R44" s="48"/>
      <c r="S44" s="48"/>
      <c r="T44" s="48"/>
      <c r="U44" s="54"/>
      <c r="V44" s="48"/>
      <c r="W44" s="52"/>
      <c r="X44" s="48"/>
      <c r="Y44" s="48"/>
    </row>
    <row r="45" spans="1:31" x14ac:dyDescent="0.8">
      <c r="A45" s="18"/>
      <c r="B45" s="18"/>
      <c r="C45" s="18"/>
      <c r="D45" s="18"/>
      <c r="E45" s="18"/>
      <c r="F45" s="18"/>
      <c r="G45" s="18"/>
      <c r="H45" s="18"/>
      <c r="I45" s="18"/>
      <c r="J45" s="74"/>
      <c r="K45" s="48"/>
      <c r="L45" s="48"/>
      <c r="M45" s="48"/>
      <c r="N45" s="54"/>
      <c r="O45" s="48"/>
      <c r="P45" s="56"/>
      <c r="R45" s="48"/>
      <c r="S45" s="48"/>
      <c r="T45" s="48"/>
      <c r="U45" s="54"/>
      <c r="V45" s="48"/>
      <c r="W45" s="52"/>
      <c r="X45" s="48"/>
      <c r="Y45" s="48"/>
    </row>
    <row r="46" spans="1:31" x14ac:dyDescent="0.8">
      <c r="A46" s="18"/>
      <c r="B46" s="18"/>
      <c r="C46" s="18"/>
      <c r="D46" s="18"/>
      <c r="E46" s="18"/>
      <c r="F46" s="18"/>
      <c r="G46" s="18"/>
      <c r="H46" s="18"/>
      <c r="I46" s="18"/>
      <c r="J46" s="74"/>
      <c r="K46" s="48"/>
      <c r="L46" s="48"/>
      <c r="M46" s="48"/>
      <c r="N46" s="54"/>
      <c r="O46" s="48"/>
      <c r="P46" s="56"/>
      <c r="R46" s="48"/>
      <c r="S46" s="48"/>
      <c r="T46" s="48"/>
      <c r="U46" s="54"/>
      <c r="V46" s="48"/>
      <c r="W46" s="52"/>
      <c r="X46" s="48"/>
      <c r="Y46" s="48"/>
    </row>
    <row r="47" spans="1:31" x14ac:dyDescent="0.8">
      <c r="A47" s="18"/>
      <c r="B47" s="18"/>
      <c r="C47" s="18"/>
      <c r="D47" s="18"/>
      <c r="E47" s="18"/>
      <c r="F47" s="18"/>
      <c r="G47" s="18"/>
      <c r="H47" s="18"/>
      <c r="I47" s="18"/>
      <c r="J47" s="74"/>
      <c r="K47" s="48"/>
      <c r="L47" s="48"/>
      <c r="M47" s="48"/>
      <c r="N47" s="54"/>
      <c r="O47" s="48"/>
      <c r="P47" s="56"/>
      <c r="R47" s="48"/>
      <c r="S47" s="48"/>
      <c r="T47" s="48"/>
      <c r="U47" s="54"/>
      <c r="V47" s="48"/>
      <c r="W47" s="52"/>
      <c r="X47" s="48"/>
      <c r="Y47" s="48"/>
    </row>
    <row r="48" spans="1:31" x14ac:dyDescent="0.8">
      <c r="A48" s="18"/>
      <c r="B48" s="18"/>
      <c r="C48" s="18"/>
      <c r="D48" s="18"/>
      <c r="E48" s="18"/>
      <c r="F48" s="18"/>
      <c r="G48" s="18"/>
      <c r="H48" s="18"/>
      <c r="I48" s="18"/>
      <c r="J48" s="74"/>
      <c r="K48" s="48"/>
      <c r="L48" s="48"/>
      <c r="M48" s="48"/>
      <c r="N48" s="54"/>
      <c r="O48" s="48"/>
      <c r="P48" s="56"/>
      <c r="R48" s="48"/>
      <c r="S48" s="48"/>
      <c r="T48" s="48"/>
      <c r="U48" s="54"/>
      <c r="V48" s="48"/>
      <c r="W48" s="52"/>
      <c r="X48" s="48"/>
      <c r="Y48" s="48"/>
    </row>
    <row r="49" spans="1:25" x14ac:dyDescent="0.8">
      <c r="A49" s="18"/>
      <c r="B49" s="18"/>
      <c r="C49" s="18"/>
      <c r="D49" s="18"/>
      <c r="E49" s="18"/>
      <c r="F49" s="18"/>
      <c r="G49" s="18"/>
      <c r="H49" s="18"/>
      <c r="I49" s="18"/>
      <c r="J49" s="74"/>
      <c r="K49" s="48"/>
      <c r="L49" s="48"/>
      <c r="M49" s="48"/>
      <c r="N49" s="54"/>
      <c r="O49" s="48"/>
      <c r="P49" s="56"/>
      <c r="R49" s="48"/>
      <c r="S49" s="48"/>
      <c r="T49" s="48"/>
      <c r="U49" s="54"/>
      <c r="V49" s="48"/>
      <c r="W49" s="52"/>
      <c r="X49" s="48"/>
      <c r="Y49" s="48"/>
    </row>
    <row r="50" spans="1:25" x14ac:dyDescent="0.8">
      <c r="A50" s="18"/>
      <c r="B50" s="18"/>
      <c r="C50" s="18"/>
      <c r="D50" s="18"/>
      <c r="E50" s="18"/>
      <c r="F50" s="18"/>
      <c r="G50" s="18"/>
      <c r="H50" s="18"/>
      <c r="I50" s="18"/>
      <c r="J50" s="74"/>
      <c r="K50" s="48"/>
      <c r="L50" s="48"/>
      <c r="M50" s="48"/>
      <c r="N50" s="54"/>
      <c r="O50" s="48"/>
      <c r="P50" s="56"/>
      <c r="R50" s="48"/>
      <c r="S50" s="48"/>
      <c r="T50" s="48"/>
      <c r="U50" s="54"/>
      <c r="V50" s="48"/>
      <c r="W50" s="52"/>
      <c r="X50" s="48"/>
      <c r="Y50" s="48"/>
    </row>
    <row r="51" spans="1:25" x14ac:dyDescent="0.8">
      <c r="A51" s="18"/>
      <c r="B51" s="18"/>
      <c r="C51" s="18"/>
      <c r="D51" s="18"/>
      <c r="E51" s="18"/>
      <c r="F51" s="18"/>
      <c r="G51" s="18"/>
      <c r="H51" s="18"/>
      <c r="I51" s="18"/>
      <c r="J51" s="74"/>
      <c r="K51" s="48"/>
      <c r="L51" s="48"/>
      <c r="M51" s="48"/>
      <c r="N51" s="54"/>
      <c r="O51" s="48"/>
      <c r="P51" s="56"/>
      <c r="R51" s="48"/>
      <c r="S51" s="48"/>
      <c r="T51" s="48"/>
      <c r="U51" s="54"/>
      <c r="V51" s="48"/>
      <c r="W51" s="52"/>
      <c r="X51" s="48"/>
      <c r="Y51" s="48"/>
    </row>
    <row r="52" spans="1:25" x14ac:dyDescent="0.8">
      <c r="A52" s="18"/>
      <c r="B52" s="18"/>
      <c r="C52" s="18"/>
      <c r="D52" s="18"/>
      <c r="E52" s="18"/>
      <c r="F52" s="18"/>
      <c r="G52" s="18"/>
      <c r="H52" s="18"/>
      <c r="I52" s="18"/>
      <c r="J52" s="74"/>
      <c r="K52" s="48"/>
      <c r="L52" s="48"/>
      <c r="M52" s="48"/>
      <c r="N52" s="54"/>
      <c r="O52" s="48"/>
      <c r="P52" s="56"/>
      <c r="R52" s="48"/>
      <c r="S52" s="48"/>
      <c r="T52" s="48"/>
      <c r="U52" s="54"/>
      <c r="V52" s="48"/>
      <c r="W52" s="52"/>
      <c r="X52" s="48"/>
      <c r="Y52" s="48"/>
    </row>
    <row r="53" spans="1:25" x14ac:dyDescent="0.8">
      <c r="A53" s="18"/>
      <c r="B53" s="18"/>
      <c r="C53" s="18"/>
      <c r="D53" s="18"/>
      <c r="E53" s="18"/>
      <c r="F53" s="18"/>
      <c r="G53" s="18"/>
      <c r="H53" s="18"/>
      <c r="I53" s="18"/>
      <c r="J53" s="74"/>
      <c r="K53" s="48"/>
      <c r="L53" s="48"/>
      <c r="M53" s="48"/>
      <c r="N53" s="54"/>
      <c r="O53" s="48"/>
      <c r="P53" s="56"/>
      <c r="R53" s="48"/>
      <c r="S53" s="48"/>
      <c r="T53" s="48"/>
      <c r="U53" s="54"/>
      <c r="V53" s="48"/>
      <c r="W53" s="52"/>
      <c r="X53" s="48"/>
      <c r="Y53" s="48"/>
    </row>
    <row r="54" spans="1:25" x14ac:dyDescent="0.8">
      <c r="A54" s="18"/>
      <c r="B54" s="18"/>
      <c r="C54" s="18"/>
      <c r="D54" s="18"/>
      <c r="E54" s="18"/>
      <c r="F54" s="18"/>
      <c r="G54" s="18"/>
      <c r="H54" s="18"/>
      <c r="I54" s="18"/>
      <c r="J54" s="74"/>
      <c r="K54" s="48"/>
      <c r="L54" s="48"/>
      <c r="M54" s="48"/>
      <c r="N54" s="54"/>
      <c r="O54" s="48"/>
      <c r="P54" s="56"/>
      <c r="R54" s="48"/>
      <c r="S54" s="48"/>
      <c r="T54" s="48"/>
      <c r="U54" s="54"/>
      <c r="V54" s="48"/>
      <c r="W54" s="52"/>
      <c r="X54" s="48"/>
      <c r="Y54" s="48"/>
    </row>
    <row r="55" spans="1:25" x14ac:dyDescent="0.8">
      <c r="A55" s="18"/>
      <c r="B55" s="18"/>
      <c r="C55" s="18"/>
      <c r="D55" s="18"/>
      <c r="E55" s="18"/>
      <c r="F55" s="18"/>
      <c r="G55" s="18"/>
      <c r="H55" s="18"/>
      <c r="I55" s="18"/>
      <c r="J55" s="74"/>
      <c r="K55" s="48"/>
      <c r="L55" s="48"/>
      <c r="M55" s="48"/>
      <c r="N55" s="54"/>
      <c r="O55" s="48"/>
      <c r="P55" s="56"/>
      <c r="R55" s="48"/>
      <c r="S55" s="48"/>
      <c r="T55" s="48"/>
      <c r="U55" s="54"/>
      <c r="V55" s="48"/>
      <c r="W55" s="52"/>
      <c r="X55" s="48"/>
      <c r="Y55" s="48"/>
    </row>
    <row r="56" spans="1:25" x14ac:dyDescent="0.8">
      <c r="A56" s="18"/>
      <c r="B56" s="18"/>
      <c r="C56" s="18"/>
      <c r="D56" s="18"/>
      <c r="E56" s="18"/>
      <c r="F56" s="18"/>
      <c r="G56" s="18"/>
      <c r="H56" s="18"/>
      <c r="I56" s="18"/>
      <c r="J56" s="74"/>
      <c r="K56" s="48"/>
      <c r="L56" s="48"/>
      <c r="M56" s="48"/>
      <c r="N56" s="54"/>
      <c r="O56" s="48"/>
      <c r="P56" s="56"/>
      <c r="R56" s="48"/>
      <c r="S56" s="48"/>
      <c r="T56" s="48"/>
      <c r="U56" s="54"/>
      <c r="V56" s="48"/>
      <c r="W56" s="52"/>
      <c r="X56" s="48"/>
      <c r="Y56" s="48"/>
    </row>
    <row r="57" spans="1:25" x14ac:dyDescent="0.8">
      <c r="A57" s="18"/>
      <c r="B57" s="18"/>
      <c r="C57" s="18"/>
      <c r="D57" s="18"/>
      <c r="E57" s="18"/>
      <c r="F57" s="18"/>
      <c r="G57" s="18"/>
      <c r="H57" s="18"/>
      <c r="I57" s="18"/>
      <c r="J57" s="74"/>
      <c r="K57" s="48"/>
      <c r="L57" s="48"/>
      <c r="M57" s="48"/>
      <c r="N57" s="54"/>
      <c r="O57" s="48"/>
      <c r="P57" s="56"/>
      <c r="R57" s="48"/>
      <c r="S57" s="48"/>
      <c r="T57" s="48"/>
      <c r="U57" s="54"/>
      <c r="V57" s="48"/>
      <c r="W57" s="52"/>
      <c r="X57" s="48"/>
      <c r="Y57" s="48"/>
    </row>
    <row r="58" spans="1:25" x14ac:dyDescent="0.8">
      <c r="A58" s="18"/>
      <c r="B58" s="18"/>
      <c r="C58" s="18"/>
      <c r="D58" s="18"/>
      <c r="E58" s="18"/>
      <c r="F58" s="18"/>
      <c r="G58" s="18"/>
      <c r="H58" s="18"/>
      <c r="I58" s="18"/>
      <c r="J58" s="74"/>
      <c r="K58" s="48"/>
      <c r="L58" s="48"/>
      <c r="M58" s="48"/>
      <c r="N58" s="54"/>
      <c r="O58" s="48"/>
      <c r="P58" s="56"/>
      <c r="R58" s="48"/>
      <c r="S58" s="48"/>
      <c r="T58" s="48"/>
      <c r="U58" s="54"/>
      <c r="V58" s="48"/>
      <c r="W58" s="52"/>
      <c r="X58" s="48"/>
      <c r="Y58" s="48"/>
    </row>
    <row r="59" spans="1:25" x14ac:dyDescent="0.8">
      <c r="A59" s="18"/>
      <c r="B59" s="18"/>
      <c r="C59" s="18"/>
      <c r="D59" s="18"/>
      <c r="E59" s="18"/>
      <c r="F59" s="18"/>
      <c r="G59" s="18"/>
      <c r="H59" s="18"/>
      <c r="I59" s="18"/>
      <c r="J59" s="74"/>
      <c r="K59" s="48"/>
      <c r="L59" s="48"/>
      <c r="M59" s="48"/>
      <c r="N59" s="54"/>
      <c r="O59" s="48"/>
      <c r="P59" s="56"/>
      <c r="R59" s="48"/>
      <c r="S59" s="48"/>
      <c r="T59" s="48"/>
      <c r="U59" s="54"/>
      <c r="V59" s="48"/>
      <c r="W59" s="52"/>
      <c r="X59" s="48"/>
      <c r="Y59" s="48"/>
    </row>
    <row r="60" spans="1:25" x14ac:dyDescent="0.8">
      <c r="A60" s="18"/>
      <c r="B60" s="18"/>
      <c r="C60" s="18"/>
      <c r="D60" s="18"/>
      <c r="E60" s="18"/>
      <c r="F60" s="18"/>
      <c r="G60" s="18"/>
      <c r="H60" s="18"/>
      <c r="I60" s="18"/>
      <c r="J60" s="74"/>
      <c r="K60" s="48"/>
      <c r="L60" s="48"/>
      <c r="M60" s="48"/>
      <c r="N60" s="54"/>
      <c r="O60" s="48"/>
      <c r="P60" s="56"/>
      <c r="R60" s="48"/>
      <c r="S60" s="48"/>
      <c r="T60" s="48"/>
      <c r="U60" s="54"/>
      <c r="V60" s="48"/>
      <c r="W60" s="52"/>
      <c r="X60" s="48"/>
      <c r="Y60" s="48"/>
    </row>
    <row r="61" spans="1:25" x14ac:dyDescent="0.8">
      <c r="A61" s="18"/>
      <c r="B61" s="18"/>
      <c r="C61" s="18"/>
      <c r="D61" s="18"/>
      <c r="E61" s="18"/>
      <c r="F61" s="18"/>
      <c r="G61" s="18"/>
      <c r="H61" s="18"/>
      <c r="I61" s="18"/>
      <c r="J61" s="74"/>
      <c r="K61" s="48"/>
      <c r="L61" s="48"/>
      <c r="M61" s="48"/>
      <c r="N61" s="54"/>
      <c r="O61" s="48"/>
      <c r="P61" s="56"/>
      <c r="R61" s="48"/>
      <c r="S61" s="48"/>
      <c r="T61" s="48"/>
      <c r="U61" s="54"/>
      <c r="V61" s="48"/>
      <c r="W61" s="52"/>
      <c r="X61" s="48"/>
      <c r="Y61" s="48"/>
    </row>
    <row r="62" spans="1:25" x14ac:dyDescent="0.8">
      <c r="A62" s="18"/>
      <c r="B62" s="18"/>
      <c r="C62" s="18"/>
      <c r="D62" s="18"/>
      <c r="E62" s="18"/>
      <c r="F62" s="18"/>
      <c r="G62" s="18"/>
      <c r="H62" s="18"/>
      <c r="I62" s="18"/>
      <c r="J62" s="74"/>
      <c r="K62" s="48"/>
      <c r="L62" s="48"/>
      <c r="M62" s="48"/>
      <c r="N62" s="54"/>
      <c r="O62" s="48"/>
      <c r="P62" s="56"/>
      <c r="R62" s="48"/>
      <c r="S62" s="48"/>
      <c r="T62" s="48"/>
      <c r="U62" s="54"/>
      <c r="V62" s="48"/>
      <c r="W62" s="52"/>
      <c r="X62" s="48"/>
      <c r="Y62" s="48"/>
    </row>
    <row r="63" spans="1:25" x14ac:dyDescent="0.8">
      <c r="A63" s="18"/>
      <c r="B63" s="18"/>
      <c r="C63" s="18"/>
      <c r="D63" s="18"/>
      <c r="E63" s="18"/>
      <c r="F63" s="18"/>
      <c r="G63" s="18"/>
      <c r="H63" s="18"/>
      <c r="I63" s="18"/>
      <c r="J63" s="74"/>
      <c r="K63" s="48"/>
      <c r="L63" s="48"/>
      <c r="M63" s="48"/>
      <c r="N63" s="54"/>
      <c r="O63" s="48"/>
      <c r="P63" s="56"/>
      <c r="R63" s="48"/>
      <c r="S63" s="48"/>
      <c r="T63" s="48"/>
      <c r="U63" s="54"/>
      <c r="V63" s="48"/>
      <c r="W63" s="52"/>
      <c r="X63" s="48"/>
      <c r="Y63" s="48"/>
    </row>
    <row r="64" spans="1:25" x14ac:dyDescent="0.8">
      <c r="A64" s="18"/>
      <c r="B64" s="18"/>
      <c r="C64" s="18"/>
      <c r="D64" s="18"/>
      <c r="E64" s="18"/>
      <c r="F64" s="18"/>
      <c r="G64" s="18"/>
      <c r="H64" s="18"/>
      <c r="I64" s="18"/>
      <c r="J64" s="74"/>
      <c r="K64" s="48"/>
      <c r="L64" s="48"/>
      <c r="M64" s="48"/>
      <c r="N64" s="54"/>
      <c r="O64" s="48"/>
      <c r="P64" s="56"/>
      <c r="R64" s="48"/>
      <c r="S64" s="48"/>
      <c r="T64" s="48"/>
      <c r="U64" s="54"/>
      <c r="V64" s="48"/>
      <c r="W64" s="52"/>
      <c r="X64" s="48"/>
      <c r="Y64" s="48"/>
    </row>
    <row r="65" spans="1:25" x14ac:dyDescent="0.8">
      <c r="A65" s="18"/>
      <c r="B65" s="18"/>
      <c r="C65" s="18"/>
      <c r="D65" s="18"/>
      <c r="E65" s="18"/>
      <c r="F65" s="18"/>
      <c r="G65" s="18"/>
      <c r="H65" s="18"/>
      <c r="I65" s="18"/>
      <c r="J65" s="74"/>
      <c r="K65" s="48"/>
      <c r="L65" s="48"/>
      <c r="M65" s="48"/>
      <c r="N65" s="54"/>
      <c r="O65" s="48"/>
      <c r="P65" s="56"/>
      <c r="R65" s="48"/>
      <c r="S65" s="48"/>
      <c r="T65" s="48"/>
      <c r="U65" s="54"/>
      <c r="V65" s="48"/>
      <c r="W65" s="52"/>
      <c r="X65" s="48"/>
      <c r="Y65" s="48"/>
    </row>
    <row r="66" spans="1:25" x14ac:dyDescent="0.8">
      <c r="A66" s="18"/>
      <c r="B66" s="18"/>
      <c r="C66" s="18"/>
      <c r="D66" s="18"/>
      <c r="E66" s="18"/>
      <c r="F66" s="18"/>
      <c r="G66" s="18"/>
      <c r="H66" s="18"/>
      <c r="I66" s="18"/>
      <c r="J66" s="74"/>
      <c r="K66" s="48"/>
      <c r="L66" s="48"/>
      <c r="M66" s="48"/>
      <c r="N66" s="54"/>
      <c r="O66" s="48"/>
      <c r="P66" s="56"/>
      <c r="R66" s="48"/>
      <c r="S66" s="48"/>
      <c r="T66" s="48"/>
      <c r="U66" s="54"/>
      <c r="V66" s="48"/>
      <c r="W66" s="52"/>
      <c r="X66" s="48"/>
      <c r="Y66" s="48"/>
    </row>
    <row r="67" spans="1:25" x14ac:dyDescent="0.8">
      <c r="A67" s="18"/>
      <c r="B67" s="18"/>
      <c r="C67" s="18"/>
      <c r="D67" s="18"/>
      <c r="E67" s="18"/>
      <c r="F67" s="18"/>
      <c r="G67" s="18"/>
      <c r="H67" s="18"/>
      <c r="I67" s="18"/>
      <c r="J67" s="74"/>
      <c r="K67" s="48"/>
      <c r="L67" s="48"/>
      <c r="M67" s="48"/>
      <c r="N67" s="54"/>
      <c r="O67" s="48"/>
      <c r="P67" s="56"/>
      <c r="R67" s="48"/>
      <c r="S67" s="48"/>
      <c r="T67" s="48"/>
      <c r="U67" s="54"/>
      <c r="V67" s="48"/>
      <c r="W67" s="52"/>
      <c r="X67" s="48"/>
      <c r="Y67" s="48"/>
    </row>
    <row r="68" spans="1:25" x14ac:dyDescent="0.8">
      <c r="A68" s="18"/>
      <c r="B68" s="18"/>
      <c r="C68" s="18"/>
      <c r="D68" s="18"/>
      <c r="E68" s="18"/>
      <c r="F68" s="18"/>
      <c r="G68" s="18"/>
      <c r="H68" s="18"/>
      <c r="I68" s="18"/>
      <c r="J68" s="74"/>
      <c r="K68" s="48"/>
      <c r="L68" s="48"/>
      <c r="M68" s="48"/>
      <c r="N68" s="54"/>
      <c r="O68" s="48"/>
      <c r="P68" s="56"/>
      <c r="R68" s="48"/>
      <c r="S68" s="48"/>
      <c r="T68" s="48"/>
      <c r="U68" s="54"/>
      <c r="V68" s="48"/>
      <c r="W68" s="52"/>
      <c r="X68" s="48"/>
      <c r="Y68" s="48"/>
    </row>
    <row r="69" spans="1:25" x14ac:dyDescent="0.8">
      <c r="A69" s="18"/>
      <c r="B69" s="18"/>
      <c r="C69" s="18"/>
      <c r="D69" s="18"/>
      <c r="E69" s="18"/>
      <c r="F69" s="18"/>
      <c r="G69" s="18"/>
      <c r="H69" s="18"/>
      <c r="I69" s="18"/>
      <c r="J69" s="74"/>
      <c r="K69" s="48"/>
      <c r="L69" s="48"/>
      <c r="M69" s="48"/>
      <c r="N69" s="54"/>
      <c r="O69" s="48"/>
      <c r="P69" s="56"/>
      <c r="R69" s="48"/>
      <c r="S69" s="48"/>
      <c r="T69" s="48"/>
      <c r="U69" s="54"/>
      <c r="V69" s="48"/>
      <c r="W69" s="52"/>
      <c r="X69" s="48"/>
      <c r="Y69" s="48"/>
    </row>
    <row r="70" spans="1:25" x14ac:dyDescent="0.8">
      <c r="A70" s="18"/>
      <c r="B70" s="18"/>
      <c r="C70" s="18"/>
      <c r="D70" s="18"/>
      <c r="E70" s="18"/>
      <c r="F70" s="18"/>
      <c r="G70" s="18"/>
      <c r="H70" s="18"/>
      <c r="I70" s="18"/>
      <c r="J70" s="74"/>
      <c r="K70" s="48"/>
      <c r="L70" s="48"/>
      <c r="M70" s="48"/>
      <c r="N70" s="54"/>
      <c r="O70" s="48"/>
      <c r="P70" s="56"/>
      <c r="R70" s="48"/>
      <c r="S70" s="48"/>
      <c r="T70" s="48"/>
      <c r="U70" s="54"/>
      <c r="V70" s="48"/>
      <c r="W70" s="52"/>
      <c r="X70" s="48"/>
      <c r="Y70" s="48"/>
    </row>
    <row r="71" spans="1:25" x14ac:dyDescent="0.8">
      <c r="A71" s="18"/>
      <c r="B71" s="18"/>
      <c r="C71" s="18"/>
      <c r="D71" s="18"/>
      <c r="E71" s="18"/>
      <c r="F71" s="18"/>
      <c r="G71" s="18"/>
      <c r="H71" s="18"/>
      <c r="I71" s="18"/>
      <c r="J71" s="74"/>
      <c r="K71" s="48"/>
      <c r="L71" s="48"/>
      <c r="M71" s="48"/>
      <c r="N71" s="54"/>
      <c r="O71" s="48"/>
      <c r="P71" s="56"/>
      <c r="R71" s="48"/>
      <c r="S71" s="48"/>
      <c r="T71" s="48"/>
      <c r="U71" s="54"/>
      <c r="V71" s="48"/>
      <c r="W71" s="52"/>
      <c r="X71" s="48"/>
      <c r="Y71" s="48"/>
    </row>
    <row r="72" spans="1:25" x14ac:dyDescent="0.8">
      <c r="A72" s="18"/>
      <c r="B72" s="18"/>
      <c r="C72" s="18"/>
      <c r="D72" s="18"/>
      <c r="E72" s="18"/>
      <c r="F72" s="18"/>
      <c r="G72" s="18"/>
      <c r="H72" s="18"/>
      <c r="I72" s="18"/>
      <c r="J72" s="74"/>
      <c r="K72" s="48"/>
      <c r="L72" s="48"/>
      <c r="M72" s="48"/>
      <c r="N72" s="54"/>
      <c r="O72" s="48"/>
      <c r="P72" s="56"/>
      <c r="R72" s="48"/>
      <c r="S72" s="48"/>
      <c r="T72" s="48"/>
      <c r="U72" s="54"/>
      <c r="V72" s="48"/>
      <c r="W72" s="52"/>
      <c r="X72" s="48"/>
      <c r="Y72" s="48"/>
    </row>
    <row r="73" spans="1:25" x14ac:dyDescent="0.8">
      <c r="A73" s="18"/>
      <c r="B73" s="18"/>
      <c r="C73" s="18"/>
      <c r="D73" s="18"/>
      <c r="E73" s="18"/>
      <c r="F73" s="18"/>
      <c r="G73" s="18"/>
      <c r="H73" s="18"/>
      <c r="I73" s="18"/>
      <c r="J73" s="74"/>
      <c r="K73" s="48"/>
      <c r="L73" s="48"/>
      <c r="M73" s="48"/>
      <c r="N73" s="54"/>
      <c r="O73" s="48"/>
      <c r="P73" s="56"/>
      <c r="R73" s="48"/>
      <c r="S73" s="48"/>
      <c r="T73" s="48"/>
      <c r="U73" s="54"/>
      <c r="V73" s="48"/>
      <c r="W73" s="52"/>
      <c r="X73" s="48"/>
      <c r="Y73" s="48"/>
    </row>
    <row r="74" spans="1:25" x14ac:dyDescent="0.8">
      <c r="A74" s="18"/>
      <c r="B74" s="18"/>
      <c r="C74" s="18"/>
      <c r="D74" s="18"/>
      <c r="E74" s="18"/>
      <c r="F74" s="18"/>
      <c r="G74" s="18"/>
      <c r="H74" s="18"/>
      <c r="I74" s="18"/>
      <c r="J74" s="74"/>
      <c r="K74" s="48"/>
      <c r="L74" s="48"/>
      <c r="M74" s="48"/>
      <c r="N74" s="54"/>
      <c r="O74" s="48"/>
      <c r="P74" s="56"/>
      <c r="R74" s="48"/>
      <c r="S74" s="48"/>
      <c r="T74" s="48"/>
      <c r="U74" s="54"/>
      <c r="V74" s="48"/>
      <c r="W74" s="52"/>
      <c r="X74" s="48"/>
      <c r="Y74" s="48"/>
    </row>
    <row r="75" spans="1:25" x14ac:dyDescent="0.8">
      <c r="A75" s="18"/>
      <c r="B75" s="18"/>
      <c r="C75" s="18"/>
      <c r="D75" s="18"/>
      <c r="E75" s="18"/>
      <c r="F75" s="18"/>
      <c r="G75" s="18"/>
      <c r="H75" s="18"/>
      <c r="I75" s="18"/>
      <c r="J75" s="74"/>
      <c r="K75" s="48"/>
      <c r="L75" s="48"/>
      <c r="M75" s="48"/>
      <c r="N75" s="54"/>
      <c r="O75" s="48"/>
      <c r="P75" s="56"/>
      <c r="R75" s="48"/>
      <c r="S75" s="48"/>
      <c r="T75" s="48"/>
      <c r="U75" s="54"/>
      <c r="V75" s="48"/>
      <c r="W75" s="52"/>
      <c r="X75" s="48"/>
      <c r="Y75" s="48"/>
    </row>
    <row r="76" spans="1:25" x14ac:dyDescent="0.8">
      <c r="A76" s="18"/>
      <c r="B76" s="18"/>
      <c r="C76" s="18"/>
      <c r="D76" s="18"/>
      <c r="E76" s="18"/>
      <c r="F76" s="18"/>
      <c r="G76" s="18"/>
      <c r="H76" s="18"/>
      <c r="I76" s="18"/>
      <c r="J76" s="74"/>
      <c r="K76" s="48"/>
      <c r="L76" s="48"/>
      <c r="M76" s="48"/>
      <c r="N76" s="54"/>
      <c r="O76" s="48"/>
      <c r="P76" s="56"/>
      <c r="R76" s="48"/>
      <c r="S76" s="48"/>
      <c r="T76" s="48"/>
      <c r="U76" s="54"/>
      <c r="V76" s="48"/>
      <c r="W76" s="52"/>
      <c r="X76" s="48"/>
      <c r="Y76" s="48"/>
    </row>
    <row r="77" spans="1:25" x14ac:dyDescent="0.8">
      <c r="A77" s="18"/>
      <c r="B77" s="18"/>
      <c r="C77" s="18"/>
      <c r="D77" s="18"/>
      <c r="E77" s="18"/>
      <c r="F77" s="18"/>
      <c r="G77" s="18"/>
      <c r="H77" s="18"/>
      <c r="I77" s="18"/>
      <c r="J77" s="74"/>
      <c r="K77" s="48"/>
      <c r="L77" s="48"/>
      <c r="M77" s="48"/>
      <c r="N77" s="54"/>
      <c r="O77" s="48"/>
      <c r="P77" s="56"/>
      <c r="R77" s="48"/>
      <c r="S77" s="48"/>
      <c r="T77" s="48"/>
      <c r="U77" s="54"/>
      <c r="V77" s="48"/>
      <c r="W77" s="52"/>
      <c r="X77" s="48"/>
      <c r="Y77" s="48"/>
    </row>
    <row r="78" spans="1:25" x14ac:dyDescent="0.8">
      <c r="A78" s="18"/>
      <c r="B78" s="18"/>
      <c r="C78" s="18"/>
      <c r="D78" s="18"/>
      <c r="E78" s="18"/>
      <c r="F78" s="18"/>
      <c r="G78" s="18"/>
      <c r="H78" s="18"/>
      <c r="I78" s="18"/>
      <c r="J78" s="74"/>
      <c r="K78" s="48"/>
      <c r="L78" s="48"/>
      <c r="M78" s="48"/>
      <c r="N78" s="54"/>
      <c r="O78" s="48"/>
      <c r="P78" s="56"/>
      <c r="R78" s="48"/>
      <c r="S78" s="48"/>
      <c r="T78" s="48"/>
      <c r="U78" s="54"/>
      <c r="V78" s="48"/>
      <c r="W78" s="52"/>
      <c r="X78" s="48"/>
      <c r="Y78" s="48"/>
    </row>
    <row r="79" spans="1:25" x14ac:dyDescent="0.8">
      <c r="A79" s="18"/>
      <c r="B79" s="18"/>
      <c r="C79" s="18"/>
      <c r="D79" s="18"/>
      <c r="E79" s="18"/>
      <c r="F79" s="18"/>
      <c r="G79" s="18"/>
      <c r="H79" s="18"/>
      <c r="I79" s="18"/>
      <c r="J79" s="74"/>
      <c r="K79" s="48"/>
      <c r="L79" s="48"/>
      <c r="M79" s="48"/>
      <c r="N79" s="54"/>
      <c r="O79" s="48"/>
      <c r="P79" s="56"/>
      <c r="R79" s="48"/>
      <c r="S79" s="48"/>
      <c r="T79" s="48"/>
      <c r="U79" s="54"/>
      <c r="V79" s="48"/>
      <c r="W79" s="52"/>
      <c r="X79" s="48"/>
      <c r="Y79" s="48"/>
    </row>
    <row r="80" spans="1:25" x14ac:dyDescent="0.8">
      <c r="A80" s="18"/>
      <c r="B80" s="18"/>
      <c r="C80" s="18"/>
      <c r="D80" s="18"/>
      <c r="E80" s="18"/>
      <c r="F80" s="18"/>
      <c r="G80" s="18"/>
      <c r="H80" s="18"/>
      <c r="I80" s="18"/>
      <c r="J80" s="74"/>
      <c r="K80" s="48"/>
      <c r="L80" s="48"/>
      <c r="M80" s="48"/>
      <c r="N80" s="54"/>
      <c r="O80" s="48"/>
      <c r="P80" s="56"/>
      <c r="R80" s="48"/>
      <c r="S80" s="48"/>
      <c r="T80" s="48"/>
      <c r="U80" s="54"/>
      <c r="V80" s="48"/>
      <c r="W80" s="52"/>
      <c r="X80" s="48"/>
      <c r="Y80" s="48"/>
    </row>
    <row r="81" spans="1:25" x14ac:dyDescent="0.8">
      <c r="A81" s="18"/>
      <c r="B81" s="18"/>
      <c r="C81" s="18"/>
      <c r="D81" s="18"/>
      <c r="E81" s="18"/>
      <c r="F81" s="18"/>
      <c r="G81" s="18"/>
      <c r="H81" s="18"/>
      <c r="I81" s="18"/>
      <c r="J81" s="74"/>
      <c r="K81" s="48"/>
      <c r="L81" s="48"/>
      <c r="M81" s="48"/>
      <c r="N81" s="54"/>
      <c r="O81" s="48"/>
      <c r="P81" s="56"/>
      <c r="R81" s="48"/>
      <c r="S81" s="48"/>
      <c r="T81" s="48"/>
      <c r="U81" s="54"/>
      <c r="V81" s="48"/>
      <c r="W81" s="52"/>
      <c r="X81" s="48"/>
      <c r="Y81" s="48"/>
    </row>
    <row r="82" spans="1:25" x14ac:dyDescent="0.8">
      <c r="A82" s="18"/>
      <c r="B82" s="18"/>
      <c r="C82" s="18"/>
      <c r="D82" s="18"/>
      <c r="E82" s="18"/>
      <c r="F82" s="18"/>
      <c r="G82" s="18"/>
      <c r="H82" s="18"/>
      <c r="I82" s="18"/>
      <c r="J82" s="74"/>
      <c r="K82" s="48"/>
      <c r="L82" s="48"/>
      <c r="M82" s="48"/>
      <c r="N82" s="54"/>
      <c r="O82" s="48"/>
      <c r="P82" s="56"/>
      <c r="R82" s="48"/>
      <c r="S82" s="48"/>
      <c r="T82" s="48"/>
      <c r="U82" s="54"/>
      <c r="V82" s="48"/>
      <c r="W82" s="52"/>
      <c r="X82" s="48"/>
      <c r="Y82" s="48"/>
    </row>
    <row r="83" spans="1:25" x14ac:dyDescent="0.8">
      <c r="A83" s="18"/>
      <c r="B83" s="18"/>
      <c r="C83" s="18"/>
      <c r="D83" s="18"/>
      <c r="E83" s="18"/>
      <c r="F83" s="18"/>
      <c r="G83" s="18"/>
      <c r="H83" s="18"/>
      <c r="I83" s="18"/>
      <c r="J83" s="74"/>
      <c r="K83" s="48"/>
      <c r="L83" s="48"/>
      <c r="M83" s="48"/>
      <c r="N83" s="54"/>
      <c r="O83" s="48"/>
      <c r="P83" s="56"/>
      <c r="R83" s="48"/>
      <c r="S83" s="48"/>
      <c r="T83" s="48"/>
      <c r="U83" s="54"/>
      <c r="V83" s="48"/>
      <c r="W83" s="52"/>
      <c r="X83" s="48"/>
      <c r="Y83" s="48"/>
    </row>
    <row r="84" spans="1:25" x14ac:dyDescent="0.8">
      <c r="A84" s="18"/>
      <c r="B84" s="18"/>
      <c r="C84" s="18"/>
      <c r="D84" s="18"/>
      <c r="E84" s="18"/>
      <c r="F84" s="18"/>
      <c r="G84" s="18"/>
      <c r="H84" s="18"/>
      <c r="I84" s="18"/>
      <c r="J84" s="74"/>
      <c r="K84" s="48"/>
      <c r="L84" s="48"/>
      <c r="M84" s="48"/>
      <c r="N84" s="54"/>
      <c r="O84" s="48"/>
      <c r="P84" s="56"/>
      <c r="R84" s="48"/>
      <c r="S84" s="48"/>
      <c r="T84" s="48"/>
      <c r="U84" s="54"/>
      <c r="V84" s="48"/>
      <c r="W84" s="52"/>
      <c r="X84" s="48"/>
      <c r="Y84" s="48"/>
    </row>
    <row r="85" spans="1:25" x14ac:dyDescent="0.8">
      <c r="A85" s="18"/>
      <c r="B85" s="18"/>
      <c r="C85" s="18"/>
      <c r="D85" s="18"/>
      <c r="E85" s="18"/>
      <c r="F85" s="18"/>
      <c r="G85" s="18"/>
      <c r="H85" s="18"/>
      <c r="I85" s="18"/>
      <c r="J85" s="74"/>
      <c r="K85" s="48"/>
      <c r="L85" s="48"/>
      <c r="M85" s="48"/>
      <c r="N85" s="54"/>
      <c r="O85" s="48"/>
      <c r="P85" s="56"/>
      <c r="R85" s="48"/>
      <c r="S85" s="48"/>
      <c r="T85" s="48"/>
      <c r="U85" s="54"/>
      <c r="V85" s="48"/>
      <c r="W85" s="52"/>
      <c r="X85" s="48"/>
      <c r="Y85" s="48"/>
    </row>
    <row r="86" spans="1:25" x14ac:dyDescent="0.8">
      <c r="A86" s="18"/>
      <c r="B86" s="18"/>
      <c r="C86" s="18"/>
      <c r="D86" s="18"/>
      <c r="E86" s="18"/>
      <c r="F86" s="18"/>
      <c r="G86" s="18"/>
      <c r="H86" s="18"/>
      <c r="I86" s="18"/>
      <c r="J86" s="74"/>
      <c r="K86" s="48"/>
      <c r="L86" s="48"/>
      <c r="M86" s="48"/>
      <c r="N86" s="54"/>
      <c r="O86" s="48"/>
      <c r="P86" s="56"/>
      <c r="R86" s="48"/>
      <c r="S86" s="48"/>
      <c r="T86" s="48"/>
      <c r="U86" s="54"/>
      <c r="V86" s="48"/>
      <c r="W86" s="52"/>
      <c r="X86" s="48"/>
      <c r="Y86" s="48"/>
    </row>
    <row r="87" spans="1:25" x14ac:dyDescent="0.8">
      <c r="A87" s="18"/>
      <c r="B87" s="18"/>
      <c r="C87" s="18"/>
      <c r="D87" s="18"/>
      <c r="E87" s="18"/>
      <c r="F87" s="18"/>
      <c r="G87" s="18"/>
      <c r="H87" s="18"/>
      <c r="I87" s="18"/>
      <c r="J87" s="74"/>
      <c r="K87" s="48"/>
      <c r="L87" s="48"/>
      <c r="M87" s="48"/>
      <c r="N87" s="54"/>
      <c r="O87" s="48"/>
      <c r="P87" s="56"/>
      <c r="R87" s="48"/>
      <c r="S87" s="48"/>
      <c r="T87" s="48"/>
      <c r="U87" s="54"/>
      <c r="V87" s="48"/>
      <c r="W87" s="52"/>
      <c r="X87" s="48"/>
      <c r="Y87" s="48"/>
    </row>
    <row r="88" spans="1:25" x14ac:dyDescent="0.8">
      <c r="A88" s="18"/>
      <c r="B88" s="18"/>
      <c r="C88" s="18"/>
      <c r="D88" s="18"/>
      <c r="E88" s="18"/>
      <c r="F88" s="18"/>
      <c r="G88" s="18"/>
      <c r="H88" s="18"/>
      <c r="I88" s="18"/>
      <c r="J88" s="74"/>
      <c r="K88" s="48"/>
      <c r="L88" s="48"/>
      <c r="M88" s="48"/>
      <c r="N88" s="54"/>
      <c r="O88" s="48"/>
      <c r="P88" s="56"/>
      <c r="R88" s="48"/>
      <c r="S88" s="48"/>
      <c r="T88" s="48"/>
      <c r="U88" s="54"/>
      <c r="V88" s="48"/>
      <c r="W88" s="52"/>
      <c r="X88" s="48"/>
      <c r="Y88" s="48"/>
    </row>
    <row r="89" spans="1:25" x14ac:dyDescent="0.8">
      <c r="A89" s="18"/>
      <c r="B89" s="18"/>
      <c r="C89" s="18"/>
      <c r="D89" s="18"/>
      <c r="E89" s="18"/>
      <c r="F89" s="18"/>
      <c r="G89" s="18"/>
      <c r="H89" s="18"/>
      <c r="I89" s="18"/>
      <c r="J89" s="74"/>
      <c r="K89" s="48"/>
      <c r="L89" s="48"/>
      <c r="M89" s="48"/>
      <c r="N89" s="54"/>
      <c r="O89" s="48"/>
      <c r="P89" s="56"/>
      <c r="R89" s="48"/>
      <c r="S89" s="48"/>
      <c r="T89" s="48"/>
      <c r="U89" s="54"/>
      <c r="V89" s="48"/>
      <c r="W89" s="52"/>
      <c r="X89" s="48"/>
      <c r="Y89" s="48"/>
    </row>
    <row r="90" spans="1:25" x14ac:dyDescent="0.8">
      <c r="A90" s="18"/>
      <c r="B90" s="18"/>
      <c r="C90" s="18"/>
      <c r="D90" s="18"/>
      <c r="E90" s="18"/>
      <c r="F90" s="18"/>
      <c r="G90" s="18"/>
      <c r="H90" s="18"/>
      <c r="I90" s="18"/>
      <c r="J90" s="74"/>
      <c r="K90" s="48"/>
      <c r="L90" s="48"/>
      <c r="M90" s="48"/>
      <c r="N90" s="54"/>
      <c r="O90" s="48"/>
      <c r="P90" s="56"/>
      <c r="R90" s="48"/>
      <c r="S90" s="48"/>
      <c r="T90" s="48"/>
      <c r="U90" s="54"/>
      <c r="V90" s="48"/>
      <c r="W90" s="52"/>
      <c r="X90" s="48"/>
      <c r="Y90" s="48"/>
    </row>
    <row r="91" spans="1:25" x14ac:dyDescent="0.8">
      <c r="A91" s="18"/>
      <c r="B91" s="18"/>
      <c r="C91" s="18"/>
      <c r="D91" s="18"/>
      <c r="E91" s="18"/>
      <c r="F91" s="18"/>
      <c r="G91" s="18"/>
      <c r="H91" s="18"/>
      <c r="I91" s="18"/>
      <c r="J91" s="74"/>
      <c r="K91" s="48"/>
      <c r="L91" s="48"/>
      <c r="M91" s="48"/>
      <c r="N91" s="54"/>
      <c r="O91" s="48"/>
      <c r="P91" s="56"/>
      <c r="R91" s="48"/>
      <c r="S91" s="48"/>
      <c r="T91" s="48"/>
      <c r="U91" s="54"/>
      <c r="V91" s="48"/>
      <c r="W91" s="52"/>
      <c r="X91" s="48"/>
      <c r="Y91" s="48"/>
    </row>
    <row r="92" spans="1:25" x14ac:dyDescent="0.8">
      <c r="A92" s="18"/>
      <c r="B92" s="18"/>
      <c r="C92" s="18"/>
      <c r="D92" s="18"/>
      <c r="E92" s="18"/>
      <c r="F92" s="18"/>
      <c r="G92" s="18"/>
      <c r="H92" s="18"/>
      <c r="I92" s="18"/>
      <c r="J92" s="74"/>
      <c r="K92" s="48"/>
      <c r="L92" s="48"/>
      <c r="M92" s="48"/>
      <c r="N92" s="54"/>
      <c r="O92" s="48"/>
      <c r="P92" s="56"/>
      <c r="R92" s="48"/>
      <c r="S92" s="48"/>
      <c r="T92" s="48"/>
      <c r="U92" s="54"/>
      <c r="V92" s="48"/>
      <c r="W92" s="52"/>
      <c r="X92" s="48"/>
      <c r="Y92" s="48"/>
    </row>
    <row r="93" spans="1:25" x14ac:dyDescent="0.8">
      <c r="A93" s="18"/>
      <c r="B93" s="18"/>
      <c r="C93" s="18"/>
      <c r="D93" s="18"/>
      <c r="E93" s="18"/>
      <c r="F93" s="18"/>
      <c r="G93" s="18"/>
      <c r="H93" s="18"/>
      <c r="I93" s="18"/>
      <c r="J93" s="74"/>
      <c r="K93" s="48"/>
      <c r="L93" s="48"/>
      <c r="M93" s="48"/>
      <c r="N93" s="54"/>
      <c r="O93" s="48"/>
      <c r="P93" s="56"/>
      <c r="R93" s="48"/>
      <c r="S93" s="48"/>
      <c r="T93" s="48"/>
      <c r="U93" s="54"/>
      <c r="V93" s="48"/>
      <c r="W93" s="52"/>
      <c r="X93" s="48"/>
      <c r="Y93" s="48"/>
    </row>
    <row r="94" spans="1:25" x14ac:dyDescent="0.8">
      <c r="A94" s="18"/>
      <c r="B94" s="18"/>
      <c r="C94" s="18"/>
      <c r="D94" s="18"/>
      <c r="E94" s="18"/>
      <c r="F94" s="18"/>
      <c r="G94" s="18"/>
      <c r="H94" s="18"/>
      <c r="I94" s="18"/>
      <c r="J94" s="74"/>
      <c r="K94" s="48"/>
      <c r="L94" s="48"/>
      <c r="M94" s="48"/>
      <c r="N94" s="54"/>
      <c r="O94" s="48"/>
      <c r="P94" s="56"/>
      <c r="R94" s="48"/>
      <c r="S94" s="48"/>
      <c r="T94" s="48"/>
      <c r="U94" s="54"/>
      <c r="V94" s="48"/>
      <c r="W94" s="52"/>
      <c r="X94" s="48"/>
      <c r="Y94" s="48"/>
    </row>
    <row r="95" spans="1:25" x14ac:dyDescent="0.8">
      <c r="A95" s="18"/>
      <c r="B95" s="18"/>
      <c r="C95" s="18"/>
      <c r="D95" s="18"/>
      <c r="E95" s="18"/>
      <c r="F95" s="18"/>
      <c r="G95" s="18"/>
      <c r="H95" s="18"/>
      <c r="I95" s="18"/>
      <c r="J95" s="74"/>
      <c r="K95" s="48"/>
      <c r="L95" s="48"/>
      <c r="M95" s="48"/>
      <c r="N95" s="54"/>
      <c r="O95" s="48"/>
      <c r="P95" s="56"/>
      <c r="R95" s="48"/>
      <c r="S95" s="48"/>
      <c r="T95" s="48"/>
      <c r="U95" s="54"/>
      <c r="V95" s="48"/>
      <c r="W95" s="52"/>
      <c r="X95" s="48"/>
      <c r="Y95" s="48"/>
    </row>
    <row r="96" spans="1:25" x14ac:dyDescent="0.8">
      <c r="A96" s="18"/>
      <c r="B96" s="18"/>
      <c r="C96" s="18"/>
      <c r="D96" s="18"/>
      <c r="E96" s="18"/>
      <c r="F96" s="18"/>
      <c r="G96" s="18"/>
      <c r="H96" s="18"/>
      <c r="I96" s="18"/>
      <c r="J96" s="74"/>
      <c r="K96" s="48"/>
      <c r="L96" s="48"/>
      <c r="M96" s="48"/>
      <c r="N96" s="54"/>
      <c r="O96" s="48"/>
      <c r="P96" s="56"/>
      <c r="R96" s="48"/>
      <c r="S96" s="48"/>
      <c r="T96" s="48"/>
      <c r="U96" s="54"/>
      <c r="V96" s="48"/>
      <c r="W96" s="52"/>
      <c r="X96" s="48"/>
      <c r="Y96" s="48"/>
    </row>
    <row r="97" spans="1:25" x14ac:dyDescent="0.8">
      <c r="A97" s="18"/>
      <c r="B97" s="18"/>
      <c r="C97" s="18"/>
      <c r="D97" s="18"/>
      <c r="E97" s="18"/>
      <c r="F97" s="18"/>
      <c r="G97" s="18"/>
      <c r="H97" s="18"/>
      <c r="I97" s="18"/>
      <c r="J97" s="74"/>
      <c r="K97" s="48"/>
      <c r="L97" s="48"/>
      <c r="M97" s="48"/>
      <c r="N97" s="54"/>
      <c r="O97" s="48"/>
      <c r="P97" s="56"/>
      <c r="R97" s="48"/>
      <c r="S97" s="48"/>
      <c r="T97" s="48"/>
      <c r="U97" s="54"/>
      <c r="V97" s="48"/>
      <c r="W97" s="52"/>
      <c r="X97" s="48"/>
      <c r="Y97" s="48"/>
    </row>
    <row r="98" spans="1:25" x14ac:dyDescent="0.8">
      <c r="A98" s="18"/>
      <c r="B98" s="18"/>
      <c r="C98" s="18"/>
      <c r="D98" s="18"/>
      <c r="E98" s="18"/>
      <c r="F98" s="18"/>
      <c r="G98" s="18"/>
      <c r="H98" s="18"/>
      <c r="I98" s="18"/>
      <c r="J98" s="74"/>
      <c r="K98" s="48"/>
      <c r="L98" s="48"/>
      <c r="M98" s="48"/>
      <c r="N98" s="54"/>
      <c r="O98" s="48"/>
      <c r="P98" s="56"/>
      <c r="R98" s="48"/>
      <c r="S98" s="48"/>
      <c r="T98" s="48"/>
      <c r="U98" s="54"/>
      <c r="V98" s="48"/>
      <c r="W98" s="52"/>
      <c r="X98" s="48"/>
      <c r="Y98" s="48"/>
    </row>
    <row r="99" spans="1:25" x14ac:dyDescent="0.8">
      <c r="A99" s="18"/>
      <c r="B99" s="18"/>
      <c r="C99" s="18"/>
      <c r="D99" s="18"/>
      <c r="E99" s="18"/>
      <c r="F99" s="18"/>
      <c r="G99" s="18"/>
      <c r="H99" s="18"/>
      <c r="I99" s="18"/>
      <c r="J99" s="74"/>
      <c r="K99" s="48"/>
      <c r="L99" s="48"/>
      <c r="M99" s="48"/>
      <c r="N99" s="54"/>
      <c r="O99" s="48"/>
      <c r="P99" s="56"/>
      <c r="R99" s="48"/>
      <c r="S99" s="48"/>
      <c r="T99" s="48"/>
      <c r="U99" s="54"/>
      <c r="V99" s="48"/>
      <c r="W99" s="52"/>
      <c r="X99" s="48"/>
      <c r="Y99" s="48"/>
    </row>
    <row r="100" spans="1:25" x14ac:dyDescent="0.8">
      <c r="A100" s="18"/>
      <c r="B100" s="18"/>
      <c r="C100" s="18"/>
      <c r="D100" s="18"/>
      <c r="E100" s="18"/>
      <c r="F100" s="18"/>
      <c r="G100" s="18"/>
      <c r="H100" s="18"/>
      <c r="I100" s="18"/>
      <c r="J100" s="74"/>
      <c r="K100" s="48"/>
      <c r="L100" s="48"/>
      <c r="M100" s="48"/>
      <c r="N100" s="54"/>
      <c r="O100" s="48"/>
      <c r="P100" s="56"/>
      <c r="R100" s="48"/>
      <c r="S100" s="48"/>
      <c r="T100" s="48"/>
      <c r="U100" s="54"/>
      <c r="V100" s="48"/>
      <c r="W100" s="52"/>
      <c r="X100" s="48"/>
      <c r="Y100" s="48"/>
    </row>
    <row r="101" spans="1:25" x14ac:dyDescent="0.8">
      <c r="A101" s="18"/>
      <c r="B101" s="18"/>
      <c r="C101" s="18"/>
      <c r="D101" s="18"/>
      <c r="E101" s="18"/>
      <c r="F101" s="18"/>
      <c r="G101" s="18"/>
      <c r="H101" s="18"/>
      <c r="I101" s="18"/>
      <c r="J101" s="74"/>
      <c r="K101" s="48"/>
      <c r="L101" s="48"/>
      <c r="M101" s="48"/>
      <c r="N101" s="54"/>
      <c r="O101" s="48"/>
      <c r="P101" s="56"/>
      <c r="R101" s="48"/>
      <c r="S101" s="48"/>
      <c r="T101" s="48"/>
      <c r="U101" s="54"/>
      <c r="V101" s="48"/>
      <c r="W101" s="52"/>
      <c r="X101" s="48"/>
      <c r="Y101" s="48"/>
    </row>
    <row r="102" spans="1:25" x14ac:dyDescent="0.8">
      <c r="A102" s="18"/>
      <c r="B102" s="18"/>
      <c r="C102" s="18"/>
      <c r="D102" s="18"/>
      <c r="E102" s="18"/>
      <c r="F102" s="18"/>
      <c r="G102" s="18"/>
      <c r="H102" s="18"/>
      <c r="I102" s="18"/>
      <c r="J102" s="74"/>
      <c r="K102" s="48"/>
      <c r="L102" s="48"/>
      <c r="M102" s="48"/>
      <c r="N102" s="54"/>
      <c r="O102" s="48"/>
      <c r="P102" s="56"/>
      <c r="R102" s="48"/>
      <c r="S102" s="48"/>
      <c r="T102" s="48"/>
      <c r="U102" s="54"/>
      <c r="V102" s="48"/>
      <c r="W102" s="52"/>
      <c r="X102" s="48"/>
      <c r="Y102" s="48"/>
    </row>
    <row r="103" spans="1:25" x14ac:dyDescent="0.8">
      <c r="A103" s="18"/>
      <c r="B103" s="18"/>
      <c r="C103" s="18"/>
      <c r="D103" s="18"/>
      <c r="E103" s="18"/>
      <c r="F103" s="18"/>
      <c r="G103" s="18"/>
      <c r="H103" s="18"/>
      <c r="I103" s="18"/>
      <c r="J103" s="74"/>
      <c r="K103" s="48"/>
      <c r="L103" s="48"/>
      <c r="M103" s="48"/>
      <c r="N103" s="54"/>
      <c r="O103" s="48"/>
      <c r="P103" s="56"/>
      <c r="R103" s="48"/>
      <c r="S103" s="48"/>
      <c r="T103" s="48"/>
      <c r="U103" s="54"/>
      <c r="V103" s="48"/>
      <c r="W103" s="52"/>
      <c r="X103" s="48"/>
      <c r="Y103" s="48"/>
    </row>
    <row r="104" spans="1:25" x14ac:dyDescent="0.8">
      <c r="A104" s="18"/>
      <c r="B104" s="18"/>
      <c r="C104" s="18"/>
      <c r="D104" s="18"/>
      <c r="E104" s="18"/>
      <c r="F104" s="18"/>
      <c r="G104" s="18"/>
      <c r="H104" s="18"/>
      <c r="I104" s="18"/>
      <c r="J104" s="74"/>
      <c r="K104" s="48"/>
      <c r="L104" s="48"/>
      <c r="M104" s="48"/>
      <c r="N104" s="54"/>
      <c r="O104" s="48"/>
      <c r="P104" s="56"/>
      <c r="R104" s="48"/>
      <c r="S104" s="48"/>
      <c r="T104" s="48"/>
      <c r="U104" s="54"/>
      <c r="V104" s="48"/>
      <c r="W104" s="52"/>
      <c r="X104" s="48"/>
      <c r="Y104" s="48"/>
    </row>
    <row r="105" spans="1:25" x14ac:dyDescent="0.8">
      <c r="A105" s="18"/>
      <c r="B105" s="18"/>
      <c r="C105" s="18"/>
      <c r="D105" s="18"/>
      <c r="E105" s="18"/>
      <c r="F105" s="18"/>
      <c r="G105" s="18"/>
      <c r="H105" s="18"/>
      <c r="I105" s="18"/>
      <c r="J105" s="74"/>
      <c r="K105" s="48"/>
      <c r="L105" s="48"/>
      <c r="M105" s="48"/>
      <c r="N105" s="54"/>
      <c r="O105" s="48"/>
      <c r="P105" s="56"/>
      <c r="R105" s="48"/>
      <c r="S105" s="48"/>
      <c r="T105" s="48"/>
      <c r="U105" s="54"/>
      <c r="V105" s="48"/>
      <c r="W105" s="52"/>
      <c r="X105" s="48"/>
      <c r="Y105" s="48"/>
    </row>
    <row r="106" spans="1:25" x14ac:dyDescent="0.8">
      <c r="A106" s="18"/>
      <c r="B106" s="18"/>
      <c r="C106" s="18"/>
      <c r="D106" s="18"/>
      <c r="E106" s="18"/>
      <c r="F106" s="18"/>
      <c r="G106" s="18"/>
      <c r="H106" s="18"/>
      <c r="I106" s="18"/>
      <c r="J106" s="74"/>
      <c r="K106" s="48"/>
      <c r="L106" s="48"/>
      <c r="M106" s="48"/>
      <c r="N106" s="54"/>
      <c r="O106" s="48"/>
      <c r="P106" s="56"/>
      <c r="R106" s="48"/>
      <c r="S106" s="48"/>
      <c r="T106" s="48"/>
      <c r="U106" s="54"/>
      <c r="V106" s="48"/>
      <c r="W106" s="52"/>
      <c r="X106" s="48"/>
      <c r="Y106" s="48"/>
    </row>
    <row r="107" spans="1:25" x14ac:dyDescent="0.8">
      <c r="A107" s="18"/>
      <c r="B107" s="18"/>
      <c r="C107" s="18"/>
      <c r="D107" s="18"/>
      <c r="E107" s="18"/>
      <c r="F107" s="18"/>
      <c r="G107" s="18"/>
      <c r="H107" s="18"/>
      <c r="I107" s="18"/>
      <c r="J107" s="74"/>
      <c r="K107" s="48"/>
      <c r="L107" s="48"/>
      <c r="M107" s="48"/>
      <c r="N107" s="54"/>
      <c r="O107" s="48"/>
      <c r="P107" s="56"/>
      <c r="R107" s="48"/>
      <c r="S107" s="48"/>
      <c r="T107" s="48"/>
      <c r="U107" s="54"/>
      <c r="V107" s="48"/>
      <c r="W107" s="52"/>
      <c r="X107" s="48"/>
      <c r="Y107" s="48"/>
    </row>
    <row r="108" spans="1:25" x14ac:dyDescent="0.8">
      <c r="A108" s="18"/>
      <c r="B108" s="18"/>
      <c r="C108" s="18"/>
      <c r="D108" s="18"/>
      <c r="E108" s="18"/>
      <c r="F108" s="18"/>
      <c r="G108" s="18"/>
      <c r="H108" s="18"/>
      <c r="I108" s="18"/>
      <c r="J108" s="74"/>
      <c r="K108" s="48"/>
      <c r="L108" s="48"/>
      <c r="M108" s="48"/>
      <c r="N108" s="54"/>
      <c r="O108" s="48"/>
      <c r="P108" s="56"/>
      <c r="R108" s="48"/>
      <c r="S108" s="48"/>
      <c r="T108" s="48"/>
      <c r="U108" s="54"/>
      <c r="V108" s="48"/>
      <c r="W108" s="52"/>
      <c r="X108" s="48"/>
      <c r="Y108" s="48"/>
    </row>
    <row r="109" spans="1:25" x14ac:dyDescent="0.8">
      <c r="A109" s="18"/>
      <c r="B109" s="18"/>
      <c r="C109" s="18"/>
      <c r="D109" s="18"/>
      <c r="E109" s="18"/>
      <c r="F109" s="18"/>
      <c r="G109" s="18"/>
      <c r="H109" s="18"/>
      <c r="I109" s="18"/>
      <c r="J109" s="74"/>
      <c r="K109" s="48"/>
      <c r="L109" s="48"/>
      <c r="M109" s="48"/>
      <c r="N109" s="54"/>
      <c r="O109" s="48"/>
      <c r="P109" s="56"/>
      <c r="R109" s="48"/>
      <c r="S109" s="48"/>
      <c r="T109" s="48"/>
      <c r="U109" s="54"/>
      <c r="V109" s="48"/>
      <c r="W109" s="52"/>
      <c r="X109" s="48"/>
      <c r="Y109" s="48"/>
    </row>
    <row r="110" spans="1:25" x14ac:dyDescent="0.8">
      <c r="A110" s="18"/>
      <c r="B110" s="18"/>
      <c r="C110" s="18"/>
      <c r="D110" s="18"/>
      <c r="E110" s="18"/>
      <c r="F110" s="18"/>
      <c r="G110" s="18"/>
      <c r="H110" s="18"/>
      <c r="I110" s="18"/>
      <c r="J110" s="74"/>
      <c r="K110" s="48"/>
      <c r="L110" s="48"/>
      <c r="M110" s="48"/>
      <c r="N110" s="54"/>
      <c r="O110" s="48"/>
      <c r="P110" s="56"/>
      <c r="R110" s="48"/>
      <c r="S110" s="48"/>
      <c r="T110" s="48"/>
      <c r="U110" s="54"/>
      <c r="V110" s="48"/>
      <c r="W110" s="52"/>
      <c r="X110" s="48"/>
      <c r="Y110" s="48"/>
    </row>
    <row r="111" spans="1:25" x14ac:dyDescent="0.8">
      <c r="A111" s="18"/>
      <c r="B111" s="18"/>
      <c r="C111" s="18"/>
      <c r="D111" s="18"/>
      <c r="E111" s="18"/>
      <c r="F111" s="18"/>
      <c r="G111" s="18"/>
      <c r="H111" s="18"/>
      <c r="I111" s="18"/>
      <c r="J111" s="74"/>
      <c r="K111" s="48"/>
      <c r="L111" s="48"/>
      <c r="M111" s="48"/>
      <c r="N111" s="54"/>
      <c r="O111" s="48"/>
      <c r="P111" s="56"/>
      <c r="R111" s="48"/>
      <c r="S111" s="48"/>
      <c r="T111" s="48"/>
      <c r="U111" s="54"/>
      <c r="V111" s="48"/>
      <c r="W111" s="52"/>
      <c r="X111" s="48"/>
      <c r="Y111" s="48"/>
    </row>
    <row r="112" spans="1:25" x14ac:dyDescent="0.8">
      <c r="A112" s="18"/>
      <c r="B112" s="18"/>
      <c r="C112" s="18"/>
      <c r="D112" s="18"/>
      <c r="E112" s="18"/>
      <c r="F112" s="18"/>
      <c r="G112" s="18"/>
      <c r="H112" s="18"/>
      <c r="I112" s="18"/>
      <c r="J112" s="74"/>
      <c r="K112" s="48"/>
      <c r="L112" s="48"/>
      <c r="M112" s="48"/>
      <c r="N112" s="54"/>
      <c r="O112" s="48"/>
      <c r="P112" s="56"/>
      <c r="R112" s="48"/>
      <c r="S112" s="48"/>
      <c r="T112" s="48"/>
      <c r="U112" s="54"/>
      <c r="V112" s="48"/>
      <c r="W112" s="52"/>
      <c r="X112" s="48"/>
      <c r="Y112" s="48"/>
    </row>
    <row r="113" spans="1:25" x14ac:dyDescent="0.8">
      <c r="A113" s="18"/>
      <c r="B113" s="18"/>
      <c r="C113" s="18"/>
      <c r="D113" s="18"/>
      <c r="E113" s="18"/>
      <c r="F113" s="18"/>
      <c r="G113" s="18"/>
      <c r="H113" s="18"/>
      <c r="I113" s="18"/>
      <c r="J113" s="74"/>
      <c r="K113" s="48"/>
      <c r="L113" s="48"/>
      <c r="M113" s="48"/>
      <c r="N113" s="54"/>
      <c r="O113" s="48"/>
      <c r="P113" s="56"/>
      <c r="R113" s="48"/>
      <c r="S113" s="48"/>
      <c r="T113" s="48"/>
      <c r="U113" s="54"/>
      <c r="V113" s="48"/>
      <c r="W113" s="52"/>
      <c r="X113" s="48"/>
      <c r="Y113" s="48"/>
    </row>
    <row r="114" spans="1:25" x14ac:dyDescent="0.8">
      <c r="A114" s="18"/>
      <c r="B114" s="18"/>
      <c r="C114" s="18"/>
      <c r="D114" s="18"/>
      <c r="E114" s="18"/>
      <c r="F114" s="18"/>
      <c r="G114" s="18"/>
      <c r="H114" s="18"/>
      <c r="I114" s="18"/>
      <c r="J114" s="74"/>
      <c r="K114" s="48"/>
      <c r="L114" s="48"/>
      <c r="M114" s="48"/>
      <c r="N114" s="54"/>
      <c r="O114" s="48"/>
      <c r="P114" s="56"/>
      <c r="R114" s="48"/>
      <c r="S114" s="48"/>
      <c r="T114" s="48"/>
      <c r="U114" s="54"/>
      <c r="V114" s="48"/>
      <c r="W114" s="52"/>
      <c r="X114" s="48"/>
      <c r="Y114" s="48"/>
    </row>
    <row r="115" spans="1:25" x14ac:dyDescent="0.8">
      <c r="A115" s="18"/>
      <c r="B115" s="18"/>
      <c r="C115" s="18"/>
      <c r="D115" s="18"/>
      <c r="E115" s="18"/>
      <c r="F115" s="18"/>
      <c r="G115" s="18"/>
      <c r="H115" s="18"/>
      <c r="I115" s="18"/>
      <c r="J115" s="74"/>
      <c r="K115" s="48"/>
      <c r="L115" s="48"/>
      <c r="M115" s="48"/>
      <c r="N115" s="54"/>
      <c r="O115" s="48"/>
      <c r="P115" s="56"/>
      <c r="R115" s="48"/>
      <c r="S115" s="48"/>
      <c r="T115" s="48"/>
      <c r="U115" s="54"/>
      <c r="V115" s="48"/>
      <c r="W115" s="52"/>
      <c r="X115" s="48"/>
      <c r="Y115" s="48"/>
    </row>
    <row r="116" spans="1:25" x14ac:dyDescent="0.8">
      <c r="A116" s="18"/>
      <c r="B116" s="18"/>
      <c r="C116" s="18"/>
      <c r="D116" s="18"/>
      <c r="E116" s="18"/>
      <c r="F116" s="18"/>
      <c r="G116" s="18"/>
      <c r="H116" s="18"/>
      <c r="I116" s="18"/>
      <c r="J116" s="74"/>
      <c r="K116" s="48"/>
      <c r="L116" s="48"/>
      <c r="M116" s="48"/>
      <c r="N116" s="54"/>
      <c r="O116" s="48"/>
      <c r="P116" s="56"/>
      <c r="R116" s="48"/>
      <c r="S116" s="48"/>
      <c r="T116" s="48"/>
      <c r="U116" s="54"/>
      <c r="V116" s="48"/>
      <c r="W116" s="52"/>
      <c r="X116" s="48"/>
      <c r="Y116" s="48"/>
    </row>
    <row r="117" spans="1:25" x14ac:dyDescent="0.8">
      <c r="A117" s="18"/>
      <c r="B117" s="18"/>
      <c r="C117" s="18"/>
      <c r="D117" s="18"/>
      <c r="E117" s="18"/>
      <c r="F117" s="18"/>
      <c r="G117" s="18"/>
      <c r="H117" s="18"/>
      <c r="I117" s="18"/>
      <c r="J117" s="74"/>
      <c r="K117" s="48"/>
      <c r="L117" s="48"/>
      <c r="M117" s="48"/>
      <c r="N117" s="54"/>
      <c r="O117" s="48"/>
      <c r="P117" s="56"/>
      <c r="R117" s="48"/>
      <c r="S117" s="48"/>
      <c r="T117" s="48"/>
      <c r="U117" s="54"/>
      <c r="V117" s="48"/>
      <c r="W117" s="52"/>
      <c r="X117" s="48"/>
      <c r="Y117" s="48"/>
    </row>
    <row r="118" spans="1:25" x14ac:dyDescent="0.8">
      <c r="A118" s="18"/>
      <c r="B118" s="18"/>
      <c r="C118" s="18"/>
      <c r="D118" s="18"/>
      <c r="E118" s="18"/>
      <c r="F118" s="18"/>
      <c r="G118" s="18"/>
      <c r="H118" s="18"/>
      <c r="I118" s="18"/>
      <c r="J118" s="74"/>
      <c r="K118" s="48"/>
      <c r="L118" s="48"/>
      <c r="M118" s="48"/>
      <c r="N118" s="54"/>
      <c r="O118" s="48"/>
      <c r="P118" s="56"/>
      <c r="R118" s="48"/>
      <c r="S118" s="48"/>
      <c r="T118" s="48"/>
      <c r="U118" s="54"/>
      <c r="V118" s="48"/>
      <c r="W118" s="52"/>
      <c r="X118" s="48"/>
      <c r="Y118" s="48"/>
    </row>
    <row r="119" spans="1:25" x14ac:dyDescent="0.8">
      <c r="A119" s="18"/>
      <c r="B119" s="18"/>
      <c r="C119" s="18"/>
      <c r="D119" s="18"/>
      <c r="E119" s="18"/>
      <c r="F119" s="18"/>
      <c r="G119" s="18"/>
      <c r="H119" s="18"/>
      <c r="I119" s="18"/>
      <c r="J119" s="74"/>
      <c r="K119" s="48"/>
      <c r="L119" s="48"/>
      <c r="M119" s="48"/>
      <c r="N119" s="54"/>
      <c r="O119" s="48"/>
      <c r="P119" s="56"/>
      <c r="R119" s="48"/>
      <c r="S119" s="48"/>
      <c r="T119" s="48"/>
      <c r="U119" s="54"/>
      <c r="V119" s="48"/>
      <c r="W119" s="52"/>
      <c r="X119" s="48"/>
      <c r="Y119" s="48"/>
    </row>
    <row r="120" spans="1:25" x14ac:dyDescent="0.8">
      <c r="A120" s="18"/>
      <c r="B120" s="18"/>
      <c r="C120" s="18"/>
      <c r="D120" s="18"/>
      <c r="E120" s="18"/>
      <c r="F120" s="18"/>
      <c r="G120" s="18"/>
      <c r="H120" s="18"/>
      <c r="I120" s="18"/>
      <c r="J120" s="74"/>
      <c r="K120" s="48"/>
      <c r="L120" s="48"/>
      <c r="M120" s="48"/>
      <c r="N120" s="54"/>
      <c r="O120" s="48"/>
      <c r="P120" s="56"/>
      <c r="R120" s="48"/>
      <c r="S120" s="48"/>
      <c r="T120" s="48"/>
      <c r="U120" s="54"/>
      <c r="V120" s="48"/>
      <c r="W120" s="52"/>
      <c r="X120" s="48"/>
      <c r="Y120" s="48"/>
    </row>
    <row r="121" spans="1:25" x14ac:dyDescent="0.8">
      <c r="A121" s="18"/>
      <c r="B121" s="18"/>
      <c r="C121" s="18"/>
      <c r="D121" s="18"/>
      <c r="E121" s="18"/>
      <c r="F121" s="18"/>
      <c r="G121" s="18"/>
      <c r="H121" s="18"/>
      <c r="I121" s="18"/>
      <c r="J121" s="74"/>
      <c r="K121" s="48"/>
      <c r="L121" s="48"/>
      <c r="M121" s="48"/>
      <c r="N121" s="54"/>
      <c r="O121" s="48"/>
      <c r="P121" s="56"/>
      <c r="R121" s="48"/>
      <c r="S121" s="48"/>
      <c r="T121" s="48"/>
      <c r="U121" s="54"/>
      <c r="V121" s="48"/>
      <c r="W121" s="52"/>
      <c r="X121" s="48"/>
      <c r="Y121" s="48"/>
    </row>
    <row r="122" spans="1:25" x14ac:dyDescent="0.8">
      <c r="A122" s="18"/>
      <c r="B122" s="18"/>
      <c r="C122" s="18"/>
      <c r="D122" s="18"/>
      <c r="E122" s="18"/>
      <c r="F122" s="18"/>
      <c r="G122" s="18"/>
      <c r="H122" s="18"/>
      <c r="I122" s="18"/>
      <c r="J122" s="74"/>
      <c r="K122" s="48"/>
      <c r="L122" s="48"/>
      <c r="M122" s="48"/>
      <c r="N122" s="54"/>
      <c r="O122" s="48"/>
      <c r="P122" s="56"/>
      <c r="R122" s="48"/>
      <c r="S122" s="48"/>
      <c r="T122" s="48"/>
      <c r="U122" s="54"/>
      <c r="V122" s="48"/>
      <c r="W122" s="52"/>
      <c r="X122" s="48"/>
      <c r="Y122" s="48"/>
    </row>
    <row r="123" spans="1:25" x14ac:dyDescent="0.8">
      <c r="A123" s="18"/>
      <c r="B123" s="18"/>
      <c r="C123" s="18"/>
      <c r="D123" s="18"/>
      <c r="E123" s="18"/>
      <c r="F123" s="18"/>
      <c r="G123" s="18"/>
      <c r="H123" s="18"/>
      <c r="I123" s="18"/>
      <c r="J123" s="74"/>
      <c r="K123" s="48"/>
      <c r="L123" s="48"/>
      <c r="M123" s="48"/>
      <c r="N123" s="54"/>
      <c r="O123" s="48"/>
      <c r="P123" s="56"/>
      <c r="R123" s="48"/>
      <c r="S123" s="48"/>
      <c r="T123" s="48"/>
      <c r="U123" s="54"/>
      <c r="V123" s="48"/>
      <c r="W123" s="52"/>
      <c r="X123" s="48"/>
      <c r="Y123" s="48"/>
    </row>
    <row r="124" spans="1:25" x14ac:dyDescent="0.8">
      <c r="A124" s="18"/>
      <c r="B124" s="18"/>
      <c r="C124" s="18"/>
      <c r="D124" s="18"/>
      <c r="E124" s="18"/>
      <c r="F124" s="18"/>
      <c r="G124" s="18"/>
      <c r="H124" s="18"/>
      <c r="I124" s="18"/>
      <c r="J124" s="74"/>
      <c r="K124" s="48"/>
      <c r="L124" s="48"/>
      <c r="M124" s="48"/>
      <c r="N124" s="54"/>
      <c r="O124" s="48"/>
      <c r="P124" s="56"/>
      <c r="R124" s="48"/>
      <c r="S124" s="48"/>
      <c r="T124" s="48"/>
      <c r="U124" s="54"/>
      <c r="V124" s="48"/>
      <c r="W124" s="52"/>
      <c r="X124" s="48"/>
      <c r="Y124" s="48"/>
    </row>
    <row r="125" spans="1:25" x14ac:dyDescent="0.8">
      <c r="A125" s="18"/>
      <c r="B125" s="18"/>
      <c r="C125" s="18"/>
      <c r="D125" s="18"/>
      <c r="E125" s="18"/>
      <c r="F125" s="18"/>
      <c r="G125" s="18"/>
      <c r="H125" s="18"/>
      <c r="I125" s="18"/>
      <c r="J125" s="74"/>
      <c r="K125" s="48"/>
      <c r="L125" s="48"/>
      <c r="M125" s="48"/>
      <c r="N125" s="54"/>
      <c r="O125" s="48"/>
      <c r="P125" s="56"/>
      <c r="R125" s="48"/>
      <c r="S125" s="48"/>
      <c r="T125" s="48"/>
      <c r="U125" s="54"/>
      <c r="V125" s="48"/>
      <c r="W125" s="52"/>
      <c r="X125" s="48"/>
      <c r="Y125" s="48"/>
    </row>
    <row r="126" spans="1:25" x14ac:dyDescent="0.8">
      <c r="A126" s="18"/>
      <c r="B126" s="18"/>
      <c r="C126" s="18"/>
      <c r="D126" s="18"/>
      <c r="E126" s="18"/>
      <c r="F126" s="18"/>
      <c r="G126" s="18"/>
      <c r="H126" s="18"/>
      <c r="I126" s="18"/>
      <c r="J126" s="74"/>
      <c r="K126" s="48"/>
      <c r="L126" s="48"/>
      <c r="M126" s="48"/>
      <c r="N126" s="54"/>
      <c r="O126" s="48"/>
      <c r="P126" s="56"/>
      <c r="R126" s="48"/>
      <c r="S126" s="48"/>
      <c r="T126" s="48"/>
      <c r="U126" s="54"/>
      <c r="V126" s="48"/>
      <c r="W126" s="52"/>
      <c r="X126" s="48"/>
      <c r="Y126" s="48"/>
    </row>
    <row r="127" spans="1:25" x14ac:dyDescent="0.8">
      <c r="A127" s="18"/>
      <c r="B127" s="18"/>
      <c r="C127" s="18"/>
      <c r="D127" s="18"/>
      <c r="E127" s="18"/>
      <c r="F127" s="18"/>
      <c r="G127" s="18"/>
      <c r="H127" s="18"/>
      <c r="I127" s="18"/>
      <c r="J127" s="74"/>
      <c r="K127" s="48"/>
      <c r="L127" s="48"/>
      <c r="M127" s="48"/>
      <c r="N127" s="54"/>
      <c r="O127" s="48"/>
      <c r="P127" s="56"/>
      <c r="R127" s="48"/>
      <c r="S127" s="48"/>
      <c r="T127" s="48"/>
      <c r="U127" s="54"/>
      <c r="V127" s="48"/>
      <c r="W127" s="52"/>
      <c r="X127" s="48"/>
      <c r="Y127" s="48"/>
    </row>
    <row r="128" spans="1:25" x14ac:dyDescent="0.8">
      <c r="A128" s="18"/>
      <c r="B128" s="18"/>
      <c r="C128" s="18"/>
      <c r="D128" s="18"/>
      <c r="E128" s="18"/>
      <c r="F128" s="18"/>
      <c r="G128" s="18"/>
      <c r="H128" s="18"/>
      <c r="I128" s="18"/>
      <c r="J128" s="74"/>
      <c r="K128" s="48"/>
      <c r="L128" s="48"/>
      <c r="M128" s="48"/>
      <c r="N128" s="54"/>
      <c r="O128" s="48"/>
      <c r="P128" s="56"/>
      <c r="R128" s="48"/>
      <c r="S128" s="48"/>
      <c r="T128" s="48"/>
      <c r="U128" s="54"/>
      <c r="V128" s="48"/>
      <c r="W128" s="52"/>
      <c r="X128" s="48"/>
      <c r="Y128" s="48"/>
    </row>
    <row r="129" spans="1:25" x14ac:dyDescent="0.8">
      <c r="A129" s="18"/>
      <c r="B129" s="18"/>
      <c r="C129" s="18"/>
      <c r="D129" s="18"/>
      <c r="E129" s="18"/>
      <c r="F129" s="18"/>
      <c r="G129" s="18"/>
      <c r="H129" s="18"/>
      <c r="I129" s="18"/>
      <c r="J129" s="74"/>
      <c r="K129" s="48"/>
      <c r="L129" s="48"/>
      <c r="M129" s="48"/>
      <c r="N129" s="54"/>
      <c r="O129" s="48"/>
      <c r="P129" s="56"/>
      <c r="R129" s="48"/>
      <c r="S129" s="48"/>
      <c r="T129" s="48"/>
      <c r="U129" s="54"/>
      <c r="V129" s="48"/>
      <c r="W129" s="52"/>
      <c r="X129" s="48"/>
      <c r="Y129" s="48"/>
    </row>
    <row r="130" spans="1:25" x14ac:dyDescent="0.8">
      <c r="A130" s="18"/>
      <c r="B130" s="18"/>
      <c r="C130" s="18"/>
      <c r="D130" s="18"/>
      <c r="E130" s="18"/>
      <c r="F130" s="18"/>
      <c r="G130" s="18"/>
      <c r="H130" s="18"/>
      <c r="I130" s="18"/>
      <c r="J130" s="74"/>
      <c r="K130" s="48"/>
      <c r="L130" s="48"/>
      <c r="M130" s="48"/>
      <c r="N130" s="54"/>
      <c r="O130" s="48"/>
      <c r="P130" s="56"/>
      <c r="R130" s="48"/>
      <c r="S130" s="48"/>
      <c r="T130" s="48"/>
      <c r="U130" s="54"/>
      <c r="V130" s="48"/>
      <c r="W130" s="52"/>
      <c r="X130" s="48"/>
      <c r="Y130" s="48"/>
    </row>
    <row r="131" spans="1:25" x14ac:dyDescent="0.8">
      <c r="A131" s="18"/>
      <c r="B131" s="18"/>
      <c r="C131" s="18"/>
      <c r="D131" s="18"/>
      <c r="E131" s="18"/>
      <c r="F131" s="18"/>
      <c r="G131" s="18"/>
      <c r="H131" s="18"/>
      <c r="I131" s="18"/>
      <c r="J131" s="74"/>
      <c r="K131" s="48"/>
      <c r="L131" s="48"/>
      <c r="M131" s="48"/>
      <c r="N131" s="54"/>
      <c r="O131" s="48"/>
      <c r="P131" s="56"/>
      <c r="R131" s="48"/>
      <c r="S131" s="48"/>
      <c r="T131" s="48"/>
      <c r="U131" s="54"/>
      <c r="V131" s="48"/>
      <c r="W131" s="52"/>
      <c r="X131" s="48"/>
      <c r="Y131" s="48"/>
    </row>
    <row r="132" spans="1:25" x14ac:dyDescent="0.8">
      <c r="A132" s="18"/>
      <c r="B132" s="18"/>
      <c r="C132" s="18"/>
      <c r="D132" s="18"/>
      <c r="E132" s="18"/>
      <c r="F132" s="18"/>
      <c r="G132" s="18"/>
      <c r="H132" s="18"/>
      <c r="I132" s="18"/>
      <c r="J132" s="74"/>
      <c r="K132" s="48"/>
      <c r="L132" s="48"/>
      <c r="M132" s="48"/>
      <c r="N132" s="54"/>
      <c r="O132" s="48"/>
      <c r="P132" s="56"/>
      <c r="R132" s="48"/>
      <c r="S132" s="48"/>
      <c r="T132" s="48"/>
      <c r="U132" s="54"/>
      <c r="V132" s="48"/>
      <c r="W132" s="52"/>
      <c r="X132" s="48"/>
      <c r="Y132" s="48"/>
    </row>
    <row r="133" spans="1:25" x14ac:dyDescent="0.8">
      <c r="A133" s="18"/>
      <c r="B133" s="18"/>
      <c r="C133" s="18"/>
      <c r="D133" s="18"/>
      <c r="E133" s="18"/>
      <c r="F133" s="18"/>
      <c r="G133" s="18"/>
      <c r="H133" s="18"/>
      <c r="I133" s="18"/>
      <c r="J133" s="74"/>
      <c r="K133" s="48"/>
      <c r="L133" s="48"/>
      <c r="M133" s="48"/>
      <c r="N133" s="54"/>
      <c r="O133" s="48"/>
      <c r="P133" s="56"/>
      <c r="R133" s="48"/>
      <c r="S133" s="48"/>
      <c r="T133" s="48"/>
      <c r="U133" s="54"/>
      <c r="V133" s="48"/>
      <c r="W133" s="52"/>
      <c r="X133" s="48"/>
      <c r="Y133" s="48"/>
    </row>
    <row r="134" spans="1:25" x14ac:dyDescent="0.8">
      <c r="A134" s="18"/>
      <c r="B134" s="18"/>
      <c r="C134" s="18"/>
      <c r="D134" s="18"/>
      <c r="E134" s="18"/>
      <c r="F134" s="18"/>
      <c r="G134" s="18"/>
      <c r="H134" s="18"/>
      <c r="I134" s="18"/>
      <c r="J134" s="74"/>
      <c r="K134" s="48"/>
      <c r="L134" s="48"/>
      <c r="M134" s="48"/>
      <c r="N134" s="54"/>
      <c r="O134" s="48"/>
      <c r="P134" s="56"/>
      <c r="R134" s="48"/>
      <c r="S134" s="48"/>
      <c r="T134" s="48"/>
      <c r="U134" s="54"/>
      <c r="V134" s="48"/>
      <c r="W134" s="52"/>
      <c r="X134" s="48"/>
      <c r="Y134" s="48"/>
    </row>
    <row r="135" spans="1:25" x14ac:dyDescent="0.8">
      <c r="A135" s="18"/>
      <c r="B135" s="18"/>
      <c r="C135" s="18"/>
      <c r="D135" s="18"/>
      <c r="E135" s="18"/>
      <c r="F135" s="18"/>
      <c r="G135" s="18"/>
      <c r="H135" s="18"/>
      <c r="I135" s="18"/>
      <c r="J135" s="74"/>
      <c r="K135" s="48"/>
      <c r="L135" s="48"/>
      <c r="M135" s="48"/>
      <c r="N135" s="54"/>
      <c r="O135" s="48"/>
      <c r="P135" s="56"/>
      <c r="R135" s="48"/>
      <c r="S135" s="48"/>
      <c r="T135" s="48"/>
      <c r="U135" s="54"/>
      <c r="V135" s="48"/>
      <c r="W135" s="52"/>
      <c r="X135" s="48"/>
      <c r="Y135" s="48"/>
    </row>
    <row r="136" spans="1:25" x14ac:dyDescent="0.8">
      <c r="A136" s="18"/>
      <c r="B136" s="18"/>
      <c r="C136" s="18"/>
      <c r="D136" s="18"/>
      <c r="E136" s="18"/>
      <c r="F136" s="18"/>
      <c r="G136" s="18"/>
      <c r="H136" s="18"/>
      <c r="I136" s="18"/>
      <c r="J136" s="74"/>
      <c r="K136" s="48"/>
      <c r="L136" s="48"/>
      <c r="M136" s="48"/>
      <c r="N136" s="54"/>
      <c r="O136" s="48"/>
      <c r="P136" s="56"/>
      <c r="R136" s="48"/>
      <c r="S136" s="48"/>
      <c r="T136" s="48"/>
      <c r="U136" s="54"/>
      <c r="V136" s="48"/>
      <c r="W136" s="52"/>
      <c r="X136" s="48"/>
      <c r="Y136" s="48"/>
    </row>
    <row r="137" spans="1:25" x14ac:dyDescent="0.8">
      <c r="A137" s="18"/>
      <c r="B137" s="18"/>
      <c r="C137" s="18"/>
      <c r="D137" s="18"/>
      <c r="E137" s="18"/>
      <c r="F137" s="18"/>
      <c r="G137" s="18"/>
      <c r="H137" s="18"/>
      <c r="I137" s="18"/>
      <c r="J137" s="74"/>
      <c r="K137" s="48"/>
      <c r="L137" s="48"/>
      <c r="M137" s="48"/>
      <c r="N137" s="54"/>
      <c r="O137" s="48"/>
      <c r="P137" s="56"/>
      <c r="R137" s="48"/>
      <c r="S137" s="48"/>
      <c r="T137" s="48"/>
      <c r="U137" s="54"/>
      <c r="V137" s="48"/>
      <c r="W137" s="52"/>
      <c r="X137" s="48"/>
      <c r="Y137" s="48"/>
    </row>
    <row r="138" spans="1:25" x14ac:dyDescent="0.8">
      <c r="A138" s="18"/>
      <c r="B138" s="18"/>
      <c r="C138" s="18"/>
      <c r="D138" s="18"/>
      <c r="E138" s="18"/>
      <c r="F138" s="18"/>
      <c r="G138" s="18"/>
      <c r="H138" s="18"/>
      <c r="I138" s="18"/>
      <c r="J138" s="74"/>
      <c r="K138" s="48"/>
      <c r="L138" s="48"/>
      <c r="M138" s="48"/>
      <c r="N138" s="54"/>
      <c r="O138" s="48"/>
      <c r="P138" s="56"/>
      <c r="R138" s="48"/>
      <c r="S138" s="48"/>
      <c r="T138" s="48"/>
      <c r="U138" s="54"/>
      <c r="V138" s="48"/>
      <c r="W138" s="52"/>
      <c r="X138" s="48"/>
      <c r="Y138" s="48"/>
    </row>
    <row r="139" spans="1:25" x14ac:dyDescent="0.8">
      <c r="A139" s="18"/>
      <c r="B139" s="18"/>
      <c r="C139" s="18"/>
      <c r="D139" s="18"/>
      <c r="E139" s="18"/>
      <c r="F139" s="18"/>
      <c r="G139" s="18"/>
      <c r="H139" s="18"/>
      <c r="I139" s="18"/>
      <c r="J139" s="74"/>
      <c r="K139" s="48"/>
      <c r="L139" s="48"/>
      <c r="M139" s="48"/>
      <c r="N139" s="54"/>
      <c r="O139" s="48"/>
      <c r="P139" s="56"/>
      <c r="R139" s="48"/>
      <c r="S139" s="48"/>
      <c r="T139" s="48"/>
      <c r="U139" s="54"/>
      <c r="V139" s="48"/>
      <c r="W139" s="52"/>
      <c r="X139" s="48"/>
      <c r="Y139" s="48"/>
    </row>
    <row r="140" spans="1:25" x14ac:dyDescent="0.8">
      <c r="A140" s="18"/>
      <c r="B140" s="18"/>
      <c r="C140" s="18"/>
      <c r="D140" s="18"/>
      <c r="E140" s="18"/>
      <c r="F140" s="18"/>
      <c r="G140" s="18"/>
      <c r="H140" s="18"/>
      <c r="I140" s="18"/>
      <c r="J140" s="74"/>
      <c r="K140" s="48"/>
      <c r="L140" s="48"/>
      <c r="M140" s="48"/>
      <c r="N140" s="54"/>
      <c r="O140" s="48"/>
      <c r="P140" s="56"/>
      <c r="R140" s="48"/>
      <c r="S140" s="48"/>
      <c r="T140" s="48"/>
      <c r="U140" s="54"/>
      <c r="V140" s="48"/>
      <c r="W140" s="52"/>
      <c r="X140" s="48"/>
      <c r="Y140" s="48"/>
    </row>
    <row r="141" spans="1:25" x14ac:dyDescent="0.8">
      <c r="A141" s="18"/>
      <c r="B141" s="18"/>
      <c r="C141" s="18"/>
      <c r="D141" s="18"/>
      <c r="E141" s="18"/>
      <c r="F141" s="18"/>
      <c r="G141" s="18"/>
      <c r="H141" s="18"/>
      <c r="I141" s="18"/>
      <c r="J141" s="74"/>
      <c r="K141" s="48"/>
      <c r="L141" s="48"/>
      <c r="M141" s="48"/>
      <c r="N141" s="54"/>
      <c r="O141" s="48"/>
      <c r="P141" s="56"/>
      <c r="R141" s="48"/>
      <c r="S141" s="48"/>
      <c r="T141" s="48"/>
      <c r="U141" s="54"/>
      <c r="V141" s="48"/>
      <c r="W141" s="52"/>
      <c r="X141" s="48"/>
      <c r="Y141" s="48"/>
    </row>
    <row r="142" spans="1:25" x14ac:dyDescent="0.8">
      <c r="A142" s="18"/>
      <c r="B142" s="18"/>
      <c r="C142" s="18"/>
      <c r="D142" s="18"/>
      <c r="E142" s="18"/>
      <c r="F142" s="18"/>
      <c r="G142" s="18"/>
      <c r="H142" s="18"/>
      <c r="I142" s="18"/>
      <c r="J142" s="74"/>
      <c r="K142" s="48"/>
      <c r="L142" s="48"/>
      <c r="M142" s="48"/>
      <c r="N142" s="54"/>
      <c r="O142" s="48"/>
      <c r="P142" s="56"/>
      <c r="R142" s="48"/>
      <c r="S142" s="48"/>
      <c r="T142" s="48"/>
      <c r="U142" s="54"/>
      <c r="V142" s="48"/>
      <c r="W142" s="52"/>
      <c r="X142" s="48"/>
      <c r="Y142" s="48"/>
    </row>
    <row r="143" spans="1:25" x14ac:dyDescent="0.8">
      <c r="A143" s="18"/>
      <c r="B143" s="18"/>
      <c r="C143" s="18"/>
      <c r="D143" s="18"/>
      <c r="E143" s="18"/>
      <c r="F143" s="18"/>
      <c r="G143" s="18"/>
      <c r="H143" s="18"/>
      <c r="I143" s="18"/>
      <c r="J143" s="74"/>
      <c r="K143" s="48"/>
      <c r="L143" s="48"/>
      <c r="M143" s="48"/>
      <c r="N143" s="54"/>
      <c r="O143" s="48"/>
      <c r="P143" s="56"/>
      <c r="R143" s="48"/>
      <c r="S143" s="48"/>
      <c r="T143" s="48"/>
      <c r="U143" s="54"/>
      <c r="V143" s="48"/>
      <c r="W143" s="52"/>
      <c r="X143" s="48"/>
      <c r="Y143" s="48"/>
    </row>
    <row r="144" spans="1:25" x14ac:dyDescent="0.8">
      <c r="A144" s="18"/>
      <c r="B144" s="18"/>
      <c r="C144" s="18"/>
      <c r="D144" s="18"/>
      <c r="E144" s="18"/>
      <c r="F144" s="18"/>
      <c r="G144" s="18"/>
      <c r="H144" s="18"/>
      <c r="I144" s="18"/>
      <c r="J144" s="74"/>
      <c r="K144" s="48"/>
      <c r="L144" s="48"/>
      <c r="M144" s="48"/>
      <c r="N144" s="54"/>
      <c r="O144" s="48"/>
      <c r="P144" s="56"/>
      <c r="R144" s="48"/>
      <c r="S144" s="48"/>
      <c r="T144" s="48"/>
      <c r="U144" s="54"/>
      <c r="V144" s="48"/>
      <c r="W144" s="52"/>
      <c r="X144" s="48"/>
      <c r="Y144" s="48"/>
    </row>
    <row r="145" spans="1:25" x14ac:dyDescent="0.8">
      <c r="A145" s="18"/>
      <c r="B145" s="18"/>
      <c r="C145" s="18"/>
      <c r="D145" s="18"/>
      <c r="E145" s="18"/>
      <c r="F145" s="18"/>
      <c r="G145" s="18"/>
      <c r="H145" s="18"/>
      <c r="I145" s="18"/>
      <c r="J145" s="74"/>
      <c r="K145" s="48"/>
      <c r="L145" s="48"/>
      <c r="M145" s="48"/>
      <c r="N145" s="54"/>
      <c r="O145" s="48"/>
      <c r="P145" s="56"/>
      <c r="R145" s="48"/>
      <c r="S145" s="48"/>
      <c r="T145" s="48"/>
      <c r="U145" s="54"/>
      <c r="V145" s="48"/>
      <c r="W145" s="52"/>
      <c r="X145" s="48"/>
      <c r="Y145" s="48"/>
    </row>
    <row r="146" spans="1:25" x14ac:dyDescent="0.8">
      <c r="A146" s="18"/>
      <c r="B146" s="18"/>
      <c r="C146" s="18"/>
      <c r="D146" s="18"/>
      <c r="E146" s="18"/>
      <c r="F146" s="18"/>
      <c r="G146" s="18"/>
      <c r="H146" s="18"/>
      <c r="I146" s="18"/>
      <c r="J146" s="74"/>
      <c r="K146" s="48"/>
      <c r="L146" s="48"/>
      <c r="M146" s="48"/>
      <c r="N146" s="54"/>
      <c r="O146" s="48"/>
      <c r="P146" s="56"/>
      <c r="R146" s="48"/>
      <c r="S146" s="48"/>
      <c r="T146" s="48"/>
      <c r="U146" s="54"/>
      <c r="V146" s="48"/>
      <c r="W146" s="52"/>
      <c r="X146" s="48"/>
      <c r="Y146" s="48"/>
    </row>
    <row r="147" spans="1:25" x14ac:dyDescent="0.8">
      <c r="A147" s="18"/>
      <c r="B147" s="18"/>
      <c r="C147" s="18"/>
      <c r="D147" s="18"/>
      <c r="E147" s="18"/>
      <c r="F147" s="18"/>
      <c r="G147" s="18"/>
      <c r="H147" s="18"/>
      <c r="I147" s="18"/>
      <c r="J147" s="74"/>
      <c r="K147" s="48"/>
      <c r="L147" s="48"/>
      <c r="M147" s="48"/>
      <c r="N147" s="54"/>
      <c r="O147" s="48"/>
      <c r="P147" s="56"/>
      <c r="R147" s="48"/>
      <c r="S147" s="48"/>
      <c r="T147" s="48"/>
      <c r="U147" s="54"/>
      <c r="V147" s="48"/>
      <c r="W147" s="52"/>
      <c r="X147" s="48"/>
      <c r="Y147" s="48"/>
    </row>
    <row r="148" spans="1:25" x14ac:dyDescent="0.8">
      <c r="A148" s="18"/>
      <c r="B148" s="18"/>
      <c r="C148" s="18"/>
      <c r="D148" s="18"/>
      <c r="E148" s="18"/>
      <c r="F148" s="18"/>
      <c r="G148" s="18"/>
      <c r="H148" s="18"/>
      <c r="I148" s="18"/>
      <c r="J148" s="74"/>
      <c r="K148" s="48"/>
      <c r="L148" s="48"/>
      <c r="M148" s="48"/>
      <c r="N148" s="54"/>
      <c r="O148" s="48"/>
      <c r="P148" s="56"/>
      <c r="R148" s="48"/>
      <c r="S148" s="48"/>
      <c r="T148" s="48"/>
      <c r="U148" s="54"/>
      <c r="V148" s="48"/>
      <c r="W148" s="52"/>
      <c r="X148" s="48"/>
      <c r="Y148" s="48"/>
    </row>
    <row r="149" spans="1:25" x14ac:dyDescent="0.8">
      <c r="A149" s="18"/>
      <c r="B149" s="18"/>
      <c r="C149" s="18"/>
      <c r="D149" s="18"/>
      <c r="E149" s="18"/>
      <c r="F149" s="18"/>
      <c r="G149" s="18"/>
      <c r="H149" s="18"/>
      <c r="I149" s="18"/>
      <c r="J149" s="74"/>
      <c r="K149" s="48"/>
      <c r="L149" s="48"/>
      <c r="M149" s="48"/>
      <c r="N149" s="54"/>
      <c r="O149" s="48"/>
      <c r="P149" s="56"/>
      <c r="R149" s="48"/>
      <c r="S149" s="48"/>
      <c r="T149" s="48"/>
      <c r="U149" s="54"/>
      <c r="V149" s="48"/>
      <c r="W149" s="52"/>
      <c r="X149" s="48"/>
      <c r="Y149" s="48"/>
    </row>
    <row r="150" spans="1:25" x14ac:dyDescent="0.8">
      <c r="A150" s="18"/>
      <c r="B150" s="18"/>
      <c r="C150" s="18"/>
      <c r="D150" s="18"/>
      <c r="E150" s="18"/>
      <c r="F150" s="18"/>
      <c r="G150" s="18"/>
      <c r="H150" s="18"/>
      <c r="I150" s="18"/>
      <c r="J150" s="74"/>
      <c r="K150" s="48"/>
      <c r="L150" s="48"/>
      <c r="M150" s="48"/>
      <c r="N150" s="54"/>
      <c r="O150" s="48"/>
      <c r="P150" s="56"/>
      <c r="R150" s="48"/>
      <c r="S150" s="48"/>
      <c r="T150" s="48"/>
      <c r="U150" s="54"/>
      <c r="V150" s="48"/>
      <c r="W150" s="52"/>
      <c r="X150" s="48"/>
      <c r="Y150" s="48"/>
    </row>
    <row r="151" spans="1:25" x14ac:dyDescent="0.8">
      <c r="A151" s="18"/>
      <c r="B151" s="18"/>
      <c r="C151" s="18"/>
      <c r="D151" s="18"/>
      <c r="E151" s="18"/>
      <c r="F151" s="18"/>
      <c r="G151" s="18"/>
      <c r="H151" s="18"/>
      <c r="I151" s="18"/>
      <c r="J151" s="74"/>
      <c r="K151" s="48"/>
      <c r="L151" s="48"/>
      <c r="M151" s="48"/>
      <c r="N151" s="54"/>
      <c r="O151" s="48"/>
      <c r="P151" s="56"/>
      <c r="R151" s="48"/>
      <c r="S151" s="48"/>
      <c r="T151" s="48"/>
      <c r="U151" s="54"/>
      <c r="V151" s="48"/>
      <c r="W151" s="52"/>
      <c r="X151" s="48"/>
      <c r="Y151" s="48"/>
    </row>
    <row r="152" spans="1:25" x14ac:dyDescent="0.8">
      <c r="A152" s="18"/>
      <c r="B152" s="18"/>
      <c r="C152" s="18"/>
      <c r="D152" s="18"/>
      <c r="E152" s="18"/>
      <c r="F152" s="18"/>
      <c r="G152" s="18"/>
      <c r="H152" s="18"/>
      <c r="I152" s="18"/>
      <c r="J152" s="74"/>
      <c r="K152" s="48"/>
      <c r="L152" s="48"/>
      <c r="M152" s="48"/>
      <c r="N152" s="54"/>
      <c r="O152" s="48"/>
      <c r="P152" s="56"/>
      <c r="R152" s="48"/>
      <c r="S152" s="48"/>
      <c r="T152" s="48"/>
      <c r="U152" s="54"/>
      <c r="V152" s="48"/>
      <c r="W152" s="52"/>
      <c r="X152" s="48"/>
      <c r="Y152" s="48"/>
    </row>
    <row r="153" spans="1:25" x14ac:dyDescent="0.8">
      <c r="A153" s="18"/>
      <c r="B153" s="18"/>
      <c r="C153" s="18"/>
      <c r="D153" s="18"/>
      <c r="E153" s="18"/>
      <c r="F153" s="18"/>
      <c r="G153" s="18"/>
      <c r="H153" s="18"/>
      <c r="I153" s="18"/>
      <c r="J153" s="74"/>
      <c r="K153" s="48"/>
      <c r="L153" s="48"/>
      <c r="M153" s="48"/>
      <c r="N153" s="54"/>
      <c r="O153" s="48"/>
      <c r="P153" s="56"/>
      <c r="R153" s="48"/>
      <c r="S153" s="48"/>
      <c r="T153" s="48"/>
      <c r="U153" s="54"/>
      <c r="V153" s="48"/>
      <c r="W153" s="52"/>
      <c r="X153" s="48"/>
      <c r="Y153" s="48"/>
    </row>
    <row r="154" spans="1:25" x14ac:dyDescent="0.8">
      <c r="A154" s="18"/>
      <c r="B154" s="18"/>
      <c r="C154" s="18"/>
      <c r="D154" s="18"/>
      <c r="E154" s="18"/>
      <c r="F154" s="18"/>
      <c r="G154" s="18"/>
      <c r="H154" s="18"/>
      <c r="I154" s="18"/>
      <c r="J154" s="74"/>
      <c r="K154" s="48"/>
      <c r="L154" s="48"/>
      <c r="M154" s="48"/>
      <c r="N154" s="54"/>
      <c r="O154" s="48"/>
      <c r="P154" s="56"/>
      <c r="R154" s="48"/>
      <c r="S154" s="48"/>
      <c r="T154" s="48"/>
      <c r="U154" s="54"/>
      <c r="V154" s="48"/>
      <c r="W154" s="52"/>
      <c r="X154" s="48"/>
      <c r="Y154" s="48"/>
    </row>
    <row r="155" spans="1:25" x14ac:dyDescent="0.8">
      <c r="A155" s="18"/>
      <c r="B155" s="18"/>
      <c r="C155" s="18"/>
      <c r="D155" s="18"/>
      <c r="E155" s="18"/>
      <c r="F155" s="18"/>
      <c r="G155" s="18"/>
      <c r="H155" s="18"/>
      <c r="I155" s="18"/>
      <c r="J155" s="74"/>
      <c r="K155" s="48"/>
      <c r="L155" s="48"/>
      <c r="M155" s="48"/>
      <c r="N155" s="54"/>
      <c r="O155" s="48"/>
      <c r="P155" s="56"/>
      <c r="R155" s="48"/>
      <c r="S155" s="48"/>
      <c r="T155" s="48"/>
      <c r="U155" s="54"/>
      <c r="V155" s="48"/>
      <c r="W155" s="52"/>
      <c r="X155" s="48"/>
      <c r="Y155" s="48"/>
    </row>
    <row r="156" spans="1:25" x14ac:dyDescent="0.8">
      <c r="A156" s="18"/>
      <c r="B156" s="18"/>
      <c r="C156" s="18"/>
      <c r="D156" s="18"/>
      <c r="E156" s="18"/>
      <c r="F156" s="18"/>
      <c r="G156" s="18"/>
      <c r="H156" s="18"/>
      <c r="I156" s="18"/>
      <c r="J156" s="74"/>
      <c r="K156" s="48"/>
      <c r="L156" s="48"/>
      <c r="M156" s="48"/>
      <c r="N156" s="54"/>
      <c r="O156" s="48"/>
      <c r="P156" s="56"/>
      <c r="R156" s="48"/>
      <c r="S156" s="48"/>
      <c r="T156" s="48"/>
      <c r="U156" s="54"/>
      <c r="V156" s="48"/>
      <c r="W156" s="52"/>
      <c r="X156" s="48"/>
      <c r="Y156" s="48"/>
    </row>
    <row r="157" spans="1:25" x14ac:dyDescent="0.8">
      <c r="A157" s="18"/>
      <c r="B157" s="18"/>
      <c r="C157" s="18"/>
      <c r="D157" s="18"/>
      <c r="E157" s="18"/>
      <c r="F157" s="18"/>
      <c r="G157" s="18"/>
      <c r="H157" s="18"/>
      <c r="I157" s="18"/>
      <c r="J157" s="74"/>
      <c r="K157" s="48"/>
      <c r="L157" s="48"/>
      <c r="M157" s="48"/>
      <c r="N157" s="54"/>
      <c r="O157" s="48"/>
      <c r="P157" s="56"/>
      <c r="R157" s="48"/>
      <c r="S157" s="48"/>
      <c r="T157" s="48"/>
      <c r="U157" s="54"/>
      <c r="V157" s="48"/>
      <c r="W157" s="52"/>
      <c r="X157" s="48"/>
      <c r="Y157" s="48"/>
    </row>
    <row r="158" spans="1:25" x14ac:dyDescent="0.8">
      <c r="A158" s="18"/>
      <c r="B158" s="18"/>
      <c r="C158" s="18"/>
      <c r="D158" s="18"/>
      <c r="E158" s="18"/>
      <c r="F158" s="18"/>
      <c r="G158" s="18"/>
      <c r="H158" s="18"/>
      <c r="I158" s="18"/>
      <c r="J158" s="74"/>
      <c r="K158" s="48"/>
      <c r="L158" s="48"/>
      <c r="M158" s="48"/>
      <c r="N158" s="54"/>
      <c r="O158" s="48"/>
      <c r="P158" s="56"/>
      <c r="R158" s="48"/>
      <c r="S158" s="48"/>
      <c r="T158" s="48"/>
      <c r="U158" s="54"/>
      <c r="V158" s="48"/>
      <c r="W158" s="52"/>
      <c r="X158" s="48"/>
      <c r="Y158" s="48"/>
    </row>
    <row r="159" spans="1:25" x14ac:dyDescent="0.8">
      <c r="A159" s="18"/>
      <c r="B159" s="18"/>
      <c r="C159" s="18"/>
      <c r="D159" s="18"/>
      <c r="E159" s="18"/>
      <c r="F159" s="18"/>
      <c r="G159" s="18"/>
      <c r="H159" s="18"/>
      <c r="I159" s="18"/>
      <c r="J159" s="74"/>
      <c r="K159" s="48"/>
      <c r="L159" s="48"/>
      <c r="M159" s="48"/>
      <c r="N159" s="54"/>
      <c r="O159" s="48"/>
      <c r="P159" s="56"/>
      <c r="R159" s="48"/>
      <c r="S159" s="48"/>
      <c r="T159" s="48"/>
      <c r="U159" s="54"/>
      <c r="V159" s="48"/>
      <c r="W159" s="52"/>
      <c r="X159" s="48"/>
      <c r="Y159" s="48"/>
    </row>
    <row r="160" spans="1:25" x14ac:dyDescent="0.8">
      <c r="A160" s="18"/>
      <c r="B160" s="18"/>
      <c r="C160" s="18"/>
      <c r="D160" s="18"/>
      <c r="E160" s="18"/>
      <c r="F160" s="18"/>
      <c r="G160" s="18"/>
      <c r="H160" s="18"/>
      <c r="I160" s="18"/>
      <c r="J160" s="74"/>
      <c r="K160" s="48"/>
      <c r="L160" s="48"/>
      <c r="M160" s="48"/>
      <c r="N160" s="54"/>
      <c r="O160" s="48"/>
      <c r="P160" s="56"/>
      <c r="R160" s="48"/>
      <c r="S160" s="48"/>
      <c r="T160" s="48"/>
      <c r="U160" s="54"/>
      <c r="V160" s="48"/>
      <c r="W160" s="52"/>
      <c r="X160" s="48"/>
      <c r="Y160" s="48"/>
    </row>
    <row r="161" spans="1:25" x14ac:dyDescent="0.8">
      <c r="A161" s="18"/>
      <c r="B161" s="18"/>
      <c r="C161" s="18"/>
      <c r="D161" s="18"/>
      <c r="E161" s="18"/>
      <c r="F161" s="18"/>
      <c r="G161" s="18"/>
      <c r="H161" s="18"/>
      <c r="I161" s="18"/>
      <c r="J161" s="74"/>
      <c r="K161" s="48"/>
      <c r="L161" s="48"/>
      <c r="M161" s="48"/>
      <c r="N161" s="54"/>
      <c r="O161" s="48"/>
      <c r="P161" s="56"/>
      <c r="R161" s="48"/>
      <c r="S161" s="48"/>
      <c r="T161" s="48"/>
      <c r="U161" s="54"/>
      <c r="V161" s="48"/>
      <c r="W161" s="52"/>
      <c r="X161" s="48"/>
      <c r="Y161" s="48"/>
    </row>
    <row r="162" spans="1:25" x14ac:dyDescent="0.8">
      <c r="A162" s="18"/>
      <c r="B162" s="18"/>
      <c r="C162" s="18"/>
      <c r="D162" s="18"/>
      <c r="E162" s="18"/>
      <c r="F162" s="18"/>
      <c r="G162" s="18"/>
      <c r="H162" s="18"/>
      <c r="I162" s="18"/>
      <c r="J162" s="74"/>
      <c r="K162" s="48"/>
      <c r="L162" s="48"/>
      <c r="M162" s="48"/>
      <c r="N162" s="54"/>
      <c r="O162" s="48"/>
      <c r="P162" s="56"/>
      <c r="R162" s="48"/>
      <c r="S162" s="48"/>
      <c r="T162" s="48"/>
      <c r="U162" s="54"/>
      <c r="V162" s="48"/>
      <c r="W162" s="52"/>
      <c r="X162" s="48"/>
      <c r="Y162" s="48"/>
    </row>
    <row r="163" spans="1:25" x14ac:dyDescent="0.8">
      <c r="A163" s="18"/>
      <c r="B163" s="18"/>
      <c r="C163" s="18"/>
      <c r="D163" s="18"/>
      <c r="E163" s="18"/>
      <c r="F163" s="18"/>
      <c r="G163" s="18"/>
      <c r="H163" s="18"/>
      <c r="I163" s="18"/>
      <c r="J163" s="74"/>
      <c r="K163" s="48"/>
      <c r="L163" s="48"/>
      <c r="M163" s="48"/>
      <c r="N163" s="54"/>
      <c r="O163" s="48"/>
      <c r="P163" s="56"/>
      <c r="R163" s="48"/>
      <c r="S163" s="48"/>
      <c r="T163" s="48"/>
      <c r="U163" s="54"/>
      <c r="V163" s="48"/>
      <c r="W163" s="52"/>
      <c r="X163" s="48"/>
      <c r="Y163" s="48"/>
    </row>
    <row r="164" spans="1:25" x14ac:dyDescent="0.8">
      <c r="A164" s="18"/>
      <c r="B164" s="18"/>
      <c r="C164" s="18"/>
      <c r="D164" s="18"/>
      <c r="E164" s="18"/>
      <c r="F164" s="18"/>
      <c r="G164" s="18"/>
      <c r="H164" s="18"/>
      <c r="I164" s="18"/>
      <c r="J164" s="74"/>
      <c r="K164" s="48"/>
      <c r="L164" s="48"/>
      <c r="M164" s="48"/>
      <c r="N164" s="54"/>
      <c r="O164" s="48"/>
      <c r="P164" s="56"/>
      <c r="R164" s="48"/>
      <c r="S164" s="48"/>
      <c r="T164" s="48"/>
      <c r="U164" s="54"/>
      <c r="V164" s="48"/>
      <c r="W164" s="52"/>
      <c r="X164" s="48"/>
      <c r="Y164" s="48"/>
    </row>
    <row r="165" spans="1:25" x14ac:dyDescent="0.8">
      <c r="A165" s="18"/>
      <c r="B165" s="18"/>
      <c r="C165" s="18"/>
      <c r="D165" s="18"/>
      <c r="E165" s="18"/>
      <c r="F165" s="18"/>
      <c r="G165" s="18"/>
      <c r="H165" s="18"/>
      <c r="I165" s="18"/>
      <c r="J165" s="74"/>
      <c r="K165" s="48"/>
      <c r="L165" s="48"/>
      <c r="M165" s="48"/>
      <c r="N165" s="54"/>
      <c r="O165" s="48"/>
      <c r="P165" s="56"/>
      <c r="R165" s="48"/>
      <c r="S165" s="48"/>
      <c r="T165" s="48"/>
      <c r="U165" s="54"/>
      <c r="V165" s="48"/>
      <c r="W165" s="52"/>
      <c r="X165" s="48"/>
      <c r="Y165" s="48"/>
    </row>
    <row r="166" spans="1:25" x14ac:dyDescent="0.8">
      <c r="A166" s="18"/>
      <c r="B166" s="18"/>
      <c r="C166" s="18"/>
      <c r="D166" s="18"/>
      <c r="E166" s="18"/>
      <c r="F166" s="18"/>
      <c r="G166" s="18"/>
      <c r="H166" s="18"/>
      <c r="I166" s="18"/>
      <c r="J166" s="74"/>
      <c r="K166" s="48"/>
      <c r="L166" s="48"/>
      <c r="M166" s="48"/>
      <c r="N166" s="54"/>
      <c r="O166" s="48"/>
      <c r="P166" s="56"/>
      <c r="R166" s="48"/>
      <c r="S166" s="48"/>
      <c r="T166" s="48"/>
      <c r="U166" s="54"/>
      <c r="V166" s="48"/>
      <c r="W166" s="52"/>
      <c r="X166" s="48"/>
      <c r="Y166" s="48"/>
    </row>
    <row r="167" spans="1:25" x14ac:dyDescent="0.8">
      <c r="A167" s="18"/>
      <c r="B167" s="18"/>
      <c r="C167" s="18"/>
      <c r="D167" s="18"/>
      <c r="E167" s="18"/>
      <c r="F167" s="18"/>
      <c r="G167" s="18"/>
      <c r="H167" s="18"/>
      <c r="I167" s="18"/>
      <c r="J167" s="74"/>
      <c r="K167" s="48"/>
      <c r="L167" s="48"/>
      <c r="M167" s="48"/>
      <c r="N167" s="54"/>
      <c r="O167" s="48"/>
      <c r="P167" s="56"/>
      <c r="R167" s="48"/>
      <c r="S167" s="48"/>
      <c r="T167" s="48"/>
      <c r="U167" s="54"/>
      <c r="V167" s="48"/>
      <c r="W167" s="52"/>
      <c r="X167" s="48"/>
      <c r="Y167" s="48"/>
    </row>
    <row r="168" spans="1:25" x14ac:dyDescent="0.8">
      <c r="A168" s="18"/>
      <c r="B168" s="18"/>
      <c r="C168" s="18"/>
      <c r="D168" s="18"/>
      <c r="E168" s="18"/>
      <c r="F168" s="18"/>
      <c r="G168" s="18"/>
      <c r="H168" s="18"/>
      <c r="I168" s="18"/>
      <c r="J168" s="74"/>
      <c r="K168" s="48"/>
      <c r="L168" s="48"/>
      <c r="M168" s="48"/>
      <c r="N168" s="54"/>
      <c r="O168" s="48"/>
      <c r="P168" s="56"/>
      <c r="R168" s="48"/>
      <c r="S168" s="48"/>
      <c r="T168" s="48"/>
      <c r="U168" s="54"/>
      <c r="V168" s="48"/>
      <c r="W168" s="52"/>
      <c r="X168" s="48"/>
      <c r="Y168" s="48"/>
    </row>
    <row r="169" spans="1:25" x14ac:dyDescent="0.8">
      <c r="A169" s="18"/>
      <c r="B169" s="18"/>
      <c r="C169" s="18"/>
      <c r="D169" s="18"/>
      <c r="E169" s="18"/>
      <c r="F169" s="18"/>
      <c r="G169" s="18"/>
      <c r="H169" s="18"/>
      <c r="I169" s="18"/>
      <c r="J169" s="74"/>
      <c r="K169" s="48"/>
      <c r="L169" s="48"/>
      <c r="M169" s="48"/>
      <c r="N169" s="54"/>
      <c r="O169" s="48"/>
      <c r="P169" s="56"/>
      <c r="R169" s="48"/>
      <c r="S169" s="48"/>
      <c r="T169" s="48"/>
      <c r="U169" s="54"/>
      <c r="V169" s="48"/>
      <c r="W169" s="52"/>
      <c r="X169" s="48"/>
      <c r="Y169" s="48"/>
    </row>
    <row r="170" spans="1:25" x14ac:dyDescent="0.8">
      <c r="A170" s="18"/>
      <c r="B170" s="18"/>
      <c r="C170" s="18"/>
      <c r="D170" s="18"/>
      <c r="E170" s="18"/>
      <c r="F170" s="18"/>
      <c r="G170" s="18"/>
      <c r="H170" s="18"/>
      <c r="I170" s="18"/>
      <c r="J170" s="74"/>
      <c r="K170" s="48"/>
      <c r="L170" s="48"/>
      <c r="M170" s="48"/>
      <c r="N170" s="54"/>
      <c r="O170" s="48"/>
      <c r="P170" s="56"/>
      <c r="R170" s="48"/>
      <c r="S170" s="48"/>
      <c r="T170" s="48"/>
      <c r="U170" s="54"/>
      <c r="V170" s="48"/>
      <c r="W170" s="52"/>
      <c r="X170" s="48"/>
      <c r="Y170" s="48"/>
    </row>
    <row r="171" spans="1:25" x14ac:dyDescent="0.8">
      <c r="A171" s="18"/>
      <c r="B171" s="18"/>
      <c r="C171" s="18"/>
      <c r="D171" s="18"/>
      <c r="E171" s="18"/>
      <c r="F171" s="18"/>
      <c r="G171" s="18"/>
      <c r="H171" s="18"/>
      <c r="I171" s="18"/>
      <c r="J171" s="74"/>
      <c r="K171" s="48"/>
      <c r="L171" s="48"/>
      <c r="M171" s="48"/>
      <c r="N171" s="54"/>
      <c r="O171" s="48"/>
      <c r="P171" s="56"/>
      <c r="R171" s="48"/>
      <c r="S171" s="48"/>
      <c r="T171" s="48"/>
      <c r="U171" s="54"/>
      <c r="V171" s="48"/>
      <c r="W171" s="52"/>
      <c r="X171" s="48"/>
      <c r="Y171" s="48"/>
    </row>
    <row r="172" spans="1:25" x14ac:dyDescent="0.8">
      <c r="A172" s="18"/>
      <c r="B172" s="18"/>
      <c r="C172" s="18"/>
      <c r="D172" s="18"/>
      <c r="E172" s="18"/>
      <c r="F172" s="18"/>
      <c r="G172" s="18"/>
      <c r="H172" s="18"/>
      <c r="I172" s="18"/>
      <c r="J172" s="74"/>
      <c r="K172" s="48"/>
      <c r="L172" s="48"/>
      <c r="M172" s="48"/>
      <c r="N172" s="54"/>
      <c r="O172" s="48"/>
      <c r="P172" s="56"/>
      <c r="R172" s="48"/>
      <c r="S172" s="48"/>
      <c r="T172" s="48"/>
      <c r="U172" s="54"/>
      <c r="V172" s="48"/>
      <c r="W172" s="52"/>
      <c r="X172" s="48"/>
      <c r="Y172" s="48"/>
    </row>
    <row r="173" spans="1:25" x14ac:dyDescent="0.8">
      <c r="A173" s="18"/>
      <c r="B173" s="18"/>
      <c r="C173" s="18"/>
      <c r="D173" s="18"/>
      <c r="E173" s="18"/>
      <c r="F173" s="18"/>
      <c r="G173" s="18"/>
      <c r="H173" s="18"/>
      <c r="I173" s="18"/>
      <c r="J173" s="74"/>
      <c r="K173" s="48"/>
      <c r="L173" s="48"/>
      <c r="M173" s="48"/>
      <c r="N173" s="54"/>
      <c r="O173" s="48"/>
      <c r="P173" s="56"/>
      <c r="R173" s="48"/>
      <c r="S173" s="48"/>
      <c r="T173" s="48"/>
      <c r="U173" s="54"/>
      <c r="V173" s="48"/>
      <c r="W173" s="52"/>
      <c r="X173" s="48"/>
      <c r="Y173" s="48"/>
    </row>
    <row r="174" spans="1:25" x14ac:dyDescent="0.8">
      <c r="A174" s="18"/>
      <c r="B174" s="18"/>
      <c r="C174" s="18"/>
      <c r="D174" s="18"/>
      <c r="E174" s="18"/>
      <c r="F174" s="18"/>
      <c r="G174" s="18"/>
      <c r="H174" s="18"/>
      <c r="I174" s="18"/>
      <c r="J174" s="74"/>
      <c r="K174" s="48"/>
      <c r="L174" s="48"/>
      <c r="M174" s="48"/>
      <c r="N174" s="54"/>
      <c r="O174" s="48"/>
      <c r="P174" s="56"/>
      <c r="R174" s="48"/>
      <c r="S174" s="48"/>
      <c r="T174" s="48"/>
      <c r="U174" s="54"/>
      <c r="V174" s="48"/>
      <c r="W174" s="52"/>
      <c r="X174" s="48"/>
      <c r="Y174" s="48"/>
    </row>
    <row r="175" spans="1:25" x14ac:dyDescent="0.8">
      <c r="A175" s="18"/>
      <c r="B175" s="18"/>
      <c r="C175" s="18"/>
      <c r="D175" s="18"/>
      <c r="E175" s="18"/>
      <c r="F175" s="18"/>
      <c r="G175" s="18"/>
      <c r="H175" s="18"/>
      <c r="I175" s="18"/>
      <c r="J175" s="74"/>
      <c r="K175" s="48"/>
      <c r="L175" s="48"/>
      <c r="M175" s="48"/>
      <c r="N175" s="54"/>
      <c r="O175" s="48"/>
      <c r="P175" s="56"/>
      <c r="R175" s="48"/>
      <c r="S175" s="48"/>
      <c r="T175" s="48"/>
      <c r="U175" s="54"/>
      <c r="V175" s="48"/>
      <c r="W175" s="52"/>
      <c r="X175" s="48"/>
      <c r="Y175" s="48"/>
    </row>
    <row r="176" spans="1:25" x14ac:dyDescent="0.8">
      <c r="A176" s="18"/>
      <c r="B176" s="18"/>
      <c r="C176" s="18"/>
      <c r="D176" s="18"/>
      <c r="E176" s="18"/>
      <c r="F176" s="18"/>
      <c r="G176" s="18"/>
      <c r="H176" s="18"/>
      <c r="I176" s="18"/>
      <c r="J176" s="74"/>
      <c r="K176" s="48"/>
      <c r="L176" s="48"/>
      <c r="M176" s="48"/>
      <c r="N176" s="54"/>
      <c r="O176" s="48"/>
      <c r="P176" s="56"/>
      <c r="R176" s="48"/>
      <c r="S176" s="48"/>
      <c r="T176" s="48"/>
      <c r="U176" s="54"/>
      <c r="V176" s="48"/>
      <c r="W176" s="52"/>
      <c r="X176" s="48"/>
      <c r="Y176" s="48"/>
    </row>
    <row r="177" spans="1:25" x14ac:dyDescent="0.8">
      <c r="A177" s="18"/>
      <c r="B177" s="18"/>
      <c r="C177" s="18"/>
      <c r="D177" s="18"/>
      <c r="E177" s="18"/>
      <c r="F177" s="18"/>
      <c r="G177" s="18"/>
      <c r="H177" s="18"/>
      <c r="I177" s="18"/>
      <c r="J177" s="74"/>
      <c r="K177" s="48"/>
      <c r="L177" s="48"/>
      <c r="M177" s="48"/>
      <c r="N177" s="54"/>
      <c r="O177" s="48"/>
      <c r="P177" s="56"/>
      <c r="R177" s="48"/>
      <c r="S177" s="48"/>
      <c r="T177" s="48"/>
      <c r="U177" s="54"/>
      <c r="V177" s="48"/>
      <c r="W177" s="52"/>
      <c r="X177" s="48"/>
      <c r="Y177" s="48"/>
    </row>
    <row r="178" spans="1:25" x14ac:dyDescent="0.8">
      <c r="A178" s="18"/>
      <c r="B178" s="18"/>
      <c r="C178" s="18"/>
      <c r="D178" s="18"/>
      <c r="E178" s="18"/>
      <c r="F178" s="18"/>
      <c r="G178" s="18"/>
      <c r="H178" s="18"/>
      <c r="I178" s="18"/>
      <c r="J178" s="74"/>
      <c r="K178" s="48"/>
      <c r="L178" s="48"/>
      <c r="M178" s="48"/>
      <c r="N178" s="54"/>
      <c r="O178" s="48"/>
      <c r="P178" s="56"/>
      <c r="R178" s="48"/>
      <c r="S178" s="48"/>
      <c r="T178" s="48"/>
      <c r="U178" s="54"/>
      <c r="V178" s="48"/>
      <c r="W178" s="52"/>
      <c r="X178" s="48"/>
      <c r="Y178" s="48"/>
    </row>
    <row r="179" spans="1:25" x14ac:dyDescent="0.8">
      <c r="A179" s="18"/>
      <c r="B179" s="18"/>
      <c r="C179" s="18"/>
      <c r="D179" s="18"/>
      <c r="E179" s="18"/>
      <c r="F179" s="18"/>
      <c r="G179" s="18"/>
      <c r="H179" s="18"/>
      <c r="I179" s="18"/>
      <c r="J179" s="74"/>
      <c r="K179" s="48"/>
      <c r="L179" s="48"/>
      <c r="M179" s="48"/>
      <c r="N179" s="54"/>
      <c r="O179" s="48"/>
      <c r="P179" s="56"/>
      <c r="R179" s="48"/>
      <c r="S179" s="48"/>
      <c r="T179" s="48"/>
      <c r="U179" s="54"/>
      <c r="V179" s="48"/>
      <c r="W179" s="52"/>
      <c r="X179" s="48"/>
      <c r="Y179" s="48"/>
    </row>
    <row r="180" spans="1:25" x14ac:dyDescent="0.8">
      <c r="A180" s="18"/>
      <c r="B180" s="18"/>
      <c r="C180" s="18"/>
      <c r="D180" s="18"/>
      <c r="E180" s="18"/>
      <c r="F180" s="18"/>
      <c r="G180" s="18"/>
      <c r="H180" s="18"/>
      <c r="I180" s="18"/>
      <c r="J180" s="74"/>
      <c r="K180" s="48"/>
      <c r="L180" s="48"/>
      <c r="M180" s="48"/>
      <c r="N180" s="54"/>
      <c r="O180" s="48"/>
      <c r="P180" s="56"/>
      <c r="R180" s="48"/>
      <c r="S180" s="48"/>
      <c r="T180" s="48"/>
      <c r="U180" s="54"/>
      <c r="V180" s="48"/>
      <c r="W180" s="52"/>
      <c r="X180" s="48"/>
      <c r="Y180" s="48"/>
    </row>
    <row r="181" spans="1:25" x14ac:dyDescent="0.8">
      <c r="A181" s="18"/>
      <c r="B181" s="18"/>
      <c r="C181" s="18"/>
      <c r="D181" s="18"/>
      <c r="E181" s="18"/>
      <c r="F181" s="18"/>
      <c r="G181" s="18"/>
      <c r="H181" s="18"/>
      <c r="I181" s="18"/>
      <c r="J181" s="74"/>
      <c r="K181" s="48"/>
      <c r="L181" s="48"/>
      <c r="M181" s="48"/>
      <c r="N181" s="54"/>
      <c r="O181" s="48"/>
      <c r="P181" s="56"/>
      <c r="R181" s="48"/>
      <c r="S181" s="48"/>
      <c r="T181" s="48"/>
      <c r="U181" s="54"/>
      <c r="V181" s="48"/>
      <c r="W181" s="52"/>
      <c r="X181" s="48"/>
      <c r="Y181" s="48"/>
    </row>
    <row r="182" spans="1:25" x14ac:dyDescent="0.8">
      <c r="A182" s="18"/>
      <c r="B182" s="18"/>
      <c r="C182" s="18"/>
      <c r="D182" s="18"/>
      <c r="E182" s="18"/>
      <c r="F182" s="18"/>
      <c r="G182" s="18"/>
      <c r="H182" s="18"/>
      <c r="I182" s="18"/>
      <c r="J182" s="74"/>
      <c r="K182" s="48"/>
      <c r="L182" s="48"/>
      <c r="M182" s="48"/>
      <c r="N182" s="54"/>
      <c r="O182" s="48"/>
      <c r="P182" s="56"/>
      <c r="R182" s="48"/>
      <c r="S182" s="48"/>
      <c r="T182" s="48"/>
      <c r="U182" s="54"/>
      <c r="V182" s="48"/>
      <c r="W182" s="52"/>
      <c r="X182" s="48"/>
      <c r="Y182" s="48"/>
    </row>
    <row r="183" spans="1:25" x14ac:dyDescent="0.8">
      <c r="A183" s="18"/>
      <c r="B183" s="18"/>
      <c r="C183" s="18"/>
      <c r="D183" s="18"/>
      <c r="E183" s="18"/>
      <c r="F183" s="18"/>
      <c r="G183" s="18"/>
      <c r="H183" s="18"/>
      <c r="I183" s="18"/>
      <c r="J183" s="74"/>
      <c r="K183" s="48"/>
      <c r="L183" s="48"/>
      <c r="M183" s="48"/>
      <c r="N183" s="54"/>
      <c r="O183" s="48"/>
      <c r="P183" s="56"/>
      <c r="R183" s="48"/>
      <c r="S183" s="48"/>
      <c r="T183" s="48"/>
      <c r="U183" s="54"/>
      <c r="V183" s="48"/>
      <c r="W183" s="52"/>
      <c r="X183" s="48"/>
      <c r="Y183" s="48"/>
    </row>
    <row r="184" spans="1:25" x14ac:dyDescent="0.8">
      <c r="A184" s="18"/>
      <c r="B184" s="18"/>
      <c r="C184" s="18"/>
      <c r="D184" s="18"/>
      <c r="E184" s="18"/>
      <c r="F184" s="18"/>
      <c r="G184" s="18"/>
      <c r="H184" s="18"/>
      <c r="I184" s="18"/>
      <c r="J184" s="74"/>
      <c r="K184" s="48"/>
      <c r="L184" s="48"/>
      <c r="M184" s="48"/>
      <c r="N184" s="54"/>
      <c r="O184" s="48"/>
      <c r="P184" s="56"/>
      <c r="R184" s="48"/>
      <c r="S184" s="48"/>
      <c r="T184" s="48"/>
      <c r="U184" s="54"/>
      <c r="V184" s="48"/>
      <c r="W184" s="52"/>
      <c r="X184" s="48"/>
      <c r="Y184" s="48"/>
    </row>
    <row r="185" spans="1:25" x14ac:dyDescent="0.8">
      <c r="A185" s="18"/>
      <c r="B185" s="18"/>
      <c r="C185" s="18"/>
      <c r="D185" s="18"/>
      <c r="E185" s="18"/>
      <c r="F185" s="18"/>
      <c r="G185" s="18"/>
      <c r="H185" s="18"/>
      <c r="I185" s="18"/>
      <c r="J185" s="74"/>
      <c r="K185" s="48"/>
      <c r="L185" s="48"/>
      <c r="M185" s="48"/>
      <c r="N185" s="54"/>
      <c r="O185" s="48"/>
      <c r="P185" s="56"/>
      <c r="R185" s="48"/>
      <c r="S185" s="48"/>
      <c r="T185" s="48"/>
      <c r="U185" s="54"/>
      <c r="V185" s="48"/>
      <c r="W185" s="52"/>
      <c r="X185" s="48"/>
      <c r="Y185" s="48"/>
    </row>
    <row r="186" spans="1:25" x14ac:dyDescent="0.8">
      <c r="A186" s="18"/>
      <c r="B186" s="18"/>
      <c r="C186" s="18"/>
      <c r="D186" s="18"/>
      <c r="E186" s="18"/>
      <c r="F186" s="18"/>
      <c r="G186" s="18"/>
      <c r="H186" s="18"/>
      <c r="I186" s="18"/>
      <c r="J186" s="74"/>
      <c r="K186" s="48"/>
      <c r="L186" s="48"/>
      <c r="M186" s="48"/>
      <c r="N186" s="54"/>
      <c r="O186" s="48"/>
      <c r="P186" s="56"/>
      <c r="R186" s="48"/>
      <c r="S186" s="48"/>
      <c r="T186" s="48"/>
      <c r="U186" s="54"/>
      <c r="V186" s="48"/>
      <c r="W186" s="52"/>
      <c r="X186" s="48"/>
      <c r="Y186" s="48"/>
    </row>
    <row r="187" spans="1:25" x14ac:dyDescent="0.8">
      <c r="A187" s="18"/>
      <c r="B187" s="18"/>
      <c r="C187" s="18"/>
      <c r="D187" s="18"/>
      <c r="E187" s="18"/>
      <c r="F187" s="18"/>
      <c r="G187" s="18"/>
      <c r="H187" s="18"/>
      <c r="I187" s="18"/>
      <c r="J187" s="74"/>
      <c r="K187" s="48"/>
      <c r="L187" s="48"/>
      <c r="M187" s="48"/>
      <c r="N187" s="54"/>
      <c r="O187" s="48"/>
      <c r="P187" s="56"/>
      <c r="R187" s="48"/>
      <c r="S187" s="48"/>
      <c r="T187" s="48"/>
      <c r="U187" s="54"/>
      <c r="V187" s="48"/>
      <c r="W187" s="52"/>
      <c r="X187" s="48"/>
      <c r="Y187" s="48"/>
    </row>
    <row r="188" spans="1:25" x14ac:dyDescent="0.8">
      <c r="A188" s="18"/>
      <c r="B188" s="18"/>
      <c r="C188" s="18"/>
      <c r="D188" s="18"/>
      <c r="E188" s="18"/>
      <c r="F188" s="18"/>
      <c r="G188" s="18"/>
      <c r="H188" s="18"/>
      <c r="I188" s="18"/>
      <c r="J188" s="74"/>
      <c r="K188" s="48"/>
      <c r="L188" s="48"/>
      <c r="M188" s="48"/>
      <c r="N188" s="54"/>
      <c r="O188" s="48"/>
      <c r="P188" s="56"/>
      <c r="R188" s="48"/>
      <c r="S188" s="48"/>
      <c r="T188" s="48"/>
      <c r="U188" s="54"/>
      <c r="V188" s="48"/>
      <c r="W188" s="52"/>
      <c r="X188" s="48"/>
      <c r="Y188" s="48"/>
    </row>
    <row r="189" spans="1:25" x14ac:dyDescent="0.8">
      <c r="A189" s="18"/>
      <c r="B189" s="18"/>
      <c r="C189" s="18"/>
      <c r="D189" s="18"/>
      <c r="E189" s="18"/>
      <c r="F189" s="18"/>
      <c r="G189" s="18"/>
      <c r="H189" s="18"/>
      <c r="I189" s="18"/>
      <c r="J189" s="74"/>
      <c r="K189" s="48"/>
      <c r="L189" s="48"/>
      <c r="M189" s="48"/>
      <c r="N189" s="54"/>
      <c r="O189" s="48"/>
      <c r="P189" s="56"/>
      <c r="R189" s="48"/>
      <c r="S189" s="48"/>
      <c r="T189" s="48"/>
      <c r="U189" s="54"/>
      <c r="V189" s="48"/>
      <c r="W189" s="52"/>
      <c r="X189" s="48"/>
      <c r="Y189" s="48"/>
    </row>
    <row r="190" spans="1:25" x14ac:dyDescent="0.8">
      <c r="A190" s="18"/>
      <c r="B190" s="18"/>
      <c r="C190" s="18"/>
      <c r="D190" s="18"/>
      <c r="E190" s="18"/>
      <c r="F190" s="18"/>
      <c r="G190" s="18"/>
      <c r="H190" s="18"/>
      <c r="I190" s="18"/>
      <c r="J190" s="74"/>
      <c r="K190" s="48"/>
      <c r="L190" s="48"/>
      <c r="M190" s="48"/>
      <c r="N190" s="54"/>
      <c r="O190" s="48"/>
      <c r="P190" s="56"/>
      <c r="R190" s="48"/>
      <c r="S190" s="48"/>
      <c r="T190" s="48"/>
      <c r="U190" s="54"/>
      <c r="V190" s="48"/>
      <c r="W190" s="52"/>
      <c r="X190" s="48"/>
      <c r="Y190" s="48"/>
    </row>
    <row r="191" spans="1:25" x14ac:dyDescent="0.8">
      <c r="A191" s="18"/>
      <c r="B191" s="18"/>
      <c r="C191" s="18"/>
      <c r="D191" s="18"/>
      <c r="E191" s="18"/>
      <c r="F191" s="18"/>
      <c r="G191" s="18"/>
      <c r="H191" s="18"/>
      <c r="I191" s="18"/>
      <c r="J191" s="74"/>
      <c r="K191" s="48"/>
      <c r="L191" s="48"/>
      <c r="M191" s="48"/>
      <c r="N191" s="54"/>
      <c r="O191" s="48"/>
      <c r="P191" s="56"/>
      <c r="R191" s="48"/>
      <c r="S191" s="48"/>
      <c r="T191" s="48"/>
      <c r="U191" s="54"/>
      <c r="V191" s="48"/>
      <c r="W191" s="52"/>
      <c r="X191" s="48"/>
      <c r="Y191" s="48"/>
    </row>
    <row r="192" spans="1:25" x14ac:dyDescent="0.8">
      <c r="A192" s="18"/>
      <c r="B192" s="18"/>
      <c r="C192" s="18"/>
      <c r="D192" s="18"/>
      <c r="E192" s="18"/>
      <c r="F192" s="18"/>
      <c r="G192" s="18"/>
      <c r="H192" s="18"/>
      <c r="I192" s="18"/>
      <c r="J192" s="74"/>
      <c r="K192" s="48"/>
      <c r="L192" s="48"/>
      <c r="M192" s="48"/>
      <c r="N192" s="54"/>
      <c r="O192" s="48"/>
      <c r="P192" s="56"/>
      <c r="R192" s="48"/>
      <c r="S192" s="48"/>
      <c r="T192" s="48"/>
      <c r="U192" s="54"/>
      <c r="V192" s="48"/>
      <c r="W192" s="52"/>
      <c r="X192" s="48"/>
      <c r="Y192" s="48"/>
    </row>
    <row r="193" spans="1:25" x14ac:dyDescent="0.8">
      <c r="A193" s="18"/>
      <c r="B193" s="18"/>
      <c r="C193" s="18"/>
      <c r="D193" s="18"/>
      <c r="E193" s="18"/>
      <c r="F193" s="18"/>
      <c r="G193" s="18"/>
      <c r="H193" s="18"/>
      <c r="I193" s="18"/>
      <c r="J193" s="74"/>
      <c r="K193" s="48"/>
      <c r="L193" s="48"/>
      <c r="M193" s="48"/>
      <c r="N193" s="54"/>
      <c r="O193" s="48"/>
      <c r="P193" s="56"/>
      <c r="R193" s="48"/>
      <c r="S193" s="48"/>
      <c r="T193" s="48"/>
      <c r="U193" s="54"/>
      <c r="V193" s="48"/>
      <c r="W193" s="52"/>
      <c r="X193" s="48"/>
      <c r="Y193" s="48"/>
    </row>
    <row r="194" spans="1:25" x14ac:dyDescent="0.8">
      <c r="A194" s="18"/>
      <c r="B194" s="18"/>
      <c r="C194" s="18"/>
      <c r="D194" s="18"/>
      <c r="E194" s="18"/>
      <c r="F194" s="18"/>
      <c r="G194" s="18"/>
      <c r="H194" s="18"/>
      <c r="I194" s="18"/>
      <c r="J194" s="74"/>
      <c r="K194" s="48"/>
      <c r="L194" s="48"/>
      <c r="M194" s="48"/>
      <c r="N194" s="54"/>
      <c r="O194" s="48"/>
      <c r="P194" s="56"/>
      <c r="R194" s="48"/>
      <c r="S194" s="48"/>
      <c r="T194" s="48"/>
      <c r="U194" s="54"/>
      <c r="V194" s="48"/>
      <c r="W194" s="52"/>
      <c r="X194" s="48"/>
      <c r="Y194" s="48"/>
    </row>
    <row r="195" spans="1:25" x14ac:dyDescent="0.8">
      <c r="A195" s="18"/>
      <c r="B195" s="18"/>
      <c r="C195" s="18"/>
      <c r="D195" s="18"/>
      <c r="E195" s="18"/>
      <c r="F195" s="18"/>
      <c r="G195" s="18"/>
      <c r="H195" s="18"/>
      <c r="I195" s="18"/>
      <c r="J195" s="74"/>
      <c r="K195" s="48"/>
      <c r="L195" s="48"/>
      <c r="M195" s="48"/>
      <c r="N195" s="54"/>
      <c r="O195" s="48"/>
      <c r="P195" s="56"/>
      <c r="R195" s="48"/>
      <c r="S195" s="48"/>
      <c r="T195" s="48"/>
      <c r="U195" s="54"/>
      <c r="V195" s="48"/>
      <c r="W195" s="52"/>
      <c r="X195" s="48"/>
      <c r="Y195" s="48"/>
    </row>
    <row r="196" spans="1:25" x14ac:dyDescent="0.8">
      <c r="A196" s="18"/>
      <c r="B196" s="18"/>
      <c r="C196" s="18"/>
      <c r="D196" s="18"/>
      <c r="E196" s="18"/>
      <c r="F196" s="18"/>
      <c r="G196" s="18"/>
      <c r="H196" s="18"/>
      <c r="I196" s="18"/>
      <c r="J196" s="74"/>
      <c r="K196" s="48"/>
      <c r="L196" s="48"/>
      <c r="M196" s="48"/>
      <c r="N196" s="54"/>
      <c r="O196" s="48"/>
      <c r="P196" s="56"/>
      <c r="R196" s="48"/>
      <c r="S196" s="48"/>
      <c r="T196" s="48"/>
      <c r="U196" s="54"/>
      <c r="V196" s="48"/>
      <c r="W196" s="52"/>
      <c r="X196" s="48"/>
      <c r="Y196" s="48"/>
    </row>
    <row r="197" spans="1:25" x14ac:dyDescent="0.8">
      <c r="A197" s="18"/>
      <c r="B197" s="18"/>
      <c r="C197" s="18"/>
      <c r="D197" s="18"/>
      <c r="E197" s="18"/>
      <c r="F197" s="18"/>
      <c r="G197" s="18"/>
      <c r="H197" s="18"/>
      <c r="I197" s="18"/>
      <c r="J197" s="74"/>
      <c r="K197" s="48"/>
      <c r="L197" s="48"/>
      <c r="M197" s="48"/>
      <c r="N197" s="54"/>
      <c r="O197" s="48"/>
      <c r="P197" s="56"/>
      <c r="R197" s="48"/>
      <c r="S197" s="48"/>
      <c r="T197" s="48"/>
      <c r="U197" s="54"/>
      <c r="V197" s="48"/>
      <c r="W197" s="52"/>
      <c r="X197" s="48"/>
      <c r="Y197" s="48"/>
    </row>
    <row r="198" spans="1:25" x14ac:dyDescent="0.8">
      <c r="A198" s="18"/>
      <c r="B198" s="18"/>
      <c r="C198" s="18"/>
      <c r="D198" s="18"/>
      <c r="E198" s="18"/>
      <c r="F198" s="18"/>
      <c r="G198" s="18"/>
      <c r="H198" s="18"/>
      <c r="I198" s="18"/>
      <c r="J198" s="74"/>
      <c r="K198" s="48"/>
      <c r="L198" s="48"/>
      <c r="M198" s="48"/>
      <c r="N198" s="54"/>
      <c r="O198" s="48"/>
      <c r="P198" s="56"/>
      <c r="R198" s="48"/>
      <c r="S198" s="48"/>
      <c r="T198" s="48"/>
      <c r="U198" s="54"/>
      <c r="V198" s="48"/>
      <c r="W198" s="52"/>
      <c r="X198" s="48"/>
      <c r="Y198" s="48"/>
    </row>
    <row r="199" spans="1:25" x14ac:dyDescent="0.8">
      <c r="A199" s="18"/>
      <c r="B199" s="18"/>
      <c r="C199" s="18"/>
      <c r="D199" s="18"/>
      <c r="E199" s="18"/>
      <c r="F199" s="18"/>
      <c r="G199" s="18"/>
      <c r="H199" s="18"/>
      <c r="I199" s="18"/>
      <c r="J199" s="74"/>
      <c r="K199" s="48"/>
      <c r="L199" s="48"/>
      <c r="M199" s="48"/>
      <c r="N199" s="54"/>
      <c r="O199" s="48"/>
      <c r="P199" s="56"/>
      <c r="R199" s="48"/>
      <c r="S199" s="48"/>
      <c r="T199" s="48"/>
      <c r="U199" s="54"/>
      <c r="V199" s="48"/>
      <c r="W199" s="52"/>
      <c r="X199" s="48"/>
      <c r="Y199" s="48"/>
    </row>
    <row r="200" spans="1:25" x14ac:dyDescent="0.8">
      <c r="A200" s="18"/>
      <c r="B200" s="18"/>
      <c r="C200" s="18"/>
      <c r="D200" s="18"/>
      <c r="E200" s="18"/>
      <c r="F200" s="18"/>
      <c r="G200" s="18"/>
      <c r="H200" s="18"/>
      <c r="I200" s="18"/>
      <c r="J200" s="74"/>
      <c r="K200" s="48"/>
      <c r="L200" s="48"/>
      <c r="M200" s="48"/>
      <c r="N200" s="54"/>
      <c r="O200" s="48"/>
      <c r="P200" s="56"/>
      <c r="R200" s="48"/>
      <c r="S200" s="48"/>
      <c r="T200" s="48"/>
      <c r="U200" s="54"/>
      <c r="V200" s="48"/>
      <c r="W200" s="52"/>
      <c r="X200" s="48"/>
      <c r="Y200" s="48"/>
    </row>
    <row r="201" spans="1:25" x14ac:dyDescent="0.8">
      <c r="A201" s="18"/>
      <c r="B201" s="18"/>
      <c r="C201" s="18"/>
      <c r="D201" s="18"/>
      <c r="E201" s="18"/>
      <c r="F201" s="18"/>
      <c r="G201" s="18"/>
      <c r="H201" s="18"/>
      <c r="I201" s="18"/>
      <c r="J201" s="74"/>
      <c r="K201" s="48"/>
      <c r="L201" s="48"/>
      <c r="M201" s="48"/>
      <c r="N201" s="54"/>
      <c r="O201" s="48"/>
      <c r="P201" s="56"/>
      <c r="R201" s="48"/>
      <c r="S201" s="48"/>
      <c r="T201" s="48"/>
      <c r="U201" s="54"/>
      <c r="V201" s="48"/>
      <c r="W201" s="52"/>
      <c r="X201" s="48"/>
      <c r="Y201" s="48"/>
    </row>
    <row r="202" spans="1:25" x14ac:dyDescent="0.8">
      <c r="A202" s="18"/>
      <c r="B202" s="18"/>
      <c r="C202" s="18"/>
      <c r="D202" s="18"/>
      <c r="E202" s="18"/>
      <c r="F202" s="18"/>
      <c r="G202" s="18"/>
      <c r="H202" s="18"/>
      <c r="I202" s="18"/>
      <c r="J202" s="74"/>
      <c r="K202" s="48"/>
      <c r="L202" s="48"/>
      <c r="M202" s="48"/>
      <c r="N202" s="54"/>
      <c r="O202" s="48"/>
      <c r="P202" s="56"/>
      <c r="R202" s="48"/>
      <c r="S202" s="48"/>
      <c r="T202" s="48"/>
      <c r="U202" s="54"/>
      <c r="V202" s="48"/>
      <c r="W202" s="52"/>
      <c r="X202" s="48"/>
      <c r="Y202" s="48"/>
    </row>
    <row r="203" spans="1:25" x14ac:dyDescent="0.8">
      <c r="A203" s="18"/>
      <c r="B203" s="18"/>
      <c r="C203" s="18"/>
      <c r="D203" s="18"/>
      <c r="E203" s="18"/>
      <c r="F203" s="18"/>
      <c r="G203" s="18"/>
      <c r="H203" s="18"/>
      <c r="I203" s="18"/>
      <c r="J203" s="74"/>
      <c r="K203" s="48"/>
      <c r="L203" s="48"/>
      <c r="M203" s="48"/>
      <c r="N203" s="54"/>
      <c r="O203" s="48"/>
      <c r="P203" s="56"/>
      <c r="R203" s="48"/>
      <c r="S203" s="48"/>
      <c r="T203" s="48"/>
      <c r="U203" s="54"/>
      <c r="V203" s="48"/>
      <c r="W203" s="52"/>
      <c r="X203" s="48"/>
      <c r="Y203" s="48"/>
    </row>
    <row r="204" spans="1:25" x14ac:dyDescent="0.8">
      <c r="A204" s="18"/>
      <c r="B204" s="18"/>
      <c r="C204" s="18"/>
      <c r="D204" s="18"/>
      <c r="E204" s="18"/>
      <c r="F204" s="18"/>
      <c r="G204" s="18"/>
      <c r="H204" s="18"/>
      <c r="I204" s="18"/>
      <c r="J204" s="74"/>
      <c r="K204" s="48"/>
      <c r="L204" s="48"/>
      <c r="M204" s="48"/>
      <c r="N204" s="54"/>
      <c r="O204" s="48"/>
      <c r="P204" s="56"/>
      <c r="R204" s="48"/>
      <c r="S204" s="48"/>
      <c r="T204" s="48"/>
      <c r="U204" s="54"/>
      <c r="V204" s="48"/>
      <c r="W204" s="52"/>
      <c r="X204" s="48"/>
      <c r="Y204" s="48"/>
    </row>
    <row r="205" spans="1:25" x14ac:dyDescent="0.8">
      <c r="A205" s="18"/>
      <c r="B205" s="18"/>
      <c r="C205" s="18"/>
      <c r="D205" s="18"/>
      <c r="E205" s="18"/>
      <c r="F205" s="18"/>
      <c r="G205" s="18"/>
      <c r="H205" s="18"/>
      <c r="I205" s="18"/>
      <c r="J205" s="74"/>
      <c r="K205" s="48"/>
      <c r="L205" s="48"/>
      <c r="M205" s="48"/>
      <c r="N205" s="54"/>
      <c r="O205" s="48"/>
      <c r="P205" s="56"/>
      <c r="R205" s="48"/>
      <c r="S205" s="48"/>
      <c r="T205" s="48"/>
      <c r="U205" s="54"/>
      <c r="V205" s="48"/>
      <c r="W205" s="52"/>
      <c r="X205" s="48"/>
      <c r="Y205" s="48"/>
    </row>
    <row r="206" spans="1:25" x14ac:dyDescent="0.8">
      <c r="A206" s="18"/>
      <c r="B206" s="18"/>
      <c r="C206" s="18"/>
      <c r="D206" s="18"/>
      <c r="E206" s="18"/>
      <c r="F206" s="18"/>
      <c r="G206" s="18"/>
      <c r="H206" s="18"/>
      <c r="I206" s="18"/>
      <c r="J206" s="74"/>
      <c r="K206" s="48"/>
      <c r="L206" s="48"/>
      <c r="M206" s="48"/>
      <c r="N206" s="54"/>
      <c r="O206" s="48"/>
      <c r="P206" s="56"/>
      <c r="R206" s="48"/>
      <c r="S206" s="48"/>
      <c r="T206" s="48"/>
      <c r="U206" s="54"/>
      <c r="V206" s="48"/>
      <c r="W206" s="52"/>
      <c r="X206" s="48"/>
      <c r="Y206" s="48"/>
    </row>
    <row r="207" spans="1:25" x14ac:dyDescent="0.8">
      <c r="A207" s="18"/>
      <c r="B207" s="18"/>
      <c r="C207" s="18"/>
      <c r="D207" s="18"/>
      <c r="E207" s="18"/>
      <c r="F207" s="18"/>
      <c r="G207" s="18"/>
      <c r="H207" s="18"/>
      <c r="I207" s="18"/>
      <c r="J207" s="74"/>
      <c r="K207" s="48"/>
      <c r="L207" s="48"/>
      <c r="M207" s="48"/>
      <c r="N207" s="54"/>
      <c r="O207" s="48"/>
      <c r="P207" s="56"/>
      <c r="R207" s="48"/>
      <c r="S207" s="48"/>
      <c r="T207" s="48"/>
      <c r="U207" s="54"/>
      <c r="V207" s="48"/>
      <c r="W207" s="52"/>
      <c r="X207" s="48"/>
      <c r="Y207" s="48"/>
    </row>
    <row r="208" spans="1:25" x14ac:dyDescent="0.8">
      <c r="A208" s="18"/>
      <c r="B208" s="18"/>
      <c r="C208" s="18"/>
      <c r="D208" s="18"/>
      <c r="E208" s="18"/>
      <c r="F208" s="18"/>
      <c r="G208" s="18"/>
      <c r="H208" s="18"/>
      <c r="I208" s="18"/>
      <c r="J208" s="74"/>
      <c r="K208" s="48"/>
      <c r="L208" s="48"/>
      <c r="M208" s="48"/>
      <c r="N208" s="54"/>
      <c r="O208" s="48"/>
      <c r="P208" s="56"/>
      <c r="R208" s="48"/>
      <c r="S208" s="48"/>
      <c r="T208" s="48"/>
      <c r="U208" s="54"/>
      <c r="V208" s="48"/>
      <c r="W208" s="52"/>
      <c r="X208" s="48"/>
      <c r="Y208" s="48"/>
    </row>
    <row r="209" spans="1:25" x14ac:dyDescent="0.8">
      <c r="A209" s="18"/>
      <c r="B209" s="18"/>
      <c r="C209" s="18"/>
      <c r="D209" s="18"/>
      <c r="E209" s="18"/>
      <c r="F209" s="18"/>
      <c r="G209" s="18"/>
      <c r="H209" s="18"/>
      <c r="I209" s="18"/>
      <c r="J209" s="74"/>
      <c r="K209" s="48"/>
      <c r="L209" s="48"/>
      <c r="M209" s="48"/>
      <c r="N209" s="54"/>
      <c r="O209" s="48"/>
      <c r="P209" s="56"/>
      <c r="R209" s="48"/>
      <c r="S209" s="48"/>
      <c r="T209" s="48"/>
      <c r="U209" s="54"/>
      <c r="V209" s="48"/>
      <c r="W209" s="52"/>
      <c r="X209" s="48"/>
      <c r="Y209" s="48"/>
    </row>
    <row r="210" spans="1:25" x14ac:dyDescent="0.8">
      <c r="A210" s="18"/>
      <c r="B210" s="18"/>
      <c r="C210" s="18"/>
      <c r="D210" s="18"/>
      <c r="E210" s="18"/>
      <c r="F210" s="18"/>
      <c r="G210" s="18"/>
      <c r="H210" s="18"/>
      <c r="I210" s="18"/>
      <c r="J210" s="74"/>
      <c r="K210" s="48"/>
      <c r="L210" s="48"/>
      <c r="M210" s="48"/>
      <c r="N210" s="54"/>
      <c r="O210" s="48"/>
      <c r="P210" s="56"/>
      <c r="R210" s="48"/>
      <c r="S210" s="48"/>
      <c r="T210" s="48"/>
      <c r="U210" s="54"/>
      <c r="V210" s="48"/>
      <c r="W210" s="52"/>
      <c r="X210" s="48"/>
      <c r="Y210" s="48"/>
    </row>
    <row r="211" spans="1:25" x14ac:dyDescent="0.8">
      <c r="A211" s="18"/>
      <c r="B211" s="18"/>
      <c r="C211" s="18"/>
      <c r="D211" s="18"/>
      <c r="E211" s="18"/>
      <c r="F211" s="18"/>
      <c r="G211" s="18"/>
      <c r="H211" s="18"/>
      <c r="I211" s="18"/>
      <c r="J211" s="74"/>
      <c r="K211" s="48"/>
      <c r="L211" s="48"/>
      <c r="M211" s="48"/>
      <c r="N211" s="54"/>
      <c r="O211" s="48"/>
      <c r="P211" s="56"/>
      <c r="R211" s="48"/>
      <c r="S211" s="48"/>
      <c r="T211" s="48"/>
      <c r="U211" s="54"/>
      <c r="V211" s="48"/>
      <c r="W211" s="52"/>
      <c r="X211" s="48"/>
      <c r="Y211" s="48"/>
    </row>
    <row r="212" spans="1:25" x14ac:dyDescent="0.8">
      <c r="A212" s="18"/>
      <c r="B212" s="18"/>
      <c r="C212" s="18"/>
      <c r="D212" s="18"/>
      <c r="E212" s="18"/>
      <c r="F212" s="18"/>
      <c r="G212" s="18"/>
      <c r="H212" s="18"/>
      <c r="I212" s="18"/>
      <c r="J212" s="74"/>
      <c r="K212" s="48"/>
      <c r="L212" s="48"/>
      <c r="M212" s="48"/>
      <c r="N212" s="54"/>
      <c r="O212" s="48"/>
      <c r="P212" s="56"/>
      <c r="R212" s="48"/>
      <c r="S212" s="48"/>
      <c r="T212" s="48"/>
      <c r="U212" s="54"/>
      <c r="V212" s="48"/>
      <c r="W212" s="52"/>
      <c r="X212" s="48"/>
      <c r="Y212" s="48"/>
    </row>
    <row r="213" spans="1:25" x14ac:dyDescent="0.8">
      <c r="A213" s="18"/>
      <c r="B213" s="18"/>
      <c r="C213" s="18"/>
      <c r="D213" s="18"/>
      <c r="E213" s="18"/>
      <c r="F213" s="18"/>
      <c r="G213" s="18"/>
      <c r="H213" s="18"/>
      <c r="I213" s="18"/>
      <c r="J213" s="74"/>
      <c r="K213" s="48"/>
      <c r="L213" s="48"/>
      <c r="M213" s="48"/>
      <c r="N213" s="54"/>
      <c r="O213" s="48"/>
      <c r="P213" s="56"/>
      <c r="R213" s="48"/>
      <c r="S213" s="48"/>
      <c r="T213" s="48"/>
      <c r="U213" s="54"/>
      <c r="V213" s="48"/>
      <c r="W213" s="52"/>
      <c r="X213" s="48"/>
      <c r="Y213" s="48"/>
    </row>
    <row r="214" spans="1:25" x14ac:dyDescent="0.8">
      <c r="A214" s="18"/>
      <c r="B214" s="18"/>
      <c r="C214" s="18"/>
      <c r="D214" s="18"/>
      <c r="E214" s="18"/>
      <c r="F214" s="18"/>
      <c r="G214" s="18"/>
      <c r="H214" s="18"/>
      <c r="I214" s="18"/>
      <c r="J214" s="74"/>
      <c r="K214" s="48"/>
      <c r="L214" s="48"/>
      <c r="M214" s="48"/>
      <c r="N214" s="54"/>
      <c r="O214" s="48"/>
      <c r="P214" s="56"/>
      <c r="R214" s="48"/>
      <c r="S214" s="48"/>
      <c r="T214" s="48"/>
      <c r="U214" s="54"/>
      <c r="V214" s="48"/>
      <c r="W214" s="52"/>
      <c r="X214" s="48"/>
      <c r="Y214" s="48"/>
    </row>
    <row r="215" spans="1:25" x14ac:dyDescent="0.8">
      <c r="A215" s="18"/>
      <c r="B215" s="18"/>
      <c r="C215" s="18"/>
      <c r="D215" s="18"/>
      <c r="E215" s="18"/>
      <c r="F215" s="18"/>
      <c r="G215" s="18"/>
      <c r="H215" s="18"/>
      <c r="I215" s="18"/>
      <c r="J215" s="74"/>
      <c r="K215" s="48"/>
      <c r="L215" s="48"/>
      <c r="M215" s="48"/>
      <c r="N215" s="54"/>
      <c r="O215" s="48"/>
      <c r="P215" s="56"/>
      <c r="R215" s="48"/>
      <c r="S215" s="48"/>
      <c r="T215" s="48"/>
      <c r="U215" s="54"/>
      <c r="V215" s="48"/>
      <c r="W215" s="52"/>
      <c r="X215" s="48"/>
      <c r="Y215" s="48"/>
    </row>
    <row r="216" spans="1:25" x14ac:dyDescent="0.8">
      <c r="A216" s="18"/>
      <c r="B216" s="18"/>
      <c r="C216" s="18"/>
      <c r="D216" s="18"/>
      <c r="E216" s="18"/>
      <c r="F216" s="18"/>
      <c r="G216" s="18"/>
      <c r="H216" s="18"/>
      <c r="I216" s="18"/>
      <c r="J216" s="74"/>
      <c r="K216" s="48"/>
      <c r="L216" s="48"/>
      <c r="M216" s="48"/>
      <c r="N216" s="54"/>
      <c r="O216" s="48"/>
      <c r="P216" s="56"/>
      <c r="R216" s="48"/>
      <c r="S216" s="48"/>
      <c r="T216" s="48"/>
      <c r="U216" s="54"/>
      <c r="V216" s="48"/>
      <c r="W216" s="52"/>
      <c r="X216" s="48"/>
      <c r="Y216" s="48"/>
    </row>
    <row r="217" spans="1:25" x14ac:dyDescent="0.8">
      <c r="A217" s="18"/>
      <c r="B217" s="18"/>
      <c r="C217" s="18"/>
      <c r="D217" s="18"/>
      <c r="E217" s="18"/>
      <c r="F217" s="18"/>
      <c r="G217" s="18"/>
      <c r="H217" s="18"/>
      <c r="I217" s="18"/>
      <c r="J217" s="74"/>
      <c r="K217" s="48"/>
      <c r="L217" s="48"/>
      <c r="M217" s="48"/>
      <c r="N217" s="54"/>
      <c r="O217" s="48"/>
      <c r="P217" s="56"/>
      <c r="R217" s="48"/>
      <c r="S217" s="48"/>
      <c r="T217" s="48"/>
      <c r="U217" s="54"/>
      <c r="V217" s="48"/>
      <c r="W217" s="52"/>
      <c r="X217" s="48"/>
      <c r="Y217" s="48"/>
    </row>
    <row r="218" spans="1:25" x14ac:dyDescent="0.8">
      <c r="A218" s="18"/>
      <c r="B218" s="18"/>
      <c r="C218" s="18"/>
      <c r="D218" s="18"/>
      <c r="E218" s="18"/>
      <c r="F218" s="18"/>
      <c r="G218" s="18"/>
      <c r="H218" s="18"/>
      <c r="I218" s="18"/>
      <c r="J218" s="74"/>
      <c r="K218" s="48"/>
      <c r="L218" s="48"/>
      <c r="M218" s="48"/>
      <c r="N218" s="54"/>
      <c r="O218" s="48"/>
      <c r="P218" s="56"/>
      <c r="R218" s="48"/>
      <c r="S218" s="48"/>
      <c r="T218" s="48"/>
      <c r="U218" s="54"/>
      <c r="V218" s="48"/>
      <c r="W218" s="52"/>
      <c r="X218" s="48"/>
      <c r="Y218" s="48"/>
    </row>
    <row r="219" spans="1:25" x14ac:dyDescent="0.8">
      <c r="A219" s="18"/>
      <c r="B219" s="18"/>
      <c r="C219" s="18"/>
      <c r="D219" s="18"/>
      <c r="E219" s="18"/>
      <c r="F219" s="18"/>
      <c r="G219" s="18"/>
      <c r="H219" s="18"/>
      <c r="I219" s="18"/>
      <c r="J219" s="74"/>
      <c r="K219" s="48"/>
      <c r="L219" s="48"/>
      <c r="M219" s="48"/>
      <c r="N219" s="54"/>
      <c r="O219" s="48"/>
      <c r="P219" s="56"/>
      <c r="R219" s="48"/>
      <c r="S219" s="48"/>
      <c r="T219" s="48"/>
      <c r="U219" s="54"/>
      <c r="V219" s="48"/>
      <c r="W219" s="52"/>
      <c r="X219" s="48"/>
      <c r="Y219" s="48"/>
    </row>
    <row r="220" spans="1:25" x14ac:dyDescent="0.8">
      <c r="A220" s="18"/>
      <c r="B220" s="18"/>
      <c r="C220" s="18"/>
      <c r="D220" s="18"/>
      <c r="E220" s="18"/>
      <c r="F220" s="18"/>
      <c r="G220" s="18"/>
      <c r="H220" s="18"/>
      <c r="I220" s="18"/>
      <c r="J220" s="74"/>
      <c r="K220" s="48"/>
      <c r="L220" s="48"/>
      <c r="M220" s="48"/>
      <c r="N220" s="54"/>
      <c r="O220" s="48"/>
      <c r="P220" s="56"/>
      <c r="R220" s="48"/>
      <c r="S220" s="48"/>
      <c r="T220" s="48"/>
      <c r="U220" s="54"/>
      <c r="V220" s="48"/>
      <c r="W220" s="52"/>
      <c r="X220" s="48"/>
      <c r="Y220" s="48"/>
    </row>
    <row r="221" spans="1:25" x14ac:dyDescent="0.8">
      <c r="A221" s="18"/>
      <c r="B221" s="18"/>
      <c r="C221" s="18"/>
      <c r="D221" s="18"/>
      <c r="E221" s="18"/>
      <c r="F221" s="18"/>
      <c r="G221" s="18"/>
      <c r="H221" s="18"/>
      <c r="I221" s="18"/>
      <c r="J221" s="74"/>
      <c r="K221" s="48"/>
      <c r="L221" s="48"/>
      <c r="M221" s="48"/>
      <c r="N221" s="54"/>
      <c r="O221" s="48"/>
      <c r="P221" s="56"/>
      <c r="R221" s="48"/>
      <c r="S221" s="48"/>
      <c r="T221" s="48"/>
      <c r="U221" s="54"/>
      <c r="V221" s="48"/>
      <c r="W221" s="52"/>
      <c r="X221" s="48"/>
      <c r="Y221" s="48"/>
    </row>
    <row r="222" spans="1:25" x14ac:dyDescent="0.8">
      <c r="A222" s="18"/>
      <c r="B222" s="18"/>
      <c r="C222" s="18"/>
      <c r="D222" s="18"/>
      <c r="E222" s="18"/>
      <c r="F222" s="18"/>
      <c r="G222" s="18"/>
      <c r="H222" s="18"/>
      <c r="I222" s="18"/>
      <c r="J222" s="74"/>
      <c r="K222" s="48"/>
      <c r="L222" s="48"/>
      <c r="M222" s="48"/>
      <c r="N222" s="54"/>
      <c r="O222" s="48"/>
      <c r="P222" s="56"/>
      <c r="R222" s="48"/>
      <c r="S222" s="48"/>
      <c r="T222" s="48"/>
      <c r="U222" s="54"/>
      <c r="V222" s="48"/>
      <c r="W222" s="52"/>
      <c r="X222" s="48"/>
      <c r="Y222" s="48"/>
    </row>
    <row r="223" spans="1:25" x14ac:dyDescent="0.8">
      <c r="A223" s="18"/>
      <c r="B223" s="18"/>
      <c r="C223" s="18"/>
      <c r="D223" s="18"/>
      <c r="E223" s="18"/>
      <c r="F223" s="18"/>
      <c r="G223" s="18"/>
      <c r="H223" s="18"/>
      <c r="I223" s="18"/>
      <c r="J223" s="74"/>
      <c r="K223" s="48"/>
      <c r="L223" s="48"/>
      <c r="M223" s="48"/>
      <c r="N223" s="54"/>
      <c r="O223" s="48"/>
      <c r="P223" s="56"/>
      <c r="R223" s="48"/>
      <c r="S223" s="48"/>
      <c r="T223" s="48"/>
      <c r="U223" s="54"/>
      <c r="V223" s="48"/>
      <c r="W223" s="52"/>
      <c r="X223" s="48"/>
      <c r="Y223" s="48"/>
    </row>
    <row r="224" spans="1:25" x14ac:dyDescent="0.8">
      <c r="A224" s="18"/>
      <c r="B224" s="18"/>
      <c r="C224" s="18"/>
      <c r="D224" s="18"/>
      <c r="E224" s="18"/>
      <c r="F224" s="18"/>
      <c r="G224" s="18"/>
      <c r="H224" s="18"/>
      <c r="I224" s="18"/>
      <c r="J224" s="74"/>
      <c r="K224" s="48"/>
      <c r="L224" s="48"/>
      <c r="M224" s="48"/>
      <c r="N224" s="54"/>
      <c r="O224" s="48"/>
      <c r="P224" s="56"/>
      <c r="R224" s="48"/>
      <c r="S224" s="48"/>
      <c r="T224" s="48"/>
      <c r="U224" s="54"/>
      <c r="V224" s="48"/>
      <c r="W224" s="52"/>
      <c r="X224" s="48"/>
      <c r="Y224" s="48"/>
    </row>
    <row r="225" spans="1:25" x14ac:dyDescent="0.8">
      <c r="A225" s="18"/>
      <c r="B225" s="18"/>
      <c r="C225" s="18"/>
      <c r="D225" s="18"/>
      <c r="E225" s="18"/>
      <c r="F225" s="18"/>
      <c r="G225" s="18"/>
      <c r="H225" s="18"/>
      <c r="I225" s="18"/>
      <c r="J225" s="74"/>
      <c r="K225" s="48"/>
      <c r="L225" s="48"/>
      <c r="M225" s="48"/>
      <c r="N225" s="54"/>
      <c r="O225" s="48"/>
      <c r="P225" s="56"/>
      <c r="R225" s="48"/>
      <c r="S225" s="48"/>
      <c r="T225" s="48"/>
      <c r="U225" s="54"/>
      <c r="V225" s="48"/>
      <c r="W225" s="52"/>
      <c r="X225" s="48"/>
      <c r="Y225" s="48"/>
    </row>
    <row r="226" spans="1:25" x14ac:dyDescent="0.8">
      <c r="A226" s="18"/>
      <c r="B226" s="18"/>
      <c r="C226" s="18"/>
      <c r="D226" s="18"/>
      <c r="E226" s="18"/>
      <c r="F226" s="18"/>
      <c r="G226" s="18"/>
      <c r="H226" s="18"/>
      <c r="I226" s="18"/>
      <c r="J226" s="74"/>
      <c r="K226" s="48"/>
      <c r="L226" s="48"/>
      <c r="M226" s="48"/>
      <c r="N226" s="54"/>
      <c r="O226" s="48"/>
      <c r="P226" s="56"/>
      <c r="R226" s="48"/>
      <c r="S226" s="48"/>
      <c r="T226" s="48"/>
      <c r="U226" s="54"/>
      <c r="V226" s="48"/>
      <c r="W226" s="52"/>
      <c r="X226" s="48"/>
      <c r="Y226" s="48"/>
    </row>
    <row r="227" spans="1:25" x14ac:dyDescent="0.8">
      <c r="A227" s="18"/>
      <c r="B227" s="18"/>
      <c r="C227" s="18"/>
      <c r="D227" s="18"/>
      <c r="E227" s="18"/>
      <c r="F227" s="18"/>
      <c r="G227" s="18"/>
      <c r="H227" s="18"/>
      <c r="I227" s="18"/>
      <c r="J227" s="74"/>
      <c r="K227" s="48"/>
      <c r="L227" s="48"/>
      <c r="M227" s="48"/>
      <c r="N227" s="54"/>
      <c r="O227" s="48"/>
      <c r="P227" s="56"/>
      <c r="R227" s="48"/>
      <c r="S227" s="48"/>
      <c r="T227" s="48"/>
      <c r="U227" s="54"/>
      <c r="V227" s="48"/>
      <c r="W227" s="52"/>
      <c r="X227" s="48"/>
      <c r="Y227" s="48"/>
    </row>
    <row r="228" spans="1:25" x14ac:dyDescent="0.8">
      <c r="A228" s="18"/>
      <c r="B228" s="18"/>
      <c r="C228" s="18"/>
      <c r="D228" s="18"/>
      <c r="E228" s="18"/>
      <c r="F228" s="18"/>
      <c r="G228" s="18"/>
      <c r="H228" s="18"/>
      <c r="I228" s="18"/>
      <c r="J228" s="74"/>
      <c r="K228" s="48"/>
      <c r="L228" s="48"/>
      <c r="M228" s="48"/>
      <c r="N228" s="54"/>
      <c r="O228" s="48"/>
      <c r="P228" s="56"/>
      <c r="R228" s="48"/>
      <c r="S228" s="48"/>
      <c r="T228" s="48"/>
      <c r="U228" s="54"/>
      <c r="V228" s="48"/>
      <c r="W228" s="52"/>
      <c r="X228" s="48"/>
      <c r="Y228" s="48"/>
    </row>
    <row r="229" spans="1:25" x14ac:dyDescent="0.8">
      <c r="A229" s="18"/>
      <c r="B229" s="18"/>
      <c r="C229" s="18"/>
      <c r="D229" s="18"/>
      <c r="E229" s="18"/>
      <c r="F229" s="18"/>
      <c r="G229" s="18"/>
      <c r="H229" s="18"/>
      <c r="I229" s="18"/>
      <c r="J229" s="74"/>
      <c r="K229" s="48"/>
      <c r="L229" s="48"/>
      <c r="M229" s="48"/>
      <c r="N229" s="54"/>
      <c r="O229" s="48"/>
      <c r="P229" s="56"/>
      <c r="R229" s="48"/>
      <c r="S229" s="48"/>
      <c r="T229" s="48"/>
      <c r="U229" s="54"/>
      <c r="V229" s="48"/>
      <c r="W229" s="52"/>
      <c r="X229" s="48"/>
      <c r="Y229" s="48"/>
    </row>
    <row r="230" spans="1:25" x14ac:dyDescent="0.8">
      <c r="A230" s="18"/>
      <c r="B230" s="18"/>
      <c r="C230" s="18"/>
      <c r="D230" s="18"/>
      <c r="E230" s="18"/>
      <c r="F230" s="18"/>
      <c r="G230" s="18"/>
      <c r="H230" s="18"/>
      <c r="I230" s="18"/>
      <c r="J230" s="74"/>
      <c r="K230" s="48"/>
      <c r="L230" s="48"/>
      <c r="M230" s="48"/>
      <c r="N230" s="54"/>
      <c r="O230" s="48"/>
      <c r="P230" s="56"/>
      <c r="R230" s="48"/>
      <c r="S230" s="48"/>
      <c r="T230" s="48"/>
      <c r="U230" s="54"/>
      <c r="V230" s="48"/>
      <c r="W230" s="52"/>
      <c r="X230" s="48"/>
      <c r="Y230" s="48"/>
    </row>
    <row r="231" spans="1:25" x14ac:dyDescent="0.8">
      <c r="A231" s="18"/>
      <c r="B231" s="18"/>
      <c r="C231" s="18"/>
      <c r="D231" s="18"/>
      <c r="E231" s="18"/>
      <c r="F231" s="18"/>
      <c r="G231" s="18"/>
      <c r="H231" s="18"/>
      <c r="I231" s="18"/>
      <c r="J231" s="74"/>
      <c r="K231" s="48"/>
      <c r="L231" s="48"/>
      <c r="M231" s="48"/>
      <c r="N231" s="54"/>
      <c r="O231" s="48"/>
      <c r="P231" s="56"/>
      <c r="R231" s="48"/>
      <c r="S231" s="48"/>
      <c r="T231" s="48"/>
      <c r="U231" s="54"/>
      <c r="V231" s="48"/>
      <c r="W231" s="52"/>
      <c r="X231" s="48"/>
      <c r="Y231" s="48"/>
    </row>
    <row r="232" spans="1:25" x14ac:dyDescent="0.8">
      <c r="A232" s="18"/>
      <c r="B232" s="18"/>
      <c r="C232" s="18"/>
      <c r="D232" s="18"/>
      <c r="E232" s="18"/>
      <c r="F232" s="18"/>
      <c r="G232" s="18"/>
      <c r="H232" s="18"/>
      <c r="I232" s="18"/>
      <c r="J232" s="74"/>
      <c r="K232" s="48"/>
      <c r="L232" s="48"/>
      <c r="M232" s="48"/>
      <c r="N232" s="54"/>
      <c r="O232" s="48"/>
      <c r="P232" s="56"/>
      <c r="R232" s="48"/>
      <c r="S232" s="48"/>
      <c r="T232" s="48"/>
      <c r="U232" s="54"/>
      <c r="V232" s="48"/>
      <c r="W232" s="52"/>
      <c r="X232" s="48"/>
      <c r="Y232" s="48"/>
    </row>
    <row r="233" spans="1:25" x14ac:dyDescent="0.8">
      <c r="A233" s="18"/>
      <c r="B233" s="18"/>
      <c r="C233" s="18"/>
      <c r="D233" s="18"/>
      <c r="E233" s="18"/>
      <c r="F233" s="18"/>
      <c r="G233" s="18"/>
      <c r="H233" s="18"/>
      <c r="I233" s="18"/>
      <c r="J233" s="74"/>
      <c r="K233" s="48"/>
      <c r="L233" s="48"/>
      <c r="M233" s="48"/>
      <c r="N233" s="54"/>
      <c r="O233" s="48"/>
      <c r="P233" s="56"/>
      <c r="R233" s="48"/>
      <c r="S233" s="48"/>
      <c r="T233" s="48"/>
      <c r="U233" s="54"/>
      <c r="V233" s="48"/>
      <c r="W233" s="52"/>
      <c r="X233" s="48"/>
      <c r="Y233" s="48"/>
    </row>
    <row r="234" spans="1:25" x14ac:dyDescent="0.8">
      <c r="A234" s="18"/>
      <c r="B234" s="18"/>
      <c r="C234" s="18"/>
      <c r="D234" s="18"/>
      <c r="E234" s="18"/>
      <c r="F234" s="18"/>
      <c r="G234" s="18"/>
      <c r="H234" s="18"/>
      <c r="I234" s="18"/>
      <c r="J234" s="74"/>
      <c r="K234" s="48"/>
      <c r="L234" s="48"/>
      <c r="M234" s="48"/>
      <c r="N234" s="54"/>
      <c r="O234" s="48"/>
      <c r="P234" s="56"/>
      <c r="R234" s="48"/>
      <c r="S234" s="48"/>
      <c r="T234" s="48"/>
      <c r="U234" s="54"/>
      <c r="V234" s="48"/>
      <c r="W234" s="52"/>
      <c r="X234" s="48"/>
      <c r="Y234" s="48"/>
    </row>
    <row r="235" spans="1:25" x14ac:dyDescent="0.8">
      <c r="A235" s="18"/>
      <c r="B235" s="18"/>
      <c r="C235" s="18"/>
      <c r="D235" s="18"/>
      <c r="E235" s="18"/>
      <c r="F235" s="18"/>
      <c r="G235" s="18"/>
      <c r="H235" s="18"/>
      <c r="I235" s="18"/>
      <c r="J235" s="74"/>
      <c r="K235" s="48"/>
      <c r="L235" s="48"/>
      <c r="M235" s="48"/>
      <c r="N235" s="54"/>
      <c r="O235" s="48"/>
      <c r="P235" s="56"/>
      <c r="R235" s="48"/>
      <c r="S235" s="48"/>
      <c r="T235" s="48"/>
      <c r="U235" s="54"/>
      <c r="V235" s="48"/>
      <c r="W235" s="52"/>
      <c r="X235" s="48"/>
      <c r="Y235" s="48"/>
    </row>
    <row r="236" spans="1:25" x14ac:dyDescent="0.8">
      <c r="A236" s="18"/>
      <c r="B236" s="18"/>
      <c r="C236" s="18"/>
      <c r="D236" s="18"/>
      <c r="E236" s="18"/>
      <c r="F236" s="18"/>
      <c r="G236" s="18"/>
      <c r="H236" s="18"/>
      <c r="I236" s="18"/>
      <c r="J236" s="74"/>
      <c r="K236" s="48"/>
      <c r="L236" s="48"/>
      <c r="M236" s="48"/>
      <c r="N236" s="54"/>
      <c r="O236" s="48"/>
      <c r="P236" s="56"/>
      <c r="R236" s="48"/>
      <c r="S236" s="48"/>
      <c r="T236" s="48"/>
      <c r="U236" s="54"/>
      <c r="V236" s="48"/>
      <c r="W236" s="52"/>
      <c r="X236" s="48"/>
      <c r="Y236" s="48"/>
    </row>
    <row r="237" spans="1:25" x14ac:dyDescent="0.8">
      <c r="A237" s="18"/>
      <c r="B237" s="18"/>
      <c r="C237" s="18"/>
      <c r="D237" s="18"/>
      <c r="E237" s="18"/>
      <c r="F237" s="18"/>
      <c r="G237" s="18"/>
      <c r="H237" s="18"/>
      <c r="I237" s="18"/>
      <c r="J237" s="74"/>
      <c r="K237" s="48"/>
      <c r="L237" s="48"/>
      <c r="M237" s="48"/>
      <c r="N237" s="54"/>
      <c r="O237" s="48"/>
      <c r="P237" s="56"/>
      <c r="R237" s="48"/>
      <c r="S237" s="48"/>
      <c r="T237" s="48"/>
      <c r="U237" s="54"/>
      <c r="V237" s="48"/>
      <c r="W237" s="52"/>
      <c r="X237" s="48"/>
      <c r="Y237" s="48"/>
    </row>
    <row r="238" spans="1:25" x14ac:dyDescent="0.8">
      <c r="A238" s="18"/>
      <c r="B238" s="18"/>
      <c r="C238" s="18"/>
      <c r="D238" s="18"/>
      <c r="E238" s="18"/>
      <c r="F238" s="18"/>
      <c r="G238" s="18"/>
      <c r="H238" s="18"/>
      <c r="I238" s="18"/>
      <c r="J238" s="74"/>
      <c r="K238" s="48"/>
      <c r="L238" s="48"/>
      <c r="M238" s="48"/>
      <c r="N238" s="54"/>
      <c r="O238" s="48"/>
      <c r="P238" s="56"/>
      <c r="R238" s="48"/>
      <c r="S238" s="48"/>
      <c r="T238" s="48"/>
      <c r="U238" s="54"/>
      <c r="V238" s="48"/>
      <c r="W238" s="52"/>
      <c r="X238" s="48"/>
      <c r="Y238" s="48"/>
    </row>
    <row r="239" spans="1:25" x14ac:dyDescent="0.8">
      <c r="A239" s="18"/>
      <c r="B239" s="18"/>
      <c r="C239" s="18"/>
      <c r="D239" s="18"/>
      <c r="E239" s="18"/>
      <c r="F239" s="18"/>
      <c r="G239" s="18"/>
      <c r="H239" s="18"/>
      <c r="I239" s="18"/>
      <c r="J239" s="74"/>
      <c r="K239" s="48"/>
      <c r="L239" s="48"/>
      <c r="M239" s="48"/>
      <c r="N239" s="54"/>
      <c r="O239" s="48"/>
      <c r="P239" s="56"/>
      <c r="R239" s="48"/>
      <c r="S239" s="48"/>
      <c r="T239" s="48"/>
      <c r="U239" s="54"/>
      <c r="V239" s="48"/>
      <c r="W239" s="52"/>
      <c r="X239" s="48"/>
      <c r="Y239" s="48"/>
    </row>
    <row r="240" spans="1:25" x14ac:dyDescent="0.8">
      <c r="A240" s="18"/>
      <c r="B240" s="18"/>
      <c r="C240" s="18"/>
      <c r="D240" s="18"/>
      <c r="E240" s="18"/>
      <c r="F240" s="18"/>
      <c r="G240" s="18"/>
      <c r="H240" s="18"/>
      <c r="I240" s="18"/>
      <c r="J240" s="74"/>
      <c r="K240" s="48"/>
      <c r="L240" s="48"/>
      <c r="M240" s="48"/>
      <c r="N240" s="54"/>
      <c r="O240" s="48"/>
      <c r="P240" s="56"/>
      <c r="R240" s="48"/>
      <c r="S240" s="48"/>
      <c r="T240" s="48"/>
      <c r="U240" s="54"/>
      <c r="V240" s="48"/>
      <c r="W240" s="52"/>
      <c r="X240" s="48"/>
      <c r="Y240" s="48"/>
    </row>
    <row r="241" spans="1:25" x14ac:dyDescent="0.8">
      <c r="A241" s="18"/>
      <c r="B241" s="18"/>
      <c r="C241" s="18"/>
      <c r="D241" s="18"/>
      <c r="E241" s="18"/>
      <c r="F241" s="18"/>
      <c r="G241" s="18"/>
      <c r="H241" s="18"/>
      <c r="I241" s="18"/>
      <c r="J241" s="74"/>
      <c r="K241" s="48"/>
      <c r="L241" s="48"/>
      <c r="M241" s="48"/>
      <c r="N241" s="54"/>
      <c r="O241" s="48"/>
      <c r="P241" s="56"/>
      <c r="R241" s="48"/>
      <c r="S241" s="48"/>
      <c r="T241" s="48"/>
      <c r="U241" s="54"/>
      <c r="V241" s="48"/>
      <c r="W241" s="52"/>
      <c r="X241" s="48"/>
      <c r="Y241" s="48"/>
    </row>
    <row r="242" spans="1:25" x14ac:dyDescent="0.8">
      <c r="A242" s="18"/>
      <c r="B242" s="18"/>
      <c r="C242" s="18"/>
      <c r="D242" s="18"/>
      <c r="E242" s="18"/>
      <c r="F242" s="18"/>
      <c r="G242" s="18"/>
      <c r="H242" s="18"/>
      <c r="I242" s="18"/>
      <c r="J242" s="74"/>
      <c r="K242" s="48"/>
      <c r="L242" s="48"/>
      <c r="M242" s="48"/>
      <c r="N242" s="54"/>
      <c r="O242" s="48"/>
      <c r="P242" s="56"/>
      <c r="R242" s="48"/>
      <c r="S242" s="48"/>
      <c r="T242" s="48"/>
      <c r="U242" s="54"/>
      <c r="V242" s="48"/>
      <c r="W242" s="52"/>
      <c r="X242" s="48"/>
      <c r="Y242" s="48"/>
    </row>
    <row r="243" spans="1:25" x14ac:dyDescent="0.8">
      <c r="A243" s="18"/>
      <c r="B243" s="18"/>
      <c r="C243" s="18"/>
      <c r="D243" s="18"/>
      <c r="E243" s="18"/>
      <c r="F243" s="18"/>
      <c r="G243" s="18"/>
      <c r="H243" s="18"/>
      <c r="I243" s="18"/>
      <c r="J243" s="74"/>
      <c r="K243" s="48"/>
      <c r="L243" s="48"/>
      <c r="M243" s="48"/>
      <c r="N243" s="54"/>
      <c r="O243" s="48"/>
      <c r="P243" s="56"/>
      <c r="R243" s="48"/>
      <c r="S243" s="48"/>
      <c r="T243" s="48"/>
      <c r="U243" s="54"/>
      <c r="V243" s="48"/>
      <c r="W243" s="52"/>
      <c r="X243" s="48"/>
      <c r="Y243" s="48"/>
    </row>
    <row r="244" spans="1:25" x14ac:dyDescent="0.8">
      <c r="A244" s="18"/>
      <c r="B244" s="18"/>
      <c r="C244" s="18"/>
      <c r="D244" s="18"/>
      <c r="E244" s="18"/>
      <c r="F244" s="18"/>
      <c r="G244" s="18"/>
      <c r="H244" s="18"/>
      <c r="I244" s="18"/>
      <c r="J244" s="74"/>
      <c r="K244" s="48"/>
      <c r="L244" s="48"/>
      <c r="M244" s="48"/>
      <c r="N244" s="54"/>
      <c r="O244" s="48"/>
      <c r="P244" s="56"/>
      <c r="R244" s="48"/>
      <c r="S244" s="48"/>
      <c r="T244" s="48"/>
      <c r="U244" s="54"/>
      <c r="V244" s="48"/>
      <c r="W244" s="52"/>
      <c r="X244" s="48"/>
      <c r="Y244" s="48"/>
    </row>
    <row r="245" spans="1:25" x14ac:dyDescent="0.8">
      <c r="A245" s="18"/>
      <c r="B245" s="18"/>
      <c r="C245" s="18"/>
      <c r="D245" s="18"/>
      <c r="E245" s="18"/>
      <c r="F245" s="18"/>
      <c r="G245" s="18"/>
      <c r="H245" s="18"/>
      <c r="I245" s="18"/>
      <c r="J245" s="74"/>
      <c r="K245" s="48"/>
      <c r="L245" s="48"/>
      <c r="M245" s="48"/>
      <c r="N245" s="54"/>
      <c r="O245" s="48"/>
      <c r="P245" s="56"/>
      <c r="R245" s="48"/>
      <c r="S245" s="48"/>
      <c r="T245" s="48"/>
      <c r="U245" s="54"/>
      <c r="V245" s="48"/>
      <c r="W245" s="52"/>
      <c r="X245" s="48"/>
      <c r="Y245" s="48"/>
    </row>
    <row r="246" spans="1:25" x14ac:dyDescent="0.8">
      <c r="A246" s="18"/>
      <c r="B246" s="18"/>
      <c r="C246" s="18"/>
      <c r="D246" s="18"/>
      <c r="E246" s="18"/>
      <c r="F246" s="18"/>
      <c r="G246" s="18"/>
      <c r="H246" s="18"/>
      <c r="I246" s="18"/>
      <c r="J246" s="74"/>
      <c r="K246" s="48"/>
      <c r="L246" s="48"/>
      <c r="M246" s="48"/>
      <c r="N246" s="54"/>
      <c r="O246" s="48"/>
      <c r="P246" s="56"/>
      <c r="R246" s="48"/>
      <c r="S246" s="48"/>
      <c r="T246" s="48"/>
      <c r="U246" s="54"/>
      <c r="V246" s="48"/>
      <c r="W246" s="52"/>
      <c r="X246" s="48"/>
      <c r="Y246" s="48"/>
    </row>
    <row r="247" spans="1:25" x14ac:dyDescent="0.8">
      <c r="A247" s="18"/>
      <c r="B247" s="18"/>
      <c r="C247" s="18"/>
      <c r="D247" s="18"/>
      <c r="E247" s="18"/>
      <c r="F247" s="18"/>
      <c r="G247" s="18"/>
      <c r="H247" s="18"/>
      <c r="I247" s="18"/>
      <c r="J247" s="74"/>
      <c r="K247" s="48"/>
      <c r="L247" s="48"/>
      <c r="M247" s="48"/>
      <c r="N247" s="54"/>
      <c r="O247" s="48"/>
      <c r="P247" s="56"/>
      <c r="R247" s="48"/>
      <c r="S247" s="48"/>
      <c r="T247" s="48"/>
      <c r="U247" s="54"/>
      <c r="V247" s="48"/>
      <c r="W247" s="52"/>
      <c r="X247" s="48"/>
      <c r="Y247" s="48"/>
    </row>
    <row r="248" spans="1:25" x14ac:dyDescent="0.8">
      <c r="A248" s="18"/>
      <c r="B248" s="18"/>
      <c r="C248" s="18"/>
      <c r="D248" s="18"/>
      <c r="E248" s="18"/>
      <c r="F248" s="18"/>
      <c r="G248" s="18"/>
      <c r="H248" s="18"/>
      <c r="I248" s="18"/>
      <c r="J248" s="74"/>
      <c r="K248" s="48"/>
      <c r="L248" s="48"/>
      <c r="M248" s="48"/>
      <c r="N248" s="54"/>
      <c r="O248" s="48"/>
      <c r="P248" s="56"/>
      <c r="R248" s="48"/>
      <c r="S248" s="48"/>
      <c r="T248" s="48"/>
      <c r="U248" s="54"/>
      <c r="V248" s="48"/>
      <c r="W248" s="52"/>
      <c r="X248" s="48"/>
      <c r="Y248" s="48"/>
    </row>
    <row r="249" spans="1:25" x14ac:dyDescent="0.8">
      <c r="A249" s="18"/>
      <c r="B249" s="18"/>
      <c r="C249" s="18"/>
      <c r="D249" s="18"/>
      <c r="E249" s="18"/>
      <c r="F249" s="18"/>
      <c r="G249" s="18"/>
      <c r="H249" s="18"/>
      <c r="I249" s="18"/>
      <c r="J249" s="74"/>
      <c r="K249" s="48"/>
      <c r="L249" s="48"/>
      <c r="M249" s="48"/>
      <c r="N249" s="54"/>
      <c r="O249" s="48"/>
      <c r="P249" s="56"/>
      <c r="R249" s="48"/>
      <c r="S249" s="48"/>
      <c r="T249" s="48"/>
      <c r="U249" s="54"/>
      <c r="V249" s="48"/>
      <c r="W249" s="52"/>
      <c r="X249" s="48"/>
      <c r="Y249" s="48"/>
    </row>
    <row r="250" spans="1:25" x14ac:dyDescent="0.8">
      <c r="A250" s="18"/>
      <c r="B250" s="18"/>
      <c r="C250" s="18"/>
      <c r="D250" s="18"/>
      <c r="E250" s="18"/>
      <c r="F250" s="18"/>
      <c r="G250" s="18"/>
      <c r="H250" s="18"/>
      <c r="I250" s="18"/>
      <c r="J250" s="74"/>
      <c r="K250" s="48"/>
      <c r="L250" s="48"/>
      <c r="M250" s="48"/>
      <c r="N250" s="54"/>
      <c r="O250" s="48"/>
      <c r="P250" s="56"/>
      <c r="R250" s="48"/>
      <c r="S250" s="48"/>
      <c r="T250" s="48"/>
      <c r="U250" s="54"/>
      <c r="V250" s="48"/>
      <c r="W250" s="52"/>
      <c r="X250" s="48"/>
      <c r="Y250" s="48"/>
    </row>
    <row r="251" spans="1:25" x14ac:dyDescent="0.8">
      <c r="A251" s="18"/>
      <c r="B251" s="18"/>
      <c r="C251" s="18"/>
      <c r="D251" s="18"/>
      <c r="E251" s="18"/>
      <c r="F251" s="18"/>
      <c r="G251" s="18"/>
      <c r="H251" s="18"/>
      <c r="I251" s="18"/>
      <c r="J251" s="74"/>
      <c r="K251" s="48"/>
      <c r="L251" s="48"/>
      <c r="M251" s="48"/>
      <c r="N251" s="54"/>
      <c r="O251" s="48"/>
      <c r="P251" s="56"/>
      <c r="R251" s="48"/>
      <c r="S251" s="48"/>
      <c r="T251" s="48"/>
      <c r="U251" s="54"/>
      <c r="V251" s="48"/>
      <c r="W251" s="52"/>
      <c r="X251" s="48"/>
      <c r="Y251" s="48"/>
    </row>
    <row r="252" spans="1:25" x14ac:dyDescent="0.8">
      <c r="A252" s="18"/>
      <c r="B252" s="18"/>
      <c r="C252" s="18"/>
      <c r="D252" s="18"/>
      <c r="E252" s="18"/>
      <c r="F252" s="18"/>
      <c r="G252" s="18"/>
      <c r="H252" s="18"/>
      <c r="I252" s="18"/>
      <c r="J252" s="74"/>
      <c r="K252" s="48"/>
      <c r="L252" s="48"/>
      <c r="M252" s="48"/>
      <c r="N252" s="54"/>
      <c r="O252" s="48"/>
      <c r="P252" s="56"/>
      <c r="R252" s="48"/>
      <c r="S252" s="48"/>
      <c r="T252" s="48"/>
      <c r="U252" s="54"/>
      <c r="V252" s="48"/>
      <c r="W252" s="52"/>
      <c r="X252" s="48"/>
      <c r="Y252" s="48"/>
    </row>
    <row r="253" spans="1:25" x14ac:dyDescent="0.8">
      <c r="A253" s="18"/>
      <c r="B253" s="18"/>
      <c r="C253" s="18"/>
      <c r="D253" s="18"/>
      <c r="E253" s="18"/>
      <c r="F253" s="18"/>
      <c r="G253" s="18"/>
      <c r="H253" s="18"/>
      <c r="I253" s="18"/>
      <c r="J253" s="74"/>
      <c r="K253" s="48"/>
      <c r="L253" s="48"/>
      <c r="M253" s="48"/>
      <c r="N253" s="54"/>
      <c r="O253" s="48"/>
      <c r="P253" s="56"/>
      <c r="R253" s="48"/>
      <c r="S253" s="48"/>
      <c r="T253" s="48"/>
      <c r="U253" s="54"/>
      <c r="V253" s="48"/>
      <c r="W253" s="52"/>
      <c r="X253" s="48"/>
      <c r="Y253" s="48"/>
    </row>
    <row r="254" spans="1:25" x14ac:dyDescent="0.8">
      <c r="A254" s="18"/>
      <c r="B254" s="18"/>
      <c r="C254" s="18"/>
      <c r="D254" s="18"/>
      <c r="E254" s="18"/>
      <c r="F254" s="18"/>
      <c r="G254" s="18"/>
      <c r="H254" s="18"/>
      <c r="I254" s="18"/>
      <c r="J254" s="74"/>
      <c r="K254" s="48"/>
      <c r="L254" s="48"/>
      <c r="M254" s="48"/>
      <c r="N254" s="54"/>
      <c r="O254" s="48"/>
      <c r="P254" s="56"/>
      <c r="R254" s="48"/>
      <c r="S254" s="48"/>
      <c r="T254" s="48"/>
      <c r="U254" s="54"/>
      <c r="V254" s="48"/>
      <c r="W254" s="52"/>
      <c r="X254" s="48"/>
      <c r="Y254" s="48"/>
    </row>
    <row r="255" spans="1:25" x14ac:dyDescent="0.8">
      <c r="A255" s="18"/>
      <c r="B255" s="18"/>
      <c r="C255" s="18"/>
      <c r="D255" s="18"/>
      <c r="E255" s="18"/>
      <c r="F255" s="18"/>
      <c r="G255" s="18"/>
      <c r="H255" s="18"/>
      <c r="I255" s="18"/>
      <c r="J255" s="74"/>
      <c r="K255" s="48"/>
      <c r="L255" s="48"/>
      <c r="M255" s="48"/>
      <c r="N255" s="54"/>
      <c r="O255" s="48"/>
      <c r="P255" s="56"/>
      <c r="R255" s="48"/>
      <c r="S255" s="48"/>
      <c r="T255" s="48"/>
      <c r="U255" s="54"/>
      <c r="V255" s="48"/>
      <c r="W255" s="52"/>
      <c r="X255" s="48"/>
      <c r="Y255" s="48"/>
    </row>
    <row r="256" spans="1:25" x14ac:dyDescent="0.8">
      <c r="A256" s="18"/>
      <c r="B256" s="18"/>
      <c r="C256" s="18"/>
      <c r="D256" s="18"/>
      <c r="E256" s="18"/>
      <c r="F256" s="18"/>
      <c r="G256" s="18"/>
      <c r="H256" s="18"/>
      <c r="I256" s="18"/>
      <c r="J256" s="74"/>
      <c r="K256" s="48"/>
      <c r="L256" s="48"/>
      <c r="M256" s="48"/>
      <c r="N256" s="54"/>
      <c r="O256" s="48"/>
      <c r="P256" s="56"/>
      <c r="R256" s="48"/>
      <c r="S256" s="48"/>
      <c r="T256" s="48"/>
      <c r="U256" s="54"/>
      <c r="V256" s="48"/>
      <c r="W256" s="52"/>
      <c r="X256" s="48"/>
      <c r="Y256" s="48"/>
    </row>
    <row r="257" spans="1:25" x14ac:dyDescent="0.8">
      <c r="A257" s="18"/>
      <c r="B257" s="18"/>
      <c r="C257" s="18"/>
      <c r="D257" s="18"/>
      <c r="E257" s="18"/>
      <c r="F257" s="18"/>
      <c r="G257" s="18"/>
      <c r="H257" s="18"/>
      <c r="I257" s="18"/>
      <c r="J257" s="74"/>
      <c r="K257" s="48"/>
      <c r="L257" s="48"/>
      <c r="M257" s="48"/>
      <c r="N257" s="54"/>
      <c r="O257" s="48"/>
      <c r="P257" s="56"/>
      <c r="R257" s="48"/>
      <c r="S257" s="48"/>
      <c r="T257" s="48"/>
      <c r="U257" s="54"/>
      <c r="V257" s="48"/>
      <c r="W257" s="52"/>
      <c r="X257" s="48"/>
      <c r="Y257" s="48"/>
    </row>
    <row r="258" spans="1:25" x14ac:dyDescent="0.8">
      <c r="A258" s="18"/>
      <c r="B258" s="18"/>
      <c r="C258" s="18"/>
      <c r="D258" s="18"/>
      <c r="E258" s="18"/>
      <c r="F258" s="18"/>
      <c r="G258" s="18"/>
      <c r="H258" s="18"/>
      <c r="I258" s="18"/>
      <c r="J258" s="74"/>
      <c r="K258" s="48"/>
      <c r="L258" s="48"/>
      <c r="M258" s="48"/>
      <c r="N258" s="54"/>
      <c r="O258" s="48"/>
      <c r="P258" s="56"/>
      <c r="R258" s="48"/>
      <c r="S258" s="48"/>
      <c r="T258" s="48"/>
      <c r="U258" s="54"/>
      <c r="V258" s="48"/>
      <c r="W258" s="52"/>
      <c r="X258" s="48"/>
      <c r="Y258" s="48"/>
    </row>
    <row r="259" spans="1:25" x14ac:dyDescent="0.8">
      <c r="A259" s="18"/>
      <c r="B259" s="18"/>
      <c r="C259" s="18"/>
      <c r="D259" s="18"/>
      <c r="E259" s="18"/>
      <c r="F259" s="18"/>
      <c r="G259" s="18"/>
      <c r="H259" s="18"/>
      <c r="I259" s="18"/>
      <c r="J259" s="74"/>
      <c r="K259" s="48"/>
      <c r="L259" s="48"/>
      <c r="M259" s="48"/>
      <c r="N259" s="54"/>
      <c r="O259" s="48"/>
      <c r="P259" s="56"/>
      <c r="R259" s="48"/>
      <c r="S259" s="48"/>
      <c r="T259" s="48"/>
      <c r="U259" s="54"/>
      <c r="V259" s="48"/>
      <c r="W259" s="52"/>
      <c r="X259" s="48"/>
      <c r="Y259" s="48"/>
    </row>
    <row r="260" spans="1:25" x14ac:dyDescent="0.8">
      <c r="A260" s="18"/>
      <c r="B260" s="18"/>
      <c r="C260" s="18"/>
      <c r="D260" s="18"/>
      <c r="E260" s="18"/>
      <c r="F260" s="18"/>
      <c r="G260" s="18"/>
      <c r="H260" s="18"/>
      <c r="I260" s="18"/>
      <c r="J260" s="74"/>
      <c r="K260" s="48"/>
      <c r="L260" s="48"/>
      <c r="M260" s="48"/>
      <c r="N260" s="54"/>
      <c r="O260" s="48"/>
      <c r="P260" s="56"/>
      <c r="R260" s="48"/>
      <c r="S260" s="48"/>
      <c r="T260" s="48"/>
      <c r="U260" s="54"/>
      <c r="V260" s="48"/>
      <c r="W260" s="52"/>
      <c r="X260" s="48"/>
      <c r="Y260" s="48"/>
    </row>
    <row r="261" spans="1:25" x14ac:dyDescent="0.8">
      <c r="A261" s="18"/>
      <c r="B261" s="18"/>
      <c r="C261" s="18"/>
      <c r="D261" s="18"/>
      <c r="E261" s="18"/>
      <c r="F261" s="18"/>
      <c r="G261" s="18"/>
      <c r="H261" s="18"/>
      <c r="I261" s="18"/>
      <c r="J261" s="74"/>
      <c r="K261" s="48"/>
      <c r="L261" s="48"/>
      <c r="M261" s="48"/>
      <c r="N261" s="54"/>
      <c r="O261" s="48"/>
      <c r="P261" s="56"/>
      <c r="R261" s="48"/>
      <c r="S261" s="48"/>
      <c r="T261" s="48"/>
      <c r="U261" s="54"/>
      <c r="V261" s="48"/>
      <c r="W261" s="52"/>
      <c r="X261" s="48"/>
      <c r="Y261" s="48"/>
    </row>
    <row r="262" spans="1:25" x14ac:dyDescent="0.8">
      <c r="A262" s="18"/>
      <c r="B262" s="18"/>
      <c r="C262" s="18"/>
      <c r="D262" s="18"/>
      <c r="E262" s="18"/>
      <c r="F262" s="18"/>
      <c r="G262" s="18"/>
      <c r="H262" s="18"/>
      <c r="I262" s="18"/>
      <c r="J262" s="74"/>
      <c r="K262" s="48"/>
      <c r="L262" s="48"/>
      <c r="M262" s="48"/>
      <c r="N262" s="54"/>
      <c r="O262" s="48"/>
      <c r="P262" s="56"/>
      <c r="R262" s="48"/>
      <c r="S262" s="48"/>
      <c r="T262" s="48"/>
      <c r="U262" s="54"/>
      <c r="V262" s="48"/>
      <c r="W262" s="52"/>
      <c r="X262" s="48"/>
      <c r="Y262" s="48"/>
    </row>
    <row r="263" spans="1:25" x14ac:dyDescent="0.8">
      <c r="A263" s="18"/>
      <c r="B263" s="18"/>
      <c r="C263" s="18"/>
      <c r="D263" s="18"/>
      <c r="E263" s="18"/>
      <c r="F263" s="18"/>
      <c r="G263" s="18"/>
      <c r="H263" s="18"/>
      <c r="I263" s="18"/>
      <c r="J263" s="74"/>
      <c r="K263" s="48"/>
      <c r="L263" s="48"/>
      <c r="M263" s="48"/>
      <c r="N263" s="54"/>
      <c r="O263" s="48"/>
      <c r="P263" s="56"/>
      <c r="R263" s="48"/>
      <c r="S263" s="48"/>
      <c r="T263" s="48"/>
      <c r="U263" s="54"/>
      <c r="V263" s="48"/>
      <c r="W263" s="52"/>
      <c r="X263" s="48"/>
      <c r="Y263" s="48"/>
    </row>
    <row r="264" spans="1:25" x14ac:dyDescent="0.8">
      <c r="A264" s="18"/>
      <c r="B264" s="18"/>
      <c r="C264" s="18"/>
      <c r="D264" s="18"/>
      <c r="E264" s="18"/>
      <c r="F264" s="18"/>
      <c r="G264" s="18"/>
      <c r="H264" s="18"/>
      <c r="I264" s="18"/>
      <c r="J264" s="74"/>
      <c r="K264" s="48"/>
      <c r="L264" s="48"/>
      <c r="M264" s="48"/>
      <c r="N264" s="54"/>
      <c r="O264" s="48"/>
      <c r="P264" s="56"/>
      <c r="R264" s="48"/>
      <c r="S264" s="48"/>
      <c r="T264" s="48"/>
      <c r="U264" s="54"/>
      <c r="V264" s="48"/>
      <c r="W264" s="52"/>
      <c r="X264" s="48"/>
      <c r="Y264" s="48"/>
    </row>
    <row r="265" spans="1:25" x14ac:dyDescent="0.8">
      <c r="A265" s="18"/>
      <c r="B265" s="18"/>
      <c r="C265" s="18"/>
      <c r="D265" s="18"/>
      <c r="E265" s="18"/>
      <c r="F265" s="18"/>
      <c r="G265" s="18"/>
      <c r="H265" s="18"/>
      <c r="I265" s="18"/>
      <c r="J265" s="74"/>
      <c r="K265" s="48"/>
      <c r="L265" s="48"/>
      <c r="M265" s="48"/>
      <c r="N265" s="54"/>
      <c r="O265" s="48"/>
      <c r="P265" s="56"/>
      <c r="R265" s="48"/>
      <c r="S265" s="48"/>
      <c r="T265" s="48"/>
      <c r="U265" s="54"/>
      <c r="V265" s="48"/>
      <c r="W265" s="52"/>
      <c r="X265" s="48"/>
      <c r="Y265" s="48"/>
    </row>
    <row r="266" spans="1:25" x14ac:dyDescent="0.8">
      <c r="A266" s="18"/>
      <c r="B266" s="18"/>
      <c r="C266" s="18"/>
      <c r="D266" s="18"/>
      <c r="E266" s="18"/>
      <c r="F266" s="18"/>
      <c r="G266" s="18"/>
      <c r="H266" s="18"/>
      <c r="I266" s="18"/>
      <c r="J266" s="74"/>
      <c r="K266" s="48"/>
      <c r="L266" s="48"/>
      <c r="M266" s="48"/>
      <c r="N266" s="54"/>
      <c r="O266" s="48"/>
      <c r="P266" s="56"/>
      <c r="R266" s="48"/>
      <c r="S266" s="48"/>
      <c r="T266" s="48"/>
      <c r="U266" s="54"/>
      <c r="V266" s="48"/>
      <c r="W266" s="52"/>
      <c r="X266" s="48"/>
      <c r="Y266" s="48"/>
    </row>
    <row r="267" spans="1:25" x14ac:dyDescent="0.8">
      <c r="A267" s="18"/>
      <c r="B267" s="18"/>
      <c r="C267" s="18"/>
      <c r="D267" s="18"/>
      <c r="E267" s="18"/>
      <c r="F267" s="18"/>
      <c r="G267" s="18"/>
      <c r="H267" s="18"/>
      <c r="I267" s="18"/>
      <c r="J267" s="74"/>
      <c r="K267" s="48"/>
      <c r="L267" s="48"/>
      <c r="M267" s="48"/>
      <c r="N267" s="54"/>
      <c r="O267" s="48"/>
      <c r="P267" s="56"/>
      <c r="R267" s="48"/>
      <c r="S267" s="48"/>
      <c r="T267" s="48"/>
      <c r="U267" s="54"/>
      <c r="V267" s="48"/>
      <c r="W267" s="52"/>
      <c r="X267" s="48"/>
      <c r="Y267" s="48"/>
    </row>
    <row r="268" spans="1:25" x14ac:dyDescent="0.8">
      <c r="A268" s="18"/>
      <c r="B268" s="18"/>
      <c r="C268" s="18"/>
      <c r="D268" s="18"/>
      <c r="E268" s="18"/>
      <c r="F268" s="18"/>
      <c r="G268" s="18"/>
      <c r="H268" s="18"/>
      <c r="I268" s="18"/>
      <c r="J268" s="74"/>
      <c r="K268" s="48"/>
      <c r="L268" s="48"/>
      <c r="M268" s="48"/>
      <c r="N268" s="54"/>
      <c r="O268" s="48"/>
      <c r="P268" s="56"/>
      <c r="R268" s="48"/>
      <c r="S268" s="48"/>
      <c r="T268" s="48"/>
      <c r="U268" s="54"/>
      <c r="V268" s="48"/>
      <c r="W268" s="52"/>
      <c r="X268" s="48"/>
      <c r="Y268" s="48"/>
    </row>
    <row r="269" spans="1:25" x14ac:dyDescent="0.8">
      <c r="A269" s="18"/>
      <c r="B269" s="18"/>
      <c r="C269" s="18"/>
      <c r="D269" s="18"/>
      <c r="E269" s="18"/>
      <c r="F269" s="18"/>
      <c r="G269" s="18"/>
      <c r="H269" s="18"/>
      <c r="I269" s="18"/>
      <c r="J269" s="74"/>
      <c r="K269" s="48"/>
      <c r="L269" s="48"/>
      <c r="M269" s="48"/>
      <c r="N269" s="54"/>
      <c r="O269" s="48"/>
      <c r="P269" s="56"/>
      <c r="R269" s="48"/>
      <c r="S269" s="48"/>
      <c r="T269" s="48"/>
      <c r="U269" s="54"/>
      <c r="V269" s="48"/>
      <c r="W269" s="52"/>
      <c r="X269" s="48"/>
      <c r="Y269" s="48"/>
    </row>
    <row r="270" spans="1:25" x14ac:dyDescent="0.8">
      <c r="A270" s="18"/>
      <c r="B270" s="18"/>
      <c r="C270" s="18"/>
      <c r="D270" s="18"/>
      <c r="E270" s="18"/>
      <c r="F270" s="18"/>
      <c r="G270" s="18"/>
      <c r="H270" s="18"/>
      <c r="I270" s="18"/>
      <c r="J270" s="74"/>
      <c r="K270" s="48"/>
      <c r="L270" s="48"/>
      <c r="M270" s="48"/>
      <c r="N270" s="54"/>
      <c r="O270" s="48"/>
      <c r="P270" s="56"/>
      <c r="R270" s="48"/>
      <c r="S270" s="48"/>
      <c r="T270" s="48"/>
      <c r="U270" s="54"/>
      <c r="V270" s="48"/>
      <c r="W270" s="52"/>
      <c r="X270" s="48"/>
      <c r="Y270" s="48"/>
    </row>
    <row r="271" spans="1:25" x14ac:dyDescent="0.8">
      <c r="A271" s="18"/>
      <c r="B271" s="18"/>
      <c r="C271" s="18"/>
      <c r="D271" s="18"/>
      <c r="E271" s="18"/>
      <c r="F271" s="18"/>
      <c r="G271" s="18"/>
      <c r="H271" s="18"/>
      <c r="I271" s="18"/>
      <c r="J271" s="74"/>
      <c r="K271" s="48"/>
      <c r="L271" s="48"/>
      <c r="M271" s="48"/>
      <c r="N271" s="54"/>
      <c r="O271" s="48"/>
      <c r="P271" s="56"/>
      <c r="R271" s="48"/>
      <c r="S271" s="48"/>
      <c r="T271" s="48"/>
      <c r="U271" s="54"/>
      <c r="V271" s="48"/>
      <c r="W271" s="52"/>
      <c r="X271" s="48"/>
      <c r="Y271" s="48"/>
    </row>
    <row r="272" spans="1:25" x14ac:dyDescent="0.8">
      <c r="A272" s="18"/>
      <c r="B272" s="18"/>
      <c r="C272" s="18"/>
      <c r="D272" s="18"/>
      <c r="E272" s="18"/>
      <c r="F272" s="18"/>
      <c r="G272" s="18"/>
      <c r="H272" s="18"/>
      <c r="I272" s="18"/>
      <c r="J272" s="74"/>
      <c r="K272" s="48"/>
      <c r="L272" s="48"/>
      <c r="M272" s="48"/>
      <c r="N272" s="54"/>
      <c r="O272" s="48"/>
      <c r="P272" s="56"/>
      <c r="R272" s="48"/>
      <c r="S272" s="48"/>
      <c r="T272" s="48"/>
      <c r="U272" s="54"/>
      <c r="V272" s="48"/>
      <c r="W272" s="52"/>
      <c r="X272" s="48"/>
      <c r="Y272" s="48"/>
    </row>
    <row r="273" spans="1:25" x14ac:dyDescent="0.8">
      <c r="A273" s="18"/>
      <c r="B273" s="18"/>
      <c r="C273" s="18"/>
      <c r="D273" s="18"/>
      <c r="E273" s="18"/>
      <c r="F273" s="18"/>
      <c r="G273" s="18"/>
      <c r="H273" s="18"/>
      <c r="I273" s="18"/>
      <c r="J273" s="74"/>
      <c r="K273" s="48"/>
      <c r="L273" s="48"/>
      <c r="M273" s="48"/>
      <c r="N273" s="54"/>
      <c r="O273" s="48"/>
      <c r="P273" s="56"/>
      <c r="R273" s="48"/>
      <c r="S273" s="48"/>
      <c r="T273" s="48"/>
      <c r="U273" s="54"/>
      <c r="V273" s="48"/>
      <c r="W273" s="52"/>
      <c r="X273" s="48"/>
      <c r="Y273" s="48"/>
    </row>
    <row r="274" spans="1:25" x14ac:dyDescent="0.8">
      <c r="A274" s="18"/>
      <c r="B274" s="18"/>
      <c r="C274" s="18"/>
      <c r="D274" s="18"/>
      <c r="E274" s="18"/>
      <c r="F274" s="18"/>
      <c r="G274" s="18"/>
      <c r="H274" s="18"/>
      <c r="I274" s="18"/>
      <c r="J274" s="74"/>
      <c r="K274" s="48"/>
      <c r="L274" s="48"/>
      <c r="M274" s="48"/>
      <c r="N274" s="54"/>
      <c r="O274" s="48"/>
      <c r="P274" s="56"/>
      <c r="R274" s="48"/>
      <c r="S274" s="48"/>
      <c r="T274" s="48"/>
      <c r="U274" s="54"/>
      <c r="V274" s="48"/>
      <c r="W274" s="52"/>
      <c r="X274" s="48"/>
      <c r="Y274" s="48"/>
    </row>
    <row r="275" spans="1:25" x14ac:dyDescent="0.8">
      <c r="A275" s="18"/>
      <c r="B275" s="18"/>
      <c r="C275" s="18"/>
      <c r="D275" s="18"/>
      <c r="E275" s="18"/>
      <c r="F275" s="18"/>
      <c r="G275" s="18"/>
      <c r="H275" s="18"/>
      <c r="I275" s="18"/>
      <c r="J275" s="74"/>
      <c r="K275" s="48"/>
      <c r="L275" s="48"/>
      <c r="M275" s="48"/>
      <c r="N275" s="54"/>
      <c r="O275" s="48"/>
      <c r="P275" s="56"/>
      <c r="R275" s="48"/>
      <c r="S275" s="48"/>
      <c r="T275" s="48"/>
      <c r="U275" s="54"/>
      <c r="V275" s="48"/>
      <c r="W275" s="52"/>
      <c r="X275" s="48"/>
      <c r="Y275" s="48"/>
    </row>
    <row r="276" spans="1:25" x14ac:dyDescent="0.8">
      <c r="A276" s="18"/>
      <c r="B276" s="18"/>
      <c r="C276" s="18"/>
      <c r="D276" s="18"/>
      <c r="E276" s="18"/>
      <c r="F276" s="18"/>
      <c r="G276" s="18"/>
      <c r="H276" s="18"/>
      <c r="I276" s="18"/>
      <c r="J276" s="74"/>
      <c r="K276" s="48"/>
      <c r="L276" s="48"/>
      <c r="M276" s="48"/>
      <c r="N276" s="54"/>
      <c r="O276" s="48"/>
      <c r="P276" s="56"/>
      <c r="R276" s="48"/>
      <c r="S276" s="48"/>
      <c r="T276" s="48"/>
      <c r="U276" s="54"/>
      <c r="V276" s="48"/>
      <c r="W276" s="52"/>
      <c r="X276" s="48"/>
      <c r="Y276" s="48"/>
    </row>
    <row r="277" spans="1:25" x14ac:dyDescent="0.8">
      <c r="A277" s="18"/>
      <c r="B277" s="18"/>
      <c r="C277" s="18"/>
      <c r="D277" s="18"/>
      <c r="E277" s="18"/>
      <c r="F277" s="18"/>
      <c r="G277" s="18"/>
      <c r="H277" s="18"/>
      <c r="I277" s="18"/>
      <c r="J277" s="74"/>
      <c r="K277" s="48"/>
      <c r="L277" s="48"/>
      <c r="M277" s="48"/>
      <c r="N277" s="54"/>
      <c r="O277" s="48"/>
      <c r="P277" s="56"/>
      <c r="R277" s="48"/>
      <c r="S277" s="48"/>
      <c r="T277" s="48"/>
      <c r="U277" s="54"/>
      <c r="V277" s="48"/>
      <c r="W277" s="52"/>
      <c r="X277" s="48"/>
      <c r="Y277" s="48"/>
    </row>
    <row r="278" spans="1:25" x14ac:dyDescent="0.8">
      <c r="A278" s="18"/>
      <c r="B278" s="18"/>
      <c r="C278" s="18"/>
      <c r="D278" s="18"/>
      <c r="E278" s="18"/>
      <c r="F278" s="18"/>
      <c r="G278" s="18"/>
      <c r="H278" s="18"/>
      <c r="I278" s="18"/>
      <c r="J278" s="74"/>
      <c r="K278" s="48"/>
      <c r="L278" s="48"/>
      <c r="M278" s="48"/>
      <c r="N278" s="54"/>
      <c r="O278" s="48"/>
      <c r="P278" s="56"/>
      <c r="R278" s="48"/>
      <c r="S278" s="48"/>
      <c r="T278" s="48"/>
      <c r="U278" s="54"/>
      <c r="V278" s="48"/>
      <c r="W278" s="52"/>
      <c r="X278" s="48"/>
      <c r="Y278" s="48"/>
    </row>
    <row r="279" spans="1:25" x14ac:dyDescent="0.8">
      <c r="A279" s="18"/>
      <c r="B279" s="18"/>
      <c r="C279" s="18"/>
      <c r="D279" s="18"/>
      <c r="E279" s="18"/>
      <c r="F279" s="18"/>
      <c r="G279" s="18"/>
      <c r="H279" s="18"/>
      <c r="I279" s="18"/>
      <c r="J279" s="74"/>
      <c r="K279" s="48"/>
      <c r="L279" s="48"/>
      <c r="M279" s="48"/>
      <c r="N279" s="54"/>
      <c r="O279" s="48"/>
      <c r="P279" s="56"/>
      <c r="R279" s="48"/>
      <c r="S279" s="48"/>
      <c r="T279" s="48"/>
      <c r="U279" s="54"/>
      <c r="V279" s="48"/>
      <c r="W279" s="52"/>
      <c r="X279" s="48"/>
      <c r="Y279" s="48"/>
    </row>
    <row r="280" spans="1:25" x14ac:dyDescent="0.8">
      <c r="A280" s="18"/>
      <c r="B280" s="18"/>
      <c r="C280" s="18"/>
      <c r="D280" s="18"/>
      <c r="E280" s="18"/>
      <c r="F280" s="18"/>
      <c r="G280" s="18"/>
      <c r="H280" s="18"/>
      <c r="I280" s="18"/>
      <c r="J280" s="74"/>
      <c r="K280" s="48"/>
      <c r="L280" s="48"/>
      <c r="M280" s="48"/>
      <c r="N280" s="54"/>
      <c r="O280" s="48"/>
      <c r="P280" s="56"/>
      <c r="R280" s="48"/>
      <c r="S280" s="48"/>
      <c r="T280" s="48"/>
      <c r="U280" s="54"/>
      <c r="V280" s="48"/>
      <c r="W280" s="52"/>
      <c r="X280" s="48"/>
      <c r="Y280" s="48"/>
    </row>
    <row r="281" spans="1:25" x14ac:dyDescent="0.8">
      <c r="A281" s="18"/>
      <c r="B281" s="18"/>
      <c r="C281" s="18"/>
      <c r="D281" s="18"/>
      <c r="E281" s="18"/>
      <c r="F281" s="18"/>
      <c r="G281" s="18"/>
      <c r="H281" s="18"/>
      <c r="I281" s="18"/>
      <c r="J281" s="74"/>
      <c r="K281" s="48"/>
      <c r="L281" s="48"/>
      <c r="M281" s="48"/>
      <c r="N281" s="54"/>
      <c r="O281" s="48"/>
      <c r="P281" s="56"/>
      <c r="R281" s="48"/>
      <c r="S281" s="48"/>
      <c r="T281" s="48"/>
      <c r="U281" s="54"/>
      <c r="V281" s="48"/>
      <c r="W281" s="52"/>
      <c r="X281" s="48"/>
      <c r="Y281" s="48"/>
    </row>
    <row r="282" spans="1:25" x14ac:dyDescent="0.8">
      <c r="A282" s="18"/>
      <c r="B282" s="18"/>
      <c r="C282" s="18"/>
      <c r="D282" s="18"/>
      <c r="E282" s="18"/>
      <c r="F282" s="18"/>
      <c r="G282" s="18"/>
      <c r="H282" s="18"/>
      <c r="I282" s="18"/>
      <c r="J282" s="74"/>
    </row>
    <row r="283" spans="1:25" x14ac:dyDescent="0.8">
      <c r="A283" s="18"/>
      <c r="B283" s="18"/>
      <c r="C283" s="18"/>
      <c r="D283" s="18"/>
      <c r="E283" s="18"/>
      <c r="F283" s="18"/>
      <c r="G283" s="18"/>
      <c r="H283" s="18"/>
      <c r="I283" s="18"/>
      <c r="J283" s="74"/>
    </row>
    <row r="284" spans="1:25" x14ac:dyDescent="0.8">
      <c r="A284" s="18"/>
      <c r="B284" s="18"/>
      <c r="C284" s="18"/>
      <c r="D284" s="18"/>
      <c r="E284" s="18"/>
      <c r="F284" s="18"/>
      <c r="G284" s="18"/>
      <c r="H284" s="18"/>
      <c r="I284" s="18"/>
      <c r="J284" s="74"/>
    </row>
    <row r="285" spans="1:25" x14ac:dyDescent="0.8">
      <c r="A285" s="18"/>
      <c r="B285" s="18"/>
      <c r="C285" s="18"/>
      <c r="D285" s="18"/>
      <c r="E285" s="18"/>
      <c r="F285" s="18"/>
      <c r="G285" s="18"/>
      <c r="H285" s="18"/>
      <c r="I285" s="18"/>
      <c r="J285" s="74"/>
    </row>
    <row r="286" spans="1:25" x14ac:dyDescent="0.8">
      <c r="A286" s="18"/>
      <c r="B286" s="18"/>
      <c r="C286" s="18"/>
      <c r="D286" s="18"/>
      <c r="E286" s="18"/>
      <c r="F286" s="18"/>
      <c r="G286" s="18"/>
      <c r="H286" s="18"/>
      <c r="I286" s="18"/>
      <c r="J286" s="74"/>
    </row>
    <row r="287" spans="1:25" x14ac:dyDescent="0.8">
      <c r="A287" s="18"/>
      <c r="B287" s="18"/>
      <c r="C287" s="18"/>
      <c r="D287" s="18"/>
      <c r="E287" s="18"/>
      <c r="F287" s="18"/>
      <c r="G287" s="18"/>
      <c r="H287" s="18"/>
      <c r="I287" s="18"/>
      <c r="J287" s="74"/>
    </row>
    <row r="288" spans="1:25" x14ac:dyDescent="0.8">
      <c r="A288" s="18"/>
      <c r="B288" s="18"/>
      <c r="C288" s="18"/>
      <c r="D288" s="18"/>
      <c r="E288" s="18"/>
      <c r="F288" s="18"/>
      <c r="G288" s="18"/>
      <c r="H288" s="18"/>
      <c r="I288" s="18"/>
      <c r="J288" s="74"/>
    </row>
    <row r="289" spans="1:10" x14ac:dyDescent="0.8">
      <c r="A289" s="18"/>
      <c r="B289" s="18"/>
      <c r="C289" s="18"/>
      <c r="D289" s="18"/>
      <c r="E289" s="18"/>
      <c r="F289" s="18"/>
      <c r="G289" s="18"/>
      <c r="H289" s="18"/>
      <c r="I289" s="18"/>
      <c r="J289" s="74"/>
    </row>
    <row r="290" spans="1:10" x14ac:dyDescent="0.8">
      <c r="A290" s="18"/>
      <c r="B290" s="18"/>
      <c r="C290" s="18"/>
      <c r="D290" s="18"/>
      <c r="E290" s="18"/>
      <c r="F290" s="18"/>
      <c r="G290" s="18"/>
      <c r="H290" s="18"/>
      <c r="I290" s="18"/>
      <c r="J290" s="74"/>
    </row>
    <row r="291" spans="1:10" x14ac:dyDescent="0.8">
      <c r="A291" s="18"/>
      <c r="B291" s="18"/>
      <c r="C291" s="18"/>
      <c r="D291" s="18"/>
      <c r="E291" s="18"/>
      <c r="F291" s="18"/>
      <c r="G291" s="18"/>
      <c r="H291" s="18"/>
      <c r="I291" s="18"/>
      <c r="J291" s="74"/>
    </row>
    <row r="292" spans="1:10" x14ac:dyDescent="0.8">
      <c r="A292" s="18"/>
      <c r="B292" s="18"/>
      <c r="C292" s="18"/>
      <c r="D292" s="18"/>
      <c r="E292" s="18"/>
      <c r="F292" s="18"/>
      <c r="G292" s="18"/>
      <c r="H292" s="18"/>
      <c r="I292" s="18"/>
      <c r="J292" s="74"/>
    </row>
    <row r="293" spans="1:10" x14ac:dyDescent="0.8">
      <c r="A293" s="18"/>
      <c r="B293" s="18"/>
      <c r="C293" s="18"/>
      <c r="D293" s="18"/>
      <c r="E293" s="18"/>
      <c r="F293" s="18"/>
      <c r="G293" s="18"/>
      <c r="H293" s="18"/>
      <c r="I293" s="18"/>
      <c r="J293" s="74"/>
    </row>
    <row r="294" spans="1:10" x14ac:dyDescent="0.8">
      <c r="A294" s="18"/>
      <c r="B294" s="18"/>
      <c r="C294" s="18"/>
      <c r="D294" s="18"/>
      <c r="E294" s="18"/>
      <c r="F294" s="18"/>
      <c r="G294" s="18"/>
      <c r="H294" s="18"/>
      <c r="I294" s="18"/>
      <c r="J294" s="74"/>
    </row>
    <row r="295" spans="1:10" x14ac:dyDescent="0.8">
      <c r="A295" s="18"/>
      <c r="B295" s="18"/>
      <c r="C295" s="18"/>
      <c r="D295" s="18"/>
      <c r="E295" s="18"/>
      <c r="F295" s="18"/>
      <c r="G295" s="18"/>
      <c r="H295" s="18"/>
      <c r="I295" s="18"/>
      <c r="J295" s="74"/>
    </row>
    <row r="296" spans="1:10" x14ac:dyDescent="0.8">
      <c r="A296" s="18"/>
      <c r="B296" s="18"/>
      <c r="C296" s="18"/>
      <c r="D296" s="18"/>
      <c r="E296" s="18"/>
      <c r="F296" s="18"/>
      <c r="G296" s="18"/>
      <c r="H296" s="18"/>
      <c r="I296" s="18"/>
      <c r="J296" s="74"/>
    </row>
    <row r="297" spans="1:10" x14ac:dyDescent="0.8">
      <c r="A297" s="18"/>
      <c r="B297" s="18"/>
      <c r="C297" s="18"/>
      <c r="D297" s="18"/>
      <c r="E297" s="18"/>
      <c r="F297" s="18"/>
      <c r="G297" s="18"/>
      <c r="H297" s="18"/>
      <c r="I297" s="18"/>
      <c r="J297" s="74"/>
    </row>
    <row r="298" spans="1:10" x14ac:dyDescent="0.8">
      <c r="A298" s="18"/>
      <c r="B298" s="18"/>
      <c r="C298" s="18"/>
      <c r="D298" s="18"/>
      <c r="E298" s="18"/>
      <c r="F298" s="18"/>
      <c r="G298" s="18"/>
      <c r="H298" s="18"/>
      <c r="I298" s="18"/>
      <c r="J298" s="74"/>
    </row>
    <row r="299" spans="1:10" x14ac:dyDescent="0.8">
      <c r="A299" s="18"/>
      <c r="B299" s="18"/>
      <c r="C299" s="18"/>
      <c r="D299" s="18"/>
      <c r="E299" s="18"/>
      <c r="F299" s="18"/>
      <c r="G299" s="18"/>
      <c r="H299" s="18"/>
      <c r="I299" s="18"/>
      <c r="J299" s="74"/>
    </row>
    <row r="300" spans="1:10" x14ac:dyDescent="0.8">
      <c r="A300" s="18"/>
      <c r="B300" s="18"/>
      <c r="C300" s="18"/>
      <c r="D300" s="18"/>
      <c r="E300" s="18"/>
      <c r="F300" s="18"/>
      <c r="G300" s="18"/>
      <c r="H300" s="18"/>
      <c r="I300" s="18"/>
      <c r="J300" s="74"/>
    </row>
    <row r="301" spans="1:10" x14ac:dyDescent="0.8">
      <c r="A301" s="18"/>
      <c r="B301" s="18"/>
      <c r="C301" s="18"/>
      <c r="D301" s="18"/>
      <c r="E301" s="18"/>
      <c r="F301" s="18"/>
      <c r="G301" s="18"/>
      <c r="H301" s="18"/>
      <c r="I301" s="18"/>
      <c r="J301" s="74"/>
    </row>
    <row r="302" spans="1:10" x14ac:dyDescent="0.8">
      <c r="A302" s="18"/>
      <c r="B302" s="18"/>
      <c r="C302" s="18"/>
      <c r="D302" s="18"/>
      <c r="E302" s="18"/>
      <c r="F302" s="18"/>
      <c r="G302" s="18"/>
      <c r="H302" s="18"/>
      <c r="I302" s="18"/>
      <c r="J302" s="74"/>
    </row>
    <row r="303" spans="1:10" x14ac:dyDescent="0.8">
      <c r="A303" s="18"/>
      <c r="B303" s="18"/>
      <c r="C303" s="18"/>
      <c r="D303" s="18"/>
      <c r="E303" s="18"/>
      <c r="F303" s="18"/>
      <c r="G303" s="18"/>
      <c r="H303" s="18"/>
      <c r="I303" s="18"/>
      <c r="J303" s="74"/>
    </row>
    <row r="304" spans="1:10" x14ac:dyDescent="0.8">
      <c r="A304" s="18"/>
      <c r="B304" s="18"/>
      <c r="C304" s="18"/>
      <c r="D304" s="18"/>
      <c r="E304" s="18"/>
      <c r="F304" s="18"/>
      <c r="G304" s="18"/>
      <c r="H304" s="18"/>
      <c r="I304" s="18"/>
      <c r="J304" s="74"/>
    </row>
    <row r="305" spans="1:10" x14ac:dyDescent="0.8">
      <c r="A305" s="18"/>
      <c r="B305" s="18"/>
      <c r="C305" s="18"/>
      <c r="D305" s="18"/>
      <c r="E305" s="18"/>
      <c r="F305" s="18"/>
      <c r="G305" s="18"/>
      <c r="H305" s="18"/>
      <c r="I305" s="18"/>
      <c r="J305" s="74"/>
    </row>
    <row r="306" spans="1:10" x14ac:dyDescent="0.8">
      <c r="A306" s="18"/>
      <c r="B306" s="18"/>
      <c r="C306" s="18"/>
      <c r="D306" s="18"/>
      <c r="E306" s="18"/>
      <c r="F306" s="18"/>
      <c r="G306" s="18"/>
      <c r="H306" s="18"/>
      <c r="I306" s="18"/>
      <c r="J306" s="74"/>
    </row>
    <row r="307" spans="1:10" x14ac:dyDescent="0.8">
      <c r="A307" s="18"/>
      <c r="B307" s="18"/>
      <c r="C307" s="18"/>
      <c r="D307" s="18"/>
      <c r="E307" s="18"/>
      <c r="F307" s="18"/>
      <c r="G307" s="18"/>
      <c r="H307" s="18"/>
      <c r="I307" s="18"/>
      <c r="J307" s="74"/>
    </row>
    <row r="308" spans="1:10" x14ac:dyDescent="0.8">
      <c r="A308" s="18"/>
      <c r="B308" s="18"/>
      <c r="C308" s="18"/>
      <c r="D308" s="18"/>
      <c r="E308" s="18"/>
      <c r="F308" s="18"/>
      <c r="G308" s="18"/>
      <c r="H308" s="18"/>
      <c r="I308" s="18"/>
      <c r="J308" s="74"/>
    </row>
    <row r="309" spans="1:10" x14ac:dyDescent="0.8">
      <c r="A309" s="18"/>
      <c r="B309" s="18"/>
      <c r="C309" s="18"/>
      <c r="D309" s="18"/>
      <c r="E309" s="18"/>
      <c r="F309" s="18"/>
      <c r="G309" s="18"/>
      <c r="H309" s="18"/>
      <c r="I309" s="18"/>
      <c r="J309" s="74"/>
    </row>
    <row r="310" spans="1:10" x14ac:dyDescent="0.8">
      <c r="A310" s="18"/>
      <c r="B310" s="18"/>
      <c r="C310" s="18"/>
      <c r="D310" s="18"/>
      <c r="E310" s="18"/>
      <c r="F310" s="18"/>
      <c r="G310" s="18"/>
      <c r="H310" s="18"/>
      <c r="I310" s="18"/>
      <c r="J310" s="74"/>
    </row>
    <row r="311" spans="1:10" x14ac:dyDescent="0.8">
      <c r="A311" s="18"/>
      <c r="B311" s="18"/>
      <c r="C311" s="18"/>
      <c r="D311" s="18"/>
      <c r="E311" s="18"/>
      <c r="F311" s="18"/>
      <c r="G311" s="18"/>
      <c r="H311" s="18"/>
      <c r="I311" s="18"/>
      <c r="J311" s="74"/>
    </row>
    <row r="312" spans="1:10" x14ac:dyDescent="0.8">
      <c r="A312" s="18"/>
      <c r="B312" s="18"/>
      <c r="C312" s="18"/>
      <c r="D312" s="18"/>
      <c r="E312" s="18"/>
      <c r="F312" s="18"/>
      <c r="G312" s="18"/>
      <c r="H312" s="18"/>
      <c r="I312" s="18"/>
      <c r="J312" s="74"/>
    </row>
    <row r="313" spans="1:10" x14ac:dyDescent="0.8">
      <c r="A313" s="18"/>
      <c r="B313" s="18"/>
      <c r="C313" s="18"/>
      <c r="D313" s="18"/>
      <c r="E313" s="18"/>
      <c r="F313" s="18"/>
      <c r="G313" s="18"/>
      <c r="H313" s="18"/>
      <c r="I313" s="18"/>
      <c r="J313" s="74"/>
    </row>
    <row r="314" spans="1:10" x14ac:dyDescent="0.8">
      <c r="A314" s="18"/>
      <c r="B314" s="18"/>
      <c r="C314" s="18"/>
      <c r="D314" s="18"/>
      <c r="E314" s="18"/>
      <c r="F314" s="18"/>
      <c r="G314" s="18"/>
      <c r="H314" s="18"/>
      <c r="I314" s="18"/>
      <c r="J314" s="74"/>
    </row>
    <row r="315" spans="1:10" x14ac:dyDescent="0.8">
      <c r="A315" s="18"/>
      <c r="B315" s="18"/>
      <c r="C315" s="18"/>
      <c r="D315" s="18"/>
      <c r="E315" s="18"/>
      <c r="F315" s="18"/>
      <c r="G315" s="18"/>
      <c r="H315" s="18"/>
      <c r="I315" s="18"/>
      <c r="J315" s="74"/>
    </row>
  </sheetData>
  <sheetProtection sheet="1" selectLockedCells="1"/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FC63-F9F8-42DA-B877-4EA3F2A89223}">
  <dimension ref="A1:I40"/>
  <sheetViews>
    <sheetView showGridLines="0" topLeftCell="A19" workbookViewId="0">
      <selection activeCell="C27" sqref="C27"/>
    </sheetView>
  </sheetViews>
  <sheetFormatPr defaultRowHeight="14.4" x14ac:dyDescent="0.3"/>
  <cols>
    <col min="1" max="1" width="23.21875" customWidth="1"/>
    <col min="2" max="2" width="36" customWidth="1"/>
    <col min="3" max="3" width="8.88671875" customWidth="1"/>
    <col min="4" max="4" width="11.44140625" customWidth="1"/>
  </cols>
  <sheetData>
    <row r="1" spans="1:9" x14ac:dyDescent="0.3">
      <c r="A1" s="18"/>
      <c r="B1" s="29"/>
      <c r="C1" s="29"/>
      <c r="D1" s="29"/>
      <c r="E1" s="29"/>
      <c r="F1" s="29"/>
    </row>
    <row r="2" spans="1:9" ht="30" x14ac:dyDescent="0.7">
      <c r="A2" s="18"/>
      <c r="B2" s="26" t="s">
        <v>0</v>
      </c>
      <c r="C2" s="81"/>
      <c r="D2" s="82"/>
      <c r="E2" s="82"/>
      <c r="F2" s="29"/>
    </row>
    <row r="3" spans="1:9" x14ac:dyDescent="0.3">
      <c r="A3" s="66">
        <v>1</v>
      </c>
      <c r="B3" s="29"/>
      <c r="C3" s="83"/>
      <c r="D3" s="84"/>
      <c r="E3" s="85"/>
      <c r="F3" s="29"/>
    </row>
    <row r="4" spans="1:9" ht="30" x14ac:dyDescent="0.7">
      <c r="A4" s="66">
        <v>1</v>
      </c>
      <c r="B4" s="24" t="s">
        <v>1</v>
      </c>
      <c r="C4" s="86">
        <v>1</v>
      </c>
      <c r="D4" s="24" t="str">
        <f t="shared" ref="D4:D17" si="0">IF(C4&lt;&gt;"",IF(C4=A4,"GOOD","  ?")," ")</f>
        <v>GOOD</v>
      </c>
      <c r="E4" s="87">
        <f>IF(D4="GOOD",1,0)</f>
        <v>1</v>
      </c>
      <c r="F4" s="85">
        <f>A3+10</f>
        <v>11</v>
      </c>
    </row>
    <row r="5" spans="1:9" ht="30" x14ac:dyDescent="0.7">
      <c r="A5" s="66">
        <v>2</v>
      </c>
      <c r="B5" s="24" t="s">
        <v>3</v>
      </c>
      <c r="C5" s="86"/>
      <c r="D5" s="24" t="str">
        <f t="shared" si="0"/>
        <v xml:space="preserve"> </v>
      </c>
      <c r="E5" s="87">
        <f t="shared" ref="E5:E40" si="1">IF(D5="GOOD",1,0)</f>
        <v>0</v>
      </c>
      <c r="F5" s="85">
        <f t="shared" ref="F5:F13" si="2">A5+10</f>
        <v>12</v>
      </c>
    </row>
    <row r="6" spans="1:9" ht="30" x14ac:dyDescent="0.7">
      <c r="A6" s="66">
        <v>3</v>
      </c>
      <c r="B6" s="24" t="s">
        <v>5</v>
      </c>
      <c r="C6" s="86"/>
      <c r="D6" s="24" t="str">
        <f t="shared" si="0"/>
        <v xml:space="preserve"> </v>
      </c>
      <c r="E6" s="87">
        <f t="shared" si="1"/>
        <v>0</v>
      </c>
      <c r="F6" s="85">
        <f t="shared" si="2"/>
        <v>13</v>
      </c>
    </row>
    <row r="7" spans="1:9" ht="30" x14ac:dyDescent="0.7">
      <c r="A7" s="66">
        <v>4</v>
      </c>
      <c r="B7" s="24" t="s">
        <v>7</v>
      </c>
      <c r="C7" s="86"/>
      <c r="D7" s="24" t="str">
        <f t="shared" si="0"/>
        <v xml:space="preserve"> </v>
      </c>
      <c r="E7" s="87">
        <f t="shared" si="1"/>
        <v>0</v>
      </c>
      <c r="F7" s="85">
        <f t="shared" si="2"/>
        <v>14</v>
      </c>
    </row>
    <row r="8" spans="1:9" ht="30" x14ac:dyDescent="0.7">
      <c r="A8" s="66">
        <v>5</v>
      </c>
      <c r="B8" s="24" t="s">
        <v>9</v>
      </c>
      <c r="C8" s="86"/>
      <c r="D8" s="24" t="str">
        <f t="shared" si="0"/>
        <v xml:space="preserve"> </v>
      </c>
      <c r="E8" s="87">
        <f t="shared" si="1"/>
        <v>0</v>
      </c>
      <c r="F8" s="85">
        <f t="shared" si="2"/>
        <v>15</v>
      </c>
    </row>
    <row r="9" spans="1:9" ht="30" x14ac:dyDescent="0.7">
      <c r="A9" s="66">
        <v>6</v>
      </c>
      <c r="B9" s="24" t="s">
        <v>11</v>
      </c>
      <c r="C9" s="86"/>
      <c r="D9" s="24" t="str">
        <f t="shared" si="0"/>
        <v xml:space="preserve"> </v>
      </c>
      <c r="E9" s="87">
        <f t="shared" si="1"/>
        <v>0</v>
      </c>
      <c r="F9" s="85">
        <f t="shared" si="2"/>
        <v>16</v>
      </c>
    </row>
    <row r="10" spans="1:9" ht="30" x14ac:dyDescent="0.7">
      <c r="A10" s="66">
        <v>7</v>
      </c>
      <c r="B10" s="24" t="s">
        <v>13</v>
      </c>
      <c r="C10" s="86"/>
      <c r="D10" s="24" t="str">
        <f t="shared" si="0"/>
        <v xml:space="preserve"> </v>
      </c>
      <c r="E10" s="87">
        <f t="shared" si="1"/>
        <v>0</v>
      </c>
      <c r="F10" s="85">
        <f t="shared" si="2"/>
        <v>17</v>
      </c>
    </row>
    <row r="11" spans="1:9" ht="30" x14ac:dyDescent="0.7">
      <c r="A11" s="66">
        <v>8</v>
      </c>
      <c r="B11" s="24" t="s">
        <v>15</v>
      </c>
      <c r="C11" s="86"/>
      <c r="D11" s="24" t="str">
        <f t="shared" si="0"/>
        <v xml:space="preserve"> </v>
      </c>
      <c r="E11" s="87">
        <f t="shared" si="1"/>
        <v>0</v>
      </c>
      <c r="F11" s="85">
        <f t="shared" si="2"/>
        <v>18</v>
      </c>
    </row>
    <row r="12" spans="1:9" ht="30" x14ac:dyDescent="0.7">
      <c r="A12" s="66">
        <v>9</v>
      </c>
      <c r="B12" s="37" t="s">
        <v>17</v>
      </c>
      <c r="C12" s="86"/>
      <c r="D12" s="24" t="str">
        <f t="shared" si="0"/>
        <v xml:space="preserve"> </v>
      </c>
      <c r="E12" s="87">
        <f t="shared" si="1"/>
        <v>0</v>
      </c>
      <c r="F12" s="85">
        <f t="shared" si="2"/>
        <v>19</v>
      </c>
    </row>
    <row r="13" spans="1:9" ht="30" x14ac:dyDescent="0.7">
      <c r="A13" s="66">
        <v>10</v>
      </c>
      <c r="B13" s="37" t="s">
        <v>19</v>
      </c>
      <c r="C13" s="86"/>
      <c r="D13" s="24" t="str">
        <f t="shared" si="0"/>
        <v xml:space="preserve"> </v>
      </c>
      <c r="E13" s="87">
        <f t="shared" si="1"/>
        <v>0</v>
      </c>
      <c r="F13" s="85">
        <f t="shared" si="2"/>
        <v>20</v>
      </c>
    </row>
    <row r="14" spans="1:9" ht="30" x14ac:dyDescent="0.7">
      <c r="A14" s="67">
        <f>A13+1</f>
        <v>11</v>
      </c>
      <c r="B14" s="24" t="s">
        <v>2</v>
      </c>
      <c r="C14" s="86"/>
      <c r="D14" s="24" t="str">
        <f t="shared" si="0"/>
        <v xml:space="preserve"> </v>
      </c>
      <c r="E14" s="87">
        <f t="shared" si="1"/>
        <v>0</v>
      </c>
      <c r="F14" s="18"/>
      <c r="G14" s="18"/>
      <c r="H14" s="18"/>
      <c r="I14" s="18"/>
    </row>
    <row r="15" spans="1:9" ht="30" x14ac:dyDescent="0.7">
      <c r="A15" s="67">
        <f t="shared" ref="A15:A23" si="3">A14+1</f>
        <v>12</v>
      </c>
      <c r="B15" s="24" t="s">
        <v>4</v>
      </c>
      <c r="C15" s="86"/>
      <c r="D15" s="24" t="str">
        <f t="shared" si="0"/>
        <v xml:space="preserve"> </v>
      </c>
      <c r="E15" s="87">
        <f t="shared" si="1"/>
        <v>0</v>
      </c>
      <c r="F15" s="18"/>
      <c r="G15" s="18"/>
      <c r="H15" s="18"/>
      <c r="I15" s="18"/>
    </row>
    <row r="16" spans="1:9" ht="30" x14ac:dyDescent="0.7">
      <c r="A16" s="67">
        <f t="shared" si="3"/>
        <v>13</v>
      </c>
      <c r="B16" s="24" t="s">
        <v>6</v>
      </c>
      <c r="C16" s="86"/>
      <c r="D16" s="24" t="str">
        <f t="shared" si="0"/>
        <v xml:space="preserve"> </v>
      </c>
      <c r="E16" s="87">
        <f t="shared" si="1"/>
        <v>0</v>
      </c>
      <c r="F16" s="18"/>
      <c r="G16" s="18"/>
      <c r="H16" s="18"/>
      <c r="I16" s="18"/>
    </row>
    <row r="17" spans="1:9" ht="30" x14ac:dyDescent="0.7">
      <c r="A17" s="67">
        <f t="shared" si="3"/>
        <v>14</v>
      </c>
      <c r="B17" s="24" t="s">
        <v>8</v>
      </c>
      <c r="C17" s="86"/>
      <c r="D17" s="24" t="str">
        <f t="shared" si="0"/>
        <v xml:space="preserve"> </v>
      </c>
      <c r="E17" s="87">
        <f t="shared" si="1"/>
        <v>0</v>
      </c>
      <c r="F17" s="18"/>
      <c r="G17" s="18"/>
      <c r="H17" s="18"/>
      <c r="I17" s="18"/>
    </row>
    <row r="18" spans="1:9" ht="30" x14ac:dyDescent="0.7">
      <c r="A18" s="67">
        <f t="shared" si="3"/>
        <v>15</v>
      </c>
      <c r="B18" s="24" t="s">
        <v>10</v>
      </c>
      <c r="C18" s="86"/>
      <c r="D18" s="24" t="str">
        <f>IF(C18&lt;&gt;"",IF(C18=A18,"GOOD","  ?")," ")</f>
        <v xml:space="preserve"> </v>
      </c>
      <c r="E18" s="87">
        <f t="shared" si="1"/>
        <v>0</v>
      </c>
      <c r="F18" s="18"/>
      <c r="G18" s="18"/>
      <c r="H18" s="18"/>
      <c r="I18" s="18"/>
    </row>
    <row r="19" spans="1:9" ht="30" x14ac:dyDescent="0.7">
      <c r="A19" s="67">
        <f t="shared" si="3"/>
        <v>16</v>
      </c>
      <c r="B19" s="24" t="s">
        <v>12</v>
      </c>
      <c r="C19" s="86"/>
      <c r="D19" s="24" t="str">
        <f t="shared" ref="D19:D23" si="4">IF(C19&lt;&gt;"",IF(C19=A19,"GOOD","  ?")," ")</f>
        <v xml:space="preserve"> </v>
      </c>
      <c r="E19" s="87">
        <f t="shared" si="1"/>
        <v>0</v>
      </c>
      <c r="F19" s="18"/>
      <c r="G19" s="18"/>
      <c r="H19" s="18"/>
      <c r="I19" s="18"/>
    </row>
    <row r="20" spans="1:9" ht="30" x14ac:dyDescent="0.7">
      <c r="A20" s="67">
        <f t="shared" si="3"/>
        <v>17</v>
      </c>
      <c r="B20" s="24" t="s">
        <v>14</v>
      </c>
      <c r="C20" s="86"/>
      <c r="D20" s="24" t="str">
        <f t="shared" si="4"/>
        <v xml:space="preserve"> </v>
      </c>
      <c r="E20" s="87">
        <f t="shared" si="1"/>
        <v>0</v>
      </c>
      <c r="F20" s="18"/>
      <c r="G20" s="18"/>
      <c r="H20" s="18"/>
      <c r="I20" s="18"/>
    </row>
    <row r="21" spans="1:9" ht="30" x14ac:dyDescent="0.7">
      <c r="A21" s="67">
        <f t="shared" si="3"/>
        <v>18</v>
      </c>
      <c r="B21" s="24" t="s">
        <v>16</v>
      </c>
      <c r="C21" s="86"/>
      <c r="D21" s="24" t="str">
        <f t="shared" si="4"/>
        <v xml:space="preserve"> </v>
      </c>
      <c r="E21" s="87">
        <f t="shared" si="1"/>
        <v>0</v>
      </c>
      <c r="F21" s="18"/>
      <c r="G21" s="18"/>
      <c r="H21" s="18"/>
      <c r="I21" s="18"/>
    </row>
    <row r="22" spans="1:9" ht="30" x14ac:dyDescent="0.7">
      <c r="A22" s="67">
        <f t="shared" si="3"/>
        <v>19</v>
      </c>
      <c r="B22" s="37" t="s">
        <v>18</v>
      </c>
      <c r="C22" s="86"/>
      <c r="D22" s="24" t="str">
        <f t="shared" si="4"/>
        <v xml:space="preserve"> </v>
      </c>
      <c r="E22" s="87">
        <f t="shared" si="1"/>
        <v>0</v>
      </c>
      <c r="F22" s="18"/>
      <c r="G22" s="18"/>
      <c r="H22" s="18"/>
      <c r="I22" s="18"/>
    </row>
    <row r="23" spans="1:9" ht="30" x14ac:dyDescent="0.7">
      <c r="A23" s="67">
        <f t="shared" si="3"/>
        <v>20</v>
      </c>
      <c r="B23" s="37" t="s">
        <v>20</v>
      </c>
      <c r="C23" s="86"/>
      <c r="D23" s="24" t="str">
        <f t="shared" si="4"/>
        <v xml:space="preserve"> </v>
      </c>
      <c r="E23" s="87">
        <f t="shared" si="1"/>
        <v>0</v>
      </c>
      <c r="F23" s="18"/>
      <c r="G23" s="18"/>
      <c r="H23" s="18"/>
      <c r="I23" s="18"/>
    </row>
    <row r="24" spans="1:9" ht="30" x14ac:dyDescent="0.7">
      <c r="A24" s="67">
        <v>21</v>
      </c>
      <c r="B24" s="126" t="s">
        <v>61</v>
      </c>
      <c r="C24" s="86"/>
      <c r="D24" s="24" t="str">
        <f t="shared" ref="D24:D39" si="5">IF(C24&lt;&gt;"",IF(C24=A24,"GOOD","  ?")," ")</f>
        <v xml:space="preserve"> </v>
      </c>
      <c r="E24" s="87">
        <f t="shared" si="1"/>
        <v>0</v>
      </c>
    </row>
    <row r="25" spans="1:9" ht="30" x14ac:dyDescent="0.7">
      <c r="A25" s="67">
        <v>27</v>
      </c>
      <c r="B25" s="126" t="s">
        <v>62</v>
      </c>
      <c r="C25" s="86"/>
      <c r="D25" s="24" t="str">
        <f t="shared" si="5"/>
        <v xml:space="preserve"> </v>
      </c>
      <c r="E25" s="87">
        <f t="shared" si="1"/>
        <v>0</v>
      </c>
    </row>
    <row r="26" spans="1:9" ht="30" x14ac:dyDescent="0.7">
      <c r="A26" s="67">
        <v>29</v>
      </c>
      <c r="B26" s="126" t="s">
        <v>63</v>
      </c>
      <c r="C26" s="86"/>
      <c r="D26" s="24" t="str">
        <f t="shared" si="5"/>
        <v xml:space="preserve"> </v>
      </c>
      <c r="E26" s="87">
        <f t="shared" si="1"/>
        <v>0</v>
      </c>
    </row>
    <row r="27" spans="1:9" ht="30" x14ac:dyDescent="0.7">
      <c r="A27" s="67">
        <v>30</v>
      </c>
      <c r="B27" s="126" t="s">
        <v>64</v>
      </c>
      <c r="C27" s="86"/>
      <c r="D27" s="24" t="str">
        <f t="shared" si="5"/>
        <v xml:space="preserve"> </v>
      </c>
      <c r="E27" s="87">
        <f t="shared" si="1"/>
        <v>0</v>
      </c>
    </row>
    <row r="28" spans="1:9" ht="30" x14ac:dyDescent="0.7">
      <c r="A28" s="67">
        <v>32</v>
      </c>
      <c r="B28" s="126" t="s">
        <v>65</v>
      </c>
      <c r="C28" s="86"/>
      <c r="D28" s="24" t="str">
        <f t="shared" si="5"/>
        <v xml:space="preserve"> </v>
      </c>
      <c r="E28" s="87">
        <f t="shared" si="1"/>
        <v>0</v>
      </c>
    </row>
    <row r="29" spans="1:9" ht="30" x14ac:dyDescent="0.7">
      <c r="A29" s="67">
        <v>36</v>
      </c>
      <c r="B29" s="126" t="s">
        <v>66</v>
      </c>
      <c r="C29" s="86"/>
      <c r="D29" s="24" t="str">
        <f t="shared" si="5"/>
        <v xml:space="preserve"> </v>
      </c>
      <c r="E29" s="87">
        <f t="shared" si="1"/>
        <v>0</v>
      </c>
    </row>
    <row r="30" spans="1:9" ht="30" x14ac:dyDescent="0.7">
      <c r="A30" s="67">
        <v>40</v>
      </c>
      <c r="B30" s="126" t="s">
        <v>67</v>
      </c>
      <c r="C30" s="86"/>
      <c r="D30" s="24" t="str">
        <f t="shared" si="5"/>
        <v xml:space="preserve"> </v>
      </c>
      <c r="E30" s="87">
        <f t="shared" si="1"/>
        <v>0</v>
      </c>
    </row>
    <row r="31" spans="1:9" ht="30" x14ac:dyDescent="0.7">
      <c r="A31" s="67">
        <v>54</v>
      </c>
      <c r="B31" s="126" t="s">
        <v>68</v>
      </c>
      <c r="C31" s="86"/>
      <c r="D31" s="24" t="str">
        <f t="shared" si="5"/>
        <v xml:space="preserve"> </v>
      </c>
      <c r="E31" s="87">
        <f t="shared" si="1"/>
        <v>0</v>
      </c>
    </row>
    <row r="32" spans="1:9" ht="30" x14ac:dyDescent="0.7">
      <c r="A32" s="67">
        <v>71</v>
      </c>
      <c r="B32" s="126" t="s">
        <v>69</v>
      </c>
      <c r="C32" s="86"/>
      <c r="D32" s="24" t="str">
        <f t="shared" si="5"/>
        <v xml:space="preserve"> </v>
      </c>
      <c r="E32" s="87">
        <f t="shared" si="1"/>
        <v>0</v>
      </c>
    </row>
    <row r="33" spans="1:5" ht="30" x14ac:dyDescent="0.7">
      <c r="A33" s="67">
        <v>93</v>
      </c>
      <c r="B33" s="126" t="s">
        <v>70</v>
      </c>
      <c r="C33" s="86"/>
      <c r="D33" s="24" t="str">
        <f t="shared" si="5"/>
        <v xml:space="preserve"> </v>
      </c>
      <c r="E33" s="87">
        <f t="shared" si="1"/>
        <v>0</v>
      </c>
    </row>
    <row r="34" spans="1:5" ht="30" x14ac:dyDescent="0.7">
      <c r="A34" s="67">
        <v>42</v>
      </c>
      <c r="B34" s="126" t="s">
        <v>71</v>
      </c>
      <c r="C34" s="86"/>
      <c r="D34" s="24" t="str">
        <f t="shared" si="5"/>
        <v xml:space="preserve"> </v>
      </c>
      <c r="E34" s="87">
        <f t="shared" si="1"/>
        <v>0</v>
      </c>
    </row>
    <row r="35" spans="1:5" ht="30" x14ac:dyDescent="0.7">
      <c r="A35" s="67">
        <v>38</v>
      </c>
      <c r="B35" s="126" t="s">
        <v>72</v>
      </c>
      <c r="C35" s="86"/>
      <c r="D35" s="24" t="str">
        <f t="shared" si="5"/>
        <v xml:space="preserve"> </v>
      </c>
      <c r="E35" s="87">
        <f t="shared" si="1"/>
        <v>0</v>
      </c>
    </row>
    <row r="36" spans="1:5" ht="30" x14ac:dyDescent="0.7">
      <c r="A36" s="67">
        <v>83</v>
      </c>
      <c r="B36" s="126" t="s">
        <v>73</v>
      </c>
      <c r="C36" s="86"/>
      <c r="D36" s="24" t="str">
        <f t="shared" si="5"/>
        <v xml:space="preserve"> </v>
      </c>
      <c r="E36" s="87">
        <f t="shared" si="1"/>
        <v>0</v>
      </c>
    </row>
    <row r="37" spans="1:5" ht="30" x14ac:dyDescent="0.7">
      <c r="A37" s="67">
        <v>76</v>
      </c>
      <c r="B37" s="126" t="s">
        <v>76</v>
      </c>
      <c r="C37" s="86"/>
      <c r="D37" s="24" t="str">
        <f t="shared" si="5"/>
        <v xml:space="preserve"> </v>
      </c>
      <c r="E37" s="87">
        <f t="shared" si="1"/>
        <v>0</v>
      </c>
    </row>
    <row r="38" spans="1:5" ht="30" x14ac:dyDescent="0.7">
      <c r="A38" s="67">
        <v>100</v>
      </c>
      <c r="B38" s="126" t="s">
        <v>74</v>
      </c>
      <c r="C38" s="86"/>
      <c r="D38" s="24" t="str">
        <f t="shared" si="5"/>
        <v xml:space="preserve"> </v>
      </c>
      <c r="E38" s="87">
        <f t="shared" si="1"/>
        <v>0</v>
      </c>
    </row>
    <row r="39" spans="1:5" ht="30" x14ac:dyDescent="0.7">
      <c r="A39" s="67">
        <v>106</v>
      </c>
      <c r="B39" s="126" t="s">
        <v>75</v>
      </c>
      <c r="C39" s="86"/>
      <c r="D39" s="24" t="str">
        <f t="shared" si="5"/>
        <v xml:space="preserve"> </v>
      </c>
      <c r="E39" s="87">
        <f t="shared" si="1"/>
        <v>0</v>
      </c>
    </row>
    <row r="40" spans="1:5" ht="30" x14ac:dyDescent="0.7">
      <c r="A40" s="67">
        <v>212</v>
      </c>
      <c r="B40" s="126" t="s">
        <v>77</v>
      </c>
      <c r="C40" s="86"/>
      <c r="D40" s="24" t="str">
        <f t="shared" ref="D40" si="6">IF(C40&lt;&gt;"",IF(C40=A40,"GOOD","  ?")," ")</f>
        <v xml:space="preserve"> </v>
      </c>
      <c r="E40" s="87">
        <f t="shared" si="1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workbookViewId="0">
      <selection activeCell="F3" sqref="F3"/>
    </sheetView>
  </sheetViews>
  <sheetFormatPr defaultRowHeight="30" x14ac:dyDescent="0.7"/>
  <cols>
    <col min="1" max="1" width="15.33203125" style="147" customWidth="1"/>
    <col min="2" max="2" width="9.88671875" style="132" customWidth="1"/>
    <col min="3" max="3" width="34.88671875" customWidth="1"/>
    <col min="4" max="4" width="11.109375" customWidth="1"/>
    <col min="5" max="5" width="2.21875" customWidth="1"/>
    <col min="6" max="6" width="5" customWidth="1"/>
    <col min="7" max="16" width="8.77734375" customWidth="1"/>
    <col min="17" max="17" width="8.33203125" customWidth="1"/>
    <col min="18" max="18" width="4.88671875" customWidth="1"/>
  </cols>
  <sheetData>
    <row r="1" spans="1:18" ht="15" customHeight="1" x14ac:dyDescent="0.7">
      <c r="B1" s="133"/>
      <c r="H1" s="151"/>
      <c r="I1" s="151"/>
      <c r="J1" s="151"/>
      <c r="K1" s="152" t="s">
        <v>85</v>
      </c>
      <c r="L1" s="152"/>
      <c r="M1" s="145"/>
      <c r="N1" s="145"/>
    </row>
    <row r="2" spans="1:18" ht="15" customHeight="1" x14ac:dyDescent="0.7">
      <c r="B2" s="133"/>
      <c r="H2" s="151"/>
      <c r="I2" s="151"/>
      <c r="J2" s="151"/>
      <c r="K2" s="145"/>
      <c r="L2" s="145"/>
      <c r="M2" s="145"/>
      <c r="N2" s="145"/>
    </row>
    <row r="3" spans="1:18" ht="15" customHeight="1" x14ac:dyDescent="0.7">
      <c r="A3" s="148"/>
      <c r="B3" s="133"/>
      <c r="C3" s="29"/>
      <c r="D3" s="29"/>
      <c r="E3" s="29"/>
      <c r="I3" s="151"/>
      <c r="J3" s="151"/>
      <c r="K3" s="151"/>
      <c r="L3" s="151"/>
      <c r="M3" s="151"/>
      <c r="N3" s="151"/>
      <c r="R3" s="18"/>
    </row>
    <row r="4" spans="1:18" x14ac:dyDescent="0.7">
      <c r="A4" s="148"/>
      <c r="B4" s="133" t="s">
        <v>0</v>
      </c>
      <c r="C4" s="150" t="str">
        <f>[1]!wwsInput()</f>
        <v/>
      </c>
      <c r="D4" s="150"/>
      <c r="E4" s="150"/>
      <c r="F4" s="150"/>
      <c r="G4" s="150"/>
      <c r="H4" s="150"/>
      <c r="I4" s="127"/>
      <c r="K4" s="127"/>
      <c r="L4" s="127"/>
      <c r="M4" s="127"/>
      <c r="N4" s="127"/>
      <c r="O4" s="127"/>
      <c r="P4" s="127"/>
      <c r="Q4" s="127"/>
      <c r="R4" s="18"/>
    </row>
    <row r="5" spans="1:18" x14ac:dyDescent="0.7">
      <c r="A5" s="148"/>
      <c r="B5" s="133"/>
      <c r="C5" s="83"/>
      <c r="D5" s="84"/>
      <c r="E5" s="85"/>
      <c r="G5" s="127"/>
      <c r="H5" s="127"/>
      <c r="I5" s="127"/>
      <c r="K5" s="127"/>
      <c r="L5" s="127"/>
      <c r="M5" s="127"/>
      <c r="N5" s="127"/>
      <c r="O5" s="127"/>
      <c r="P5" s="127"/>
      <c r="Q5" s="127"/>
      <c r="R5" s="66"/>
    </row>
    <row r="6" spans="1:18" x14ac:dyDescent="0.7">
      <c r="A6" s="149" t="s">
        <v>1</v>
      </c>
      <c r="B6" s="133">
        <v>1</v>
      </c>
      <c r="C6" s="86" t="s">
        <v>1</v>
      </c>
      <c r="D6" s="24" t="str">
        <f t="shared" ref="D6:D42" si="0">IF(C6&lt;&gt;"",IF(C6=A6,"GOOD","  ?")," ")</f>
        <v>GOOD</v>
      </c>
      <c r="E6" s="87">
        <f>IF(D6="GOOD",1,0)</f>
        <v>1</v>
      </c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</row>
    <row r="7" spans="1:18" x14ac:dyDescent="0.7">
      <c r="A7" s="149" t="s">
        <v>3</v>
      </c>
      <c r="B7" s="133">
        <v>2</v>
      </c>
      <c r="C7" s="86" t="s">
        <v>3</v>
      </c>
      <c r="D7" s="24" t="str">
        <f t="shared" si="0"/>
        <v>GOOD</v>
      </c>
      <c r="E7" s="87">
        <f t="shared" ref="E7:E42" si="1">IF(D7="GOOD",1,0)</f>
        <v>1</v>
      </c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</row>
    <row r="8" spans="1:18" x14ac:dyDescent="0.7">
      <c r="A8" s="149" t="s">
        <v>5</v>
      </c>
      <c r="B8" s="133">
        <v>3</v>
      </c>
      <c r="C8" s="86" t="s">
        <v>78</v>
      </c>
      <c r="D8" s="24" t="str">
        <f t="shared" si="0"/>
        <v xml:space="preserve">  ?</v>
      </c>
      <c r="E8" s="87">
        <f t="shared" si="1"/>
        <v>0</v>
      </c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18" x14ac:dyDescent="0.7">
      <c r="A9" s="149" t="s">
        <v>7</v>
      </c>
      <c r="B9" s="133">
        <v>4</v>
      </c>
      <c r="C9" s="86" t="s">
        <v>79</v>
      </c>
      <c r="D9" s="24" t="str">
        <f t="shared" si="0"/>
        <v xml:space="preserve">  ?</v>
      </c>
      <c r="E9" s="87">
        <f t="shared" si="1"/>
        <v>0</v>
      </c>
      <c r="G9" s="127"/>
      <c r="H9" s="127"/>
      <c r="J9" s="127"/>
      <c r="K9" s="127"/>
      <c r="L9" s="127"/>
      <c r="M9" s="127"/>
      <c r="N9" s="127"/>
      <c r="O9" s="127"/>
      <c r="P9" s="127"/>
      <c r="Q9" s="127"/>
    </row>
    <row r="10" spans="1:18" x14ac:dyDescent="0.7">
      <c r="A10" s="149" t="s">
        <v>9</v>
      </c>
      <c r="B10" s="133">
        <v>5</v>
      </c>
      <c r="C10" s="86" t="s">
        <v>80</v>
      </c>
      <c r="D10" s="24" t="str">
        <f t="shared" si="0"/>
        <v xml:space="preserve">  ?</v>
      </c>
      <c r="E10" s="87">
        <f t="shared" si="1"/>
        <v>0</v>
      </c>
      <c r="G10" s="127"/>
      <c r="H10" s="127"/>
      <c r="J10" s="127"/>
      <c r="K10" s="127"/>
      <c r="L10" s="127"/>
      <c r="M10" s="127"/>
      <c r="N10" s="127"/>
      <c r="O10" s="127"/>
      <c r="P10" s="127"/>
      <c r="Q10" s="127"/>
    </row>
    <row r="11" spans="1:18" x14ac:dyDescent="0.7">
      <c r="A11" s="149" t="s">
        <v>11</v>
      </c>
      <c r="B11" s="133">
        <v>6</v>
      </c>
      <c r="C11" s="86" t="s">
        <v>81</v>
      </c>
      <c r="D11" s="24" t="str">
        <f t="shared" si="0"/>
        <v xml:space="preserve">  ?</v>
      </c>
      <c r="E11" s="87">
        <f t="shared" si="1"/>
        <v>0</v>
      </c>
      <c r="G11" s="127"/>
      <c r="H11" s="127"/>
      <c r="J11" s="127"/>
      <c r="K11" s="127"/>
      <c r="L11" s="127"/>
      <c r="M11" s="127"/>
      <c r="N11" s="127"/>
      <c r="O11" s="127"/>
      <c r="P11" s="127"/>
      <c r="Q11" s="127"/>
    </row>
    <row r="12" spans="1:18" x14ac:dyDescent="0.7">
      <c r="A12" s="149" t="s">
        <v>13</v>
      </c>
      <c r="B12" s="133">
        <v>7</v>
      </c>
      <c r="C12" s="86" t="s">
        <v>13</v>
      </c>
      <c r="D12" s="24" t="str">
        <f t="shared" si="0"/>
        <v>GOOD</v>
      </c>
      <c r="E12" s="87">
        <f t="shared" si="1"/>
        <v>1</v>
      </c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</row>
    <row r="13" spans="1:18" x14ac:dyDescent="0.7">
      <c r="A13" s="149" t="s">
        <v>15</v>
      </c>
      <c r="B13" s="133">
        <v>8</v>
      </c>
      <c r="C13" s="86" t="str">
        <f>[1]!wwsInput()</f>
        <v/>
      </c>
      <c r="D13" s="24" t="str">
        <f t="shared" si="0"/>
        <v xml:space="preserve"> </v>
      </c>
      <c r="E13" s="87">
        <f t="shared" si="1"/>
        <v>0</v>
      </c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</row>
    <row r="14" spans="1:18" x14ac:dyDescent="0.7">
      <c r="A14" s="149" t="s">
        <v>17</v>
      </c>
      <c r="B14" s="133">
        <v>9</v>
      </c>
      <c r="C14" s="86" t="str">
        <f>[1]!wwsInput()</f>
        <v/>
      </c>
      <c r="D14" s="24" t="str">
        <f t="shared" si="0"/>
        <v xml:space="preserve"> </v>
      </c>
      <c r="E14" s="87">
        <f t="shared" si="1"/>
        <v>0</v>
      </c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18" x14ac:dyDescent="0.7">
      <c r="A15" s="149" t="s">
        <v>19</v>
      </c>
      <c r="B15" s="133">
        <v>10</v>
      </c>
      <c r="C15" s="86" t="str">
        <f>[1]!wwsInput()</f>
        <v/>
      </c>
      <c r="D15" s="24" t="str">
        <f t="shared" si="0"/>
        <v xml:space="preserve"> </v>
      </c>
      <c r="E15" s="87">
        <f t="shared" si="1"/>
        <v>0</v>
      </c>
      <c r="G15" s="146" t="s">
        <v>82</v>
      </c>
      <c r="I15" s="129" t="e">
        <f>IF(I16,IF(I16=30,"yes","no"),"")</f>
        <v>#VALUE!</v>
      </c>
      <c r="J15" s="129" t="e">
        <f>IF(J16,IF(J16=40,"yes","no"),"")</f>
        <v>#VALUE!</v>
      </c>
      <c r="K15" s="129" t="e">
        <f>IF(K16,IF(K16=50,"yes","no"),"")</f>
        <v>#VALUE!</v>
      </c>
      <c r="L15" s="129" t="e">
        <f>IF(L16,IF(L16=60,"yes","no"),"")</f>
        <v>#VALUE!</v>
      </c>
      <c r="M15" s="129" t="e">
        <f>IF(M16,IF(M16=70,"yes","no"),"")</f>
        <v>#VALUE!</v>
      </c>
      <c r="N15" s="129" t="e">
        <f>IF(N16,IF(N16=80,"yes","no"),"")</f>
        <v>#VALUE!</v>
      </c>
      <c r="O15" s="129" t="e">
        <f>IF(O16,IF(O16=90,"yes","no"),"")</f>
        <v>#VALUE!</v>
      </c>
      <c r="P15" s="129" t="e">
        <f>IF(P16,IF(P16=100,"yes","no"),"")</f>
        <v>#VALUE!</v>
      </c>
      <c r="Q15" s="127"/>
    </row>
    <row r="16" spans="1:18" x14ac:dyDescent="0.7">
      <c r="A16" s="149" t="s">
        <v>2</v>
      </c>
      <c r="B16" s="133">
        <f>B15+1</f>
        <v>11</v>
      </c>
      <c r="C16" s="86" t="str">
        <f>[1]!wwsInput()</f>
        <v/>
      </c>
      <c r="D16" s="24" t="str">
        <f t="shared" si="0"/>
        <v xml:space="preserve"> </v>
      </c>
      <c r="E16" s="87">
        <f t="shared" si="1"/>
        <v>0</v>
      </c>
      <c r="G16" s="130">
        <v>10</v>
      </c>
      <c r="H16" s="137">
        <v>20</v>
      </c>
      <c r="I16" s="143" t="str">
        <f>[1]!wwsInput()</f>
        <v/>
      </c>
      <c r="J16" s="143" t="str">
        <f>[1]!wwsInput()</f>
        <v/>
      </c>
      <c r="K16" s="131" t="str">
        <f>[1]!wwsInput()</f>
        <v/>
      </c>
      <c r="L16" s="143" t="str">
        <f>[1]!wwsInput()</f>
        <v/>
      </c>
      <c r="M16" s="131" t="str">
        <f>[1]!wwsInput()</f>
        <v/>
      </c>
      <c r="N16" s="143" t="str">
        <f>[1]!wwsInput()</f>
        <v/>
      </c>
      <c r="O16" s="143" t="str">
        <f>[1]!wwsInput()</f>
        <v/>
      </c>
      <c r="P16" s="131" t="str">
        <f>[1]!wwsInput()</f>
        <v/>
      </c>
      <c r="Q16" s="127"/>
    </row>
    <row r="17" spans="1:17" x14ac:dyDescent="0.7">
      <c r="A17" s="149" t="s">
        <v>4</v>
      </c>
      <c r="B17" s="133">
        <f t="shared" ref="B17:B25" si="2">B16+1</f>
        <v>12</v>
      </c>
      <c r="C17" s="86" t="str">
        <f>[1]!wwsInput()</f>
        <v/>
      </c>
      <c r="D17" s="24" t="str">
        <f t="shared" si="0"/>
        <v xml:space="preserve"> </v>
      </c>
      <c r="E17" s="87">
        <f t="shared" si="1"/>
        <v>0</v>
      </c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7"/>
    </row>
    <row r="18" spans="1:17" x14ac:dyDescent="0.7">
      <c r="A18" s="149" t="s">
        <v>6</v>
      </c>
      <c r="B18" s="133">
        <f t="shared" si="2"/>
        <v>13</v>
      </c>
      <c r="C18" s="86" t="str">
        <f>[1]!wwsInput()</f>
        <v/>
      </c>
      <c r="D18" s="24" t="str">
        <f t="shared" si="0"/>
        <v xml:space="preserve"> </v>
      </c>
      <c r="E18" s="87">
        <f t="shared" si="1"/>
        <v>0</v>
      </c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7"/>
    </row>
    <row r="19" spans="1:17" x14ac:dyDescent="0.7">
      <c r="A19" s="149" t="s">
        <v>8</v>
      </c>
      <c r="B19" s="133">
        <f t="shared" si="2"/>
        <v>14</v>
      </c>
      <c r="C19" s="86" t="str">
        <f>[1]!wwsInput()</f>
        <v/>
      </c>
      <c r="D19" s="24" t="str">
        <f t="shared" si="0"/>
        <v xml:space="preserve"> </v>
      </c>
      <c r="E19" s="87">
        <f t="shared" si="1"/>
        <v>0</v>
      </c>
      <c r="G19" s="146" t="s">
        <v>83</v>
      </c>
      <c r="H19" s="144"/>
      <c r="I19" s="129" t="e">
        <f>IF(I20,IF(I20=15,"yes","no"),"")</f>
        <v>#VALUE!</v>
      </c>
      <c r="J19" s="129" t="e">
        <f>IF(J20,IF(J20=20,"yes","no"),"")</f>
        <v>#VALUE!</v>
      </c>
      <c r="K19" s="129" t="e">
        <f>IF(K20,IF(K20=25,"yes","no"),"")</f>
        <v>#VALUE!</v>
      </c>
      <c r="L19" s="129" t="e">
        <f>IF(L20,IF(L20=30,"yes","no"),"")</f>
        <v>#VALUE!</v>
      </c>
      <c r="M19" s="129" t="e">
        <f>IF(M20,IF(M20=35,"yes","no"),"")</f>
        <v>#VALUE!</v>
      </c>
      <c r="N19" s="129" t="e">
        <f>IF(N20,IF(N20=40,"yes","no"),"")</f>
        <v>#VALUE!</v>
      </c>
      <c r="O19" s="129" t="e">
        <f>IF(O20,IF(O20=45,"yes","no"),"")</f>
        <v>#VALUE!</v>
      </c>
      <c r="P19" s="129" t="e">
        <f>IF(P20,IF(P20=50,"yes","no"),"")</f>
        <v>#VALUE!</v>
      </c>
      <c r="Q19" s="127"/>
    </row>
    <row r="20" spans="1:17" x14ac:dyDescent="0.7">
      <c r="A20" s="149" t="s">
        <v>10</v>
      </c>
      <c r="B20" s="133">
        <f t="shared" si="2"/>
        <v>15</v>
      </c>
      <c r="C20" s="86" t="str">
        <f>[1]!wwsInput()</f>
        <v/>
      </c>
      <c r="D20" s="24" t="str">
        <f t="shared" si="0"/>
        <v xml:space="preserve"> </v>
      </c>
      <c r="E20" s="87">
        <f t="shared" si="1"/>
        <v>0</v>
      </c>
      <c r="G20" s="130">
        <v>5</v>
      </c>
      <c r="H20" s="137">
        <v>10</v>
      </c>
      <c r="I20" s="143" t="str">
        <f>[1]!wwsInput()</f>
        <v/>
      </c>
      <c r="J20" s="143" t="str">
        <f>[1]!wwsInput()</f>
        <v/>
      </c>
      <c r="K20" s="131" t="str">
        <f>[1]!wwsInput()</f>
        <v/>
      </c>
      <c r="L20" s="143" t="str">
        <f>[1]!wwsInput()</f>
        <v/>
      </c>
      <c r="M20" s="131" t="str">
        <f>[1]!wwsInput()</f>
        <v/>
      </c>
      <c r="N20" s="143" t="str">
        <f>[1]!wwsInput()</f>
        <v/>
      </c>
      <c r="O20" s="143" t="str">
        <f>[1]!wwsInput()</f>
        <v/>
      </c>
      <c r="P20" s="131" t="str">
        <f>[1]!wwsInput()</f>
        <v/>
      </c>
      <c r="Q20" s="127"/>
    </row>
    <row r="21" spans="1:17" x14ac:dyDescent="0.7">
      <c r="A21" s="149" t="s">
        <v>12</v>
      </c>
      <c r="B21" s="133">
        <f t="shared" si="2"/>
        <v>16</v>
      </c>
      <c r="C21" s="86" t="str">
        <f>[1]!wwsInput()</f>
        <v/>
      </c>
      <c r="D21" s="24" t="str">
        <f t="shared" si="0"/>
        <v xml:space="preserve"> </v>
      </c>
      <c r="E21" s="87">
        <f t="shared" si="1"/>
        <v>0</v>
      </c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27"/>
    </row>
    <row r="22" spans="1:17" x14ac:dyDescent="0.7">
      <c r="A22" s="149" t="s">
        <v>14</v>
      </c>
      <c r="B22" s="133">
        <f t="shared" si="2"/>
        <v>17</v>
      </c>
      <c r="C22" s="86" t="str">
        <f>[1]!wwsInput()</f>
        <v/>
      </c>
      <c r="D22" s="24" t="str">
        <f t="shared" si="0"/>
        <v xml:space="preserve"> </v>
      </c>
      <c r="E22" s="87">
        <f t="shared" si="1"/>
        <v>0</v>
      </c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27"/>
    </row>
    <row r="23" spans="1:17" x14ac:dyDescent="0.7">
      <c r="A23" s="149" t="s">
        <v>16</v>
      </c>
      <c r="B23" s="133">
        <f t="shared" si="2"/>
        <v>18</v>
      </c>
      <c r="C23" s="86" t="str">
        <f>[1]!wwsInput()</f>
        <v/>
      </c>
      <c r="D23" s="24" t="str">
        <f t="shared" si="0"/>
        <v xml:space="preserve"> </v>
      </c>
      <c r="E23" s="87">
        <f t="shared" si="1"/>
        <v>0</v>
      </c>
      <c r="G23" s="146" t="s">
        <v>84</v>
      </c>
      <c r="H23" s="144"/>
      <c r="I23" s="129" t="e">
        <f>IF(I24,IF(I24=24,"yes","no"),"")</f>
        <v>#VALUE!</v>
      </c>
      <c r="J23" s="129" t="e">
        <f>IF(J24,IF(J24=26,"yes","no"),"")</f>
        <v>#VALUE!</v>
      </c>
      <c r="K23" s="129" t="e">
        <f>IF(K24,IF(K24=28,"yes","no"),"")</f>
        <v>#VALUE!</v>
      </c>
      <c r="L23" s="129" t="e">
        <f>IF(L24,IF(L24=30,"yes","no"),"")</f>
        <v>#VALUE!</v>
      </c>
      <c r="M23" s="129" t="e">
        <f>IF(M24,IF(M24=32,"yes","no"),"")</f>
        <v>#VALUE!</v>
      </c>
      <c r="N23" s="129" t="e">
        <f>IF(N24,IF(N24=34,"yes","no"),"")</f>
        <v>#VALUE!</v>
      </c>
      <c r="O23" s="129" t="e">
        <f>IF(O24,IF(O24=36,"yes","no"),"")</f>
        <v>#VALUE!</v>
      </c>
      <c r="P23" s="129" t="e">
        <f>IF(P24,IF(P24=38,"yes","no"),"")</f>
        <v>#VALUE!</v>
      </c>
      <c r="Q23" s="129" t="e">
        <f>IF(Q24,IF(Q24=40,"yes","no"),"")</f>
        <v>#VALUE!</v>
      </c>
    </row>
    <row r="24" spans="1:17" x14ac:dyDescent="0.7">
      <c r="A24" s="149" t="s">
        <v>18</v>
      </c>
      <c r="B24" s="133">
        <f t="shared" si="2"/>
        <v>19</v>
      </c>
      <c r="C24" s="86" t="str">
        <f>[1]!wwsInput()</f>
        <v/>
      </c>
      <c r="D24" s="24" t="str">
        <f t="shared" si="0"/>
        <v xml:space="preserve"> </v>
      </c>
      <c r="E24" s="87">
        <f t="shared" si="1"/>
        <v>0</v>
      </c>
      <c r="F24" s="18"/>
      <c r="G24" s="130">
        <v>20</v>
      </c>
      <c r="H24" s="137">
        <v>22</v>
      </c>
      <c r="I24" s="143" t="str">
        <f>[1]!wwsInput()</f>
        <v/>
      </c>
      <c r="J24" s="143" t="str">
        <f>[1]!wwsInput()</f>
        <v/>
      </c>
      <c r="K24" s="131" t="str">
        <f>[1]!wwsInput()</f>
        <v/>
      </c>
      <c r="L24" s="143" t="str">
        <f>[1]!wwsInput()</f>
        <v/>
      </c>
      <c r="M24" s="131" t="str">
        <f>[1]!wwsInput()</f>
        <v/>
      </c>
      <c r="N24" s="143" t="str">
        <f>[1]!wwsInput()</f>
        <v/>
      </c>
      <c r="O24" s="143" t="str">
        <f>[1]!wwsInput()</f>
        <v/>
      </c>
      <c r="P24" s="131" t="str">
        <f>[1]!wwsInput()</f>
        <v/>
      </c>
      <c r="Q24" s="131" t="str">
        <f>[1]!wwsInput()</f>
        <v/>
      </c>
    </row>
    <row r="25" spans="1:17" x14ac:dyDescent="0.7">
      <c r="A25" s="149" t="s">
        <v>20</v>
      </c>
      <c r="B25" s="133">
        <f t="shared" si="2"/>
        <v>20</v>
      </c>
      <c r="C25" s="86" t="str">
        <f>[1]!wwsInput()</f>
        <v/>
      </c>
      <c r="D25" s="24" t="str">
        <f t="shared" si="0"/>
        <v xml:space="preserve"> </v>
      </c>
      <c r="E25" s="87">
        <f t="shared" si="1"/>
        <v>0</v>
      </c>
      <c r="F25" s="40"/>
      <c r="G25" s="138"/>
      <c r="H25" s="139"/>
      <c r="I25" s="140"/>
      <c r="J25" s="140"/>
      <c r="K25" s="139"/>
      <c r="L25" s="140"/>
      <c r="M25" s="139"/>
      <c r="N25" s="140"/>
      <c r="O25" s="140"/>
      <c r="P25" s="139"/>
      <c r="Q25" s="128"/>
    </row>
    <row r="26" spans="1:17" x14ac:dyDescent="0.7">
      <c r="A26" s="149" t="s">
        <v>61</v>
      </c>
      <c r="B26" s="133">
        <v>21</v>
      </c>
      <c r="C26" s="86" t="str">
        <f>[1]!wwsInput()</f>
        <v/>
      </c>
      <c r="D26" s="24" t="str">
        <f t="shared" si="0"/>
        <v xml:space="preserve"> </v>
      </c>
      <c r="E26" s="87">
        <f t="shared" si="1"/>
        <v>0</v>
      </c>
      <c r="F26" s="40"/>
      <c r="G26" s="134"/>
      <c r="H26" s="141"/>
      <c r="I26" s="134"/>
      <c r="J26" s="134"/>
      <c r="K26" s="141"/>
      <c r="L26" s="134"/>
      <c r="M26" s="141"/>
      <c r="N26" s="134"/>
      <c r="O26" s="134"/>
      <c r="P26" s="141"/>
      <c r="Q26" s="128"/>
    </row>
    <row r="27" spans="1:17" x14ac:dyDescent="0.7">
      <c r="A27" s="149" t="s">
        <v>62</v>
      </c>
      <c r="B27" s="133">
        <v>27</v>
      </c>
      <c r="C27" s="86" t="str">
        <f>[1]!wwsInput()</f>
        <v/>
      </c>
      <c r="D27" s="24" t="str">
        <f t="shared" si="0"/>
        <v xml:space="preserve"> </v>
      </c>
      <c r="E27" s="87">
        <f t="shared" si="1"/>
        <v>0</v>
      </c>
      <c r="F27" s="40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28"/>
    </row>
    <row r="28" spans="1:17" x14ac:dyDescent="0.7">
      <c r="A28" s="149" t="s">
        <v>63</v>
      </c>
      <c r="B28" s="133">
        <v>29</v>
      </c>
      <c r="C28" s="86" t="str">
        <f>[1]!wwsInput()</f>
        <v/>
      </c>
      <c r="D28" s="24" t="str">
        <f t="shared" si="0"/>
        <v xml:space="preserve"> </v>
      </c>
      <c r="E28" s="87">
        <f t="shared" si="1"/>
        <v>0</v>
      </c>
      <c r="F28" s="40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28"/>
    </row>
    <row r="29" spans="1:17" x14ac:dyDescent="0.7">
      <c r="A29" s="149" t="s">
        <v>64</v>
      </c>
      <c r="B29" s="133">
        <v>30</v>
      </c>
      <c r="C29" s="86" t="str">
        <f>[1]!wwsInput()</f>
        <v/>
      </c>
      <c r="D29" s="24" t="str">
        <f t="shared" si="0"/>
        <v xml:space="preserve"> </v>
      </c>
      <c r="E29" s="87">
        <f t="shared" si="1"/>
        <v>0</v>
      </c>
      <c r="F29" s="40"/>
      <c r="G29" s="139"/>
      <c r="H29" s="139"/>
      <c r="I29" s="140"/>
      <c r="J29" s="140"/>
      <c r="K29" s="139"/>
      <c r="L29" s="139"/>
      <c r="M29" s="139"/>
      <c r="N29" s="140"/>
      <c r="O29" s="140"/>
      <c r="P29" s="139"/>
      <c r="Q29" s="128"/>
    </row>
    <row r="30" spans="1:17" x14ac:dyDescent="0.7">
      <c r="A30" s="149" t="s">
        <v>65</v>
      </c>
      <c r="B30" s="133">
        <v>32</v>
      </c>
      <c r="C30" s="86" t="str">
        <f>[1]!wwsInput()</f>
        <v/>
      </c>
      <c r="D30" s="24" t="str">
        <f t="shared" si="0"/>
        <v xml:space="preserve"> </v>
      </c>
      <c r="E30" s="87">
        <f t="shared" si="1"/>
        <v>0</v>
      </c>
      <c r="F30" s="112">
        <v>10</v>
      </c>
      <c r="G30" s="141"/>
      <c r="H30" s="141"/>
      <c r="I30" s="134"/>
      <c r="J30" s="134"/>
      <c r="K30" s="141"/>
      <c r="L30" s="141"/>
      <c r="M30" s="141"/>
      <c r="N30" s="134"/>
      <c r="O30" s="134"/>
      <c r="P30" s="141"/>
      <c r="Q30" s="128"/>
    </row>
    <row r="31" spans="1:17" x14ac:dyDescent="0.7">
      <c r="A31" s="149" t="s">
        <v>66</v>
      </c>
      <c r="B31" s="133">
        <v>36</v>
      </c>
      <c r="C31" s="86" t="str">
        <f>[1]!wwsInput()</f>
        <v/>
      </c>
      <c r="D31" s="24" t="str">
        <f t="shared" si="0"/>
        <v xml:space="preserve"> </v>
      </c>
      <c r="E31" s="87">
        <f t="shared" si="1"/>
        <v>0</v>
      </c>
      <c r="F31" s="40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28"/>
    </row>
    <row r="32" spans="1:17" x14ac:dyDescent="0.7">
      <c r="A32" s="149" t="s">
        <v>67</v>
      </c>
      <c r="B32" s="133">
        <v>40</v>
      </c>
      <c r="C32" s="86" t="str">
        <f>[1]!wwsInput()</f>
        <v/>
      </c>
      <c r="D32" s="24" t="str">
        <f t="shared" si="0"/>
        <v xml:space="preserve"> </v>
      </c>
      <c r="E32" s="87">
        <f t="shared" si="1"/>
        <v>0</v>
      </c>
      <c r="F32" s="40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28"/>
    </row>
    <row r="33" spans="1:18" x14ac:dyDescent="0.7">
      <c r="A33" s="149" t="s">
        <v>68</v>
      </c>
      <c r="B33" s="133">
        <v>54</v>
      </c>
      <c r="C33" s="86" t="str">
        <f>[1]!wwsInput()</f>
        <v/>
      </c>
      <c r="D33" s="24" t="str">
        <f t="shared" si="0"/>
        <v xml:space="preserve"> </v>
      </c>
      <c r="E33" s="87">
        <f t="shared" si="1"/>
        <v>0</v>
      </c>
      <c r="F33" s="40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28"/>
    </row>
    <row r="34" spans="1:18" x14ac:dyDescent="0.7">
      <c r="A34" s="149" t="s">
        <v>69</v>
      </c>
      <c r="B34" s="133">
        <v>71</v>
      </c>
      <c r="C34" s="86" t="str">
        <f>[1]!wwsInput()</f>
        <v/>
      </c>
      <c r="D34" s="24" t="str">
        <f t="shared" si="0"/>
        <v xml:space="preserve"> </v>
      </c>
      <c r="E34" s="87">
        <f t="shared" si="1"/>
        <v>0</v>
      </c>
      <c r="F34" s="18"/>
      <c r="Q34" s="128"/>
    </row>
    <row r="35" spans="1:18" x14ac:dyDescent="0.7">
      <c r="A35" s="149" t="s">
        <v>70</v>
      </c>
      <c r="B35" s="133">
        <v>93</v>
      </c>
      <c r="C35" s="86" t="str">
        <f>[1]!wwsInput()</f>
        <v/>
      </c>
      <c r="D35" s="24" t="str">
        <f t="shared" si="0"/>
        <v xml:space="preserve"> </v>
      </c>
      <c r="E35" s="87">
        <f t="shared" si="1"/>
        <v>0</v>
      </c>
      <c r="F35" s="18"/>
      <c r="Q35" s="128"/>
    </row>
    <row r="36" spans="1:18" x14ac:dyDescent="0.7">
      <c r="A36" s="149" t="s">
        <v>71</v>
      </c>
      <c r="B36" s="133">
        <v>42</v>
      </c>
      <c r="C36" s="86" t="str">
        <f>[1]!wwsInput()</f>
        <v/>
      </c>
      <c r="D36" s="24" t="str">
        <f t="shared" si="0"/>
        <v xml:space="preserve"> </v>
      </c>
      <c r="E36" s="87">
        <f t="shared" si="1"/>
        <v>0</v>
      </c>
      <c r="F36" s="18"/>
      <c r="Q36" s="128"/>
    </row>
    <row r="37" spans="1:18" x14ac:dyDescent="0.7">
      <c r="A37" s="149" t="s">
        <v>72</v>
      </c>
      <c r="B37" s="133">
        <v>38</v>
      </c>
      <c r="C37" s="86" t="str">
        <f>[1]!wwsInput()</f>
        <v/>
      </c>
      <c r="D37" s="24" t="str">
        <f t="shared" si="0"/>
        <v xml:space="preserve"> </v>
      </c>
      <c r="E37" s="87">
        <f t="shared" si="1"/>
        <v>0</v>
      </c>
      <c r="F37" s="18"/>
      <c r="Q37" s="18"/>
    </row>
    <row r="38" spans="1:18" x14ac:dyDescent="0.7">
      <c r="A38" s="149" t="s">
        <v>73</v>
      </c>
      <c r="B38" s="133">
        <v>83</v>
      </c>
      <c r="C38" s="86" t="str">
        <f>[1]!wwsInput()</f>
        <v/>
      </c>
      <c r="D38" s="24" t="str">
        <f t="shared" si="0"/>
        <v xml:space="preserve"> </v>
      </c>
      <c r="E38" s="87">
        <f t="shared" si="1"/>
        <v>0</v>
      </c>
      <c r="F38" s="89">
        <v>10</v>
      </c>
      <c r="Q38" s="18"/>
    </row>
    <row r="39" spans="1:18" x14ac:dyDescent="0.7">
      <c r="A39" s="149" t="s">
        <v>76</v>
      </c>
      <c r="B39" s="133">
        <v>76</v>
      </c>
      <c r="C39" s="86" t="str">
        <f>[1]!wwsInput()</f>
        <v/>
      </c>
      <c r="D39" s="24" t="str">
        <f t="shared" si="0"/>
        <v xml:space="preserve"> </v>
      </c>
      <c r="E39" s="87">
        <f t="shared" si="1"/>
        <v>0</v>
      </c>
      <c r="F39" s="18"/>
      <c r="Q39" s="18"/>
    </row>
    <row r="40" spans="1:18" x14ac:dyDescent="0.7">
      <c r="A40" s="149" t="s">
        <v>74</v>
      </c>
      <c r="B40" s="133">
        <v>100</v>
      </c>
      <c r="C40" s="86" t="str">
        <f>[1]!wwsInput()</f>
        <v/>
      </c>
      <c r="D40" s="24" t="str">
        <f t="shared" si="0"/>
        <v xml:space="preserve"> </v>
      </c>
      <c r="E40" s="87">
        <f t="shared" si="1"/>
        <v>0</v>
      </c>
      <c r="F40" s="18"/>
      <c r="Q40" s="18"/>
    </row>
    <row r="41" spans="1:18" x14ac:dyDescent="0.7">
      <c r="A41" s="149" t="s">
        <v>75</v>
      </c>
      <c r="B41" s="133">
        <v>106</v>
      </c>
      <c r="C41" s="86" t="str">
        <f>[1]!wwsInput()</f>
        <v/>
      </c>
      <c r="D41" s="24" t="str">
        <f t="shared" si="0"/>
        <v xml:space="preserve"> </v>
      </c>
      <c r="E41" s="87">
        <f t="shared" si="1"/>
        <v>0</v>
      </c>
      <c r="F41" s="18"/>
      <c r="Q41" s="18"/>
    </row>
    <row r="42" spans="1:18" x14ac:dyDescent="0.7">
      <c r="A42" s="149" t="s">
        <v>77</v>
      </c>
      <c r="B42" s="133">
        <v>212</v>
      </c>
      <c r="C42" s="86" t="str">
        <f>[1]!wwsInput()</f>
        <v/>
      </c>
      <c r="D42" s="24" t="str">
        <f t="shared" si="0"/>
        <v xml:space="preserve"> </v>
      </c>
      <c r="E42" s="87">
        <f t="shared" si="1"/>
        <v>0</v>
      </c>
      <c r="F42" s="18"/>
      <c r="Q42" s="18"/>
    </row>
    <row r="43" spans="1:18" s="135" customFormat="1" x14ac:dyDescent="0.7">
      <c r="A43" s="147"/>
      <c r="B43" s="133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5" t="s">
        <v>60</v>
      </c>
    </row>
    <row r="44" spans="1:18" s="135" customFormat="1" x14ac:dyDescent="0.7">
      <c r="A44" s="147"/>
      <c r="B44" s="133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</row>
    <row r="45" spans="1:18" s="135" customFormat="1" x14ac:dyDescent="0.7">
      <c r="A45" s="147"/>
      <c r="B45" s="133"/>
    </row>
    <row r="46" spans="1:18" s="135" customFormat="1" x14ac:dyDescent="0.7">
      <c r="A46" s="147"/>
      <c r="B46" s="133"/>
    </row>
    <row r="47" spans="1:18" s="135" customFormat="1" x14ac:dyDescent="0.7">
      <c r="A47" s="147"/>
      <c r="B47" s="133"/>
    </row>
    <row r="48" spans="1:18" s="135" customFormat="1" x14ac:dyDescent="0.7">
      <c r="A48" s="147"/>
      <c r="B48" s="133"/>
    </row>
    <row r="49" spans="1:2" s="135" customFormat="1" x14ac:dyDescent="0.7">
      <c r="A49" s="147"/>
      <c r="B49" s="133"/>
    </row>
    <row r="50" spans="1:2" s="135" customFormat="1" x14ac:dyDescent="0.7">
      <c r="A50" s="147"/>
      <c r="B50" s="133"/>
    </row>
    <row r="51" spans="1:2" s="135" customFormat="1" x14ac:dyDescent="0.7">
      <c r="A51" s="147"/>
      <c r="B51" s="133"/>
    </row>
    <row r="52" spans="1:2" s="135" customFormat="1" x14ac:dyDescent="0.7">
      <c r="A52" s="147"/>
      <c r="B52" s="133"/>
    </row>
    <row r="53" spans="1:2" s="135" customFormat="1" x14ac:dyDescent="0.7">
      <c r="A53" s="147"/>
      <c r="B53" s="133"/>
    </row>
    <row r="54" spans="1:2" s="135" customFormat="1" x14ac:dyDescent="0.7">
      <c r="A54" s="147"/>
      <c r="B54" s="133"/>
    </row>
    <row r="55" spans="1:2" s="135" customFormat="1" x14ac:dyDescent="0.7">
      <c r="A55" s="147"/>
      <c r="B55" s="133"/>
    </row>
    <row r="56" spans="1:2" s="135" customFormat="1" x14ac:dyDescent="0.7">
      <c r="A56" s="147"/>
      <c r="B56" s="133"/>
    </row>
    <row r="57" spans="1:2" s="135" customFormat="1" x14ac:dyDescent="0.7">
      <c r="A57" s="147"/>
      <c r="B57" s="133"/>
    </row>
    <row r="58" spans="1:2" s="135" customFormat="1" x14ac:dyDescent="0.7">
      <c r="A58" s="147"/>
      <c r="B58" s="133"/>
    </row>
    <row r="59" spans="1:2" s="135" customFormat="1" x14ac:dyDescent="0.7">
      <c r="A59" s="147"/>
      <c r="B59" s="133"/>
    </row>
    <row r="60" spans="1:2" s="135" customFormat="1" x14ac:dyDescent="0.7">
      <c r="A60" s="147"/>
      <c r="B60" s="133"/>
    </row>
    <row r="61" spans="1:2" s="135" customFormat="1" x14ac:dyDescent="0.7">
      <c r="A61" s="147"/>
      <c r="B61" s="133"/>
    </row>
    <row r="62" spans="1:2" s="135" customFormat="1" x14ac:dyDescent="0.7">
      <c r="A62" s="147"/>
      <c r="B62" s="133"/>
    </row>
    <row r="63" spans="1:2" s="135" customFormat="1" x14ac:dyDescent="0.7">
      <c r="A63" s="147"/>
      <c r="B63" s="133"/>
    </row>
    <row r="64" spans="1:2" s="135" customFormat="1" x14ac:dyDescent="0.7">
      <c r="A64" s="147"/>
      <c r="B64" s="133"/>
    </row>
    <row r="65" spans="1:2" s="135" customFormat="1" x14ac:dyDescent="0.7">
      <c r="A65" s="147"/>
      <c r="B65" s="133"/>
    </row>
    <row r="66" spans="1:2" s="135" customFormat="1" x14ac:dyDescent="0.7">
      <c r="A66" s="147"/>
      <c r="B66" s="133"/>
    </row>
    <row r="67" spans="1:2" s="135" customFormat="1" x14ac:dyDescent="0.7">
      <c r="A67" s="147"/>
      <c r="B67" s="133"/>
    </row>
    <row r="68" spans="1:2" s="135" customFormat="1" x14ac:dyDescent="0.7">
      <c r="A68" s="147"/>
      <c r="B68" s="133"/>
    </row>
    <row r="69" spans="1:2" s="135" customFormat="1" x14ac:dyDescent="0.7">
      <c r="A69" s="147"/>
      <c r="B69" s="133"/>
    </row>
    <row r="70" spans="1:2" s="135" customFormat="1" x14ac:dyDescent="0.7">
      <c r="A70" s="147"/>
      <c r="B70" s="133"/>
    </row>
    <row r="71" spans="1:2" s="135" customFormat="1" x14ac:dyDescent="0.7">
      <c r="A71" s="147"/>
      <c r="B71" s="133"/>
    </row>
    <row r="72" spans="1:2" s="135" customFormat="1" x14ac:dyDescent="0.7">
      <c r="A72" s="147"/>
      <c r="B72" s="133"/>
    </row>
    <row r="73" spans="1:2" s="135" customFormat="1" x14ac:dyDescent="0.7">
      <c r="A73" s="147"/>
      <c r="B73" s="133"/>
    </row>
    <row r="74" spans="1:2" s="135" customFormat="1" x14ac:dyDescent="0.7">
      <c r="A74" s="147"/>
      <c r="B74" s="133"/>
    </row>
    <row r="75" spans="1:2" s="135" customFormat="1" x14ac:dyDescent="0.7">
      <c r="A75" s="147"/>
      <c r="B75" s="133"/>
    </row>
    <row r="76" spans="1:2" s="135" customFormat="1" x14ac:dyDescent="0.7">
      <c r="A76" s="147"/>
      <c r="B76" s="133"/>
    </row>
    <row r="77" spans="1:2" s="135" customFormat="1" x14ac:dyDescent="0.7">
      <c r="A77" s="147"/>
      <c r="B77" s="133"/>
    </row>
    <row r="78" spans="1:2" s="135" customFormat="1" x14ac:dyDescent="0.7">
      <c r="A78" s="147"/>
      <c r="B78" s="133"/>
    </row>
    <row r="79" spans="1:2" s="135" customFormat="1" x14ac:dyDescent="0.7">
      <c r="A79" s="147"/>
      <c r="B79" s="133"/>
    </row>
    <row r="80" spans="1:2" s="135" customFormat="1" x14ac:dyDescent="0.7">
      <c r="A80" s="147"/>
      <c r="B80" s="133"/>
    </row>
    <row r="81" spans="1:2" s="135" customFormat="1" x14ac:dyDescent="0.7">
      <c r="A81" s="147"/>
      <c r="B81" s="133"/>
    </row>
    <row r="82" spans="1:2" s="135" customFormat="1" x14ac:dyDescent="0.7">
      <c r="A82" s="147"/>
      <c r="B82" s="133"/>
    </row>
    <row r="83" spans="1:2" s="135" customFormat="1" x14ac:dyDescent="0.7">
      <c r="A83" s="147"/>
      <c r="B83" s="133"/>
    </row>
    <row r="84" spans="1:2" s="135" customFormat="1" x14ac:dyDescent="0.7">
      <c r="A84" s="147"/>
      <c r="B84" s="133"/>
    </row>
    <row r="85" spans="1:2" s="135" customFormat="1" x14ac:dyDescent="0.7">
      <c r="A85" s="147"/>
      <c r="B85" s="133"/>
    </row>
    <row r="86" spans="1:2" s="135" customFormat="1" x14ac:dyDescent="0.7">
      <c r="A86" s="147"/>
      <c r="B86" s="133"/>
    </row>
    <row r="87" spans="1:2" s="135" customFormat="1" x14ac:dyDescent="0.7">
      <c r="A87" s="147"/>
      <c r="B87" s="133"/>
    </row>
    <row r="88" spans="1:2" s="135" customFormat="1" x14ac:dyDescent="0.7">
      <c r="A88" s="147"/>
      <c r="B88" s="133"/>
    </row>
    <row r="89" spans="1:2" s="135" customFormat="1" x14ac:dyDescent="0.7">
      <c r="A89" s="147"/>
      <c r="B89" s="133"/>
    </row>
    <row r="90" spans="1:2" s="135" customFormat="1" x14ac:dyDescent="0.7">
      <c r="A90" s="147"/>
      <c r="B90" s="133"/>
    </row>
    <row r="91" spans="1:2" s="135" customFormat="1" x14ac:dyDescent="0.7">
      <c r="A91" s="147"/>
      <c r="B91" s="133"/>
    </row>
    <row r="92" spans="1:2" s="135" customFormat="1" x14ac:dyDescent="0.7">
      <c r="A92" s="147"/>
      <c r="B92" s="133"/>
    </row>
    <row r="93" spans="1:2" s="135" customFormat="1" x14ac:dyDescent="0.7">
      <c r="A93" s="147"/>
      <c r="B93" s="133"/>
    </row>
    <row r="94" spans="1:2" s="135" customFormat="1" x14ac:dyDescent="0.7">
      <c r="A94" s="147"/>
      <c r="B94" s="133"/>
    </row>
    <row r="95" spans="1:2" s="135" customFormat="1" x14ac:dyDescent="0.7">
      <c r="A95" s="147"/>
      <c r="B95" s="133"/>
    </row>
    <row r="96" spans="1:2" s="135" customFormat="1" x14ac:dyDescent="0.7">
      <c r="A96" s="147"/>
      <c r="B96" s="133"/>
    </row>
    <row r="97" spans="1:2" s="135" customFormat="1" x14ac:dyDescent="0.7">
      <c r="A97" s="147"/>
      <c r="B97" s="133"/>
    </row>
    <row r="98" spans="1:2" s="135" customFormat="1" x14ac:dyDescent="0.7">
      <c r="A98" s="147"/>
      <c r="B98" s="133"/>
    </row>
    <row r="99" spans="1:2" s="135" customFormat="1" x14ac:dyDescent="0.7">
      <c r="A99" s="147"/>
      <c r="B99" s="133"/>
    </row>
    <row r="100" spans="1:2" s="135" customFormat="1" x14ac:dyDescent="0.7">
      <c r="A100" s="147"/>
      <c r="B100" s="133"/>
    </row>
    <row r="101" spans="1:2" s="135" customFormat="1" x14ac:dyDescent="0.7">
      <c r="A101" s="147"/>
      <c r="B101" s="133"/>
    </row>
    <row r="102" spans="1:2" s="135" customFormat="1" x14ac:dyDescent="0.7">
      <c r="A102" s="147"/>
      <c r="B102" s="133"/>
    </row>
    <row r="103" spans="1:2" s="135" customFormat="1" x14ac:dyDescent="0.7">
      <c r="A103" s="147"/>
      <c r="B103" s="133"/>
    </row>
    <row r="104" spans="1:2" s="135" customFormat="1" x14ac:dyDescent="0.7">
      <c r="A104" s="147"/>
      <c r="B104" s="133"/>
    </row>
    <row r="105" spans="1:2" s="135" customFormat="1" x14ac:dyDescent="0.7">
      <c r="A105" s="147"/>
      <c r="B105" s="133"/>
    </row>
    <row r="106" spans="1:2" s="135" customFormat="1" x14ac:dyDescent="0.7">
      <c r="A106" s="147"/>
      <c r="B106" s="133"/>
    </row>
    <row r="107" spans="1:2" s="135" customFormat="1" x14ac:dyDescent="0.7">
      <c r="A107" s="147"/>
      <c r="B107" s="133"/>
    </row>
    <row r="108" spans="1:2" s="135" customFormat="1" x14ac:dyDescent="0.7">
      <c r="A108" s="147"/>
      <c r="B108" s="133"/>
    </row>
    <row r="109" spans="1:2" s="135" customFormat="1" x14ac:dyDescent="0.7">
      <c r="A109" s="147"/>
      <c r="B109" s="133"/>
    </row>
    <row r="110" spans="1:2" s="135" customFormat="1" x14ac:dyDescent="0.7">
      <c r="A110" s="147"/>
      <c r="B110" s="133"/>
    </row>
    <row r="111" spans="1:2" s="135" customFormat="1" x14ac:dyDescent="0.7">
      <c r="A111" s="147"/>
      <c r="B111" s="133"/>
    </row>
    <row r="112" spans="1:2" s="135" customFormat="1" x14ac:dyDescent="0.7">
      <c r="A112" s="147"/>
      <c r="B112" s="133"/>
    </row>
    <row r="113" spans="1:2" s="135" customFormat="1" x14ac:dyDescent="0.7">
      <c r="A113" s="147"/>
      <c r="B113" s="133"/>
    </row>
    <row r="114" spans="1:2" s="135" customFormat="1" x14ac:dyDescent="0.7">
      <c r="A114" s="147"/>
      <c r="B114" s="133"/>
    </row>
    <row r="115" spans="1:2" s="135" customFormat="1" x14ac:dyDescent="0.7">
      <c r="A115" s="147"/>
      <c r="B115" s="133"/>
    </row>
    <row r="116" spans="1:2" s="135" customFormat="1" x14ac:dyDescent="0.7">
      <c r="A116" s="147"/>
      <c r="B116" s="133"/>
    </row>
    <row r="117" spans="1:2" s="135" customFormat="1" x14ac:dyDescent="0.7">
      <c r="A117" s="147"/>
      <c r="B117" s="133"/>
    </row>
    <row r="118" spans="1:2" s="135" customFormat="1" x14ac:dyDescent="0.7">
      <c r="A118" s="147"/>
      <c r="B118" s="133"/>
    </row>
    <row r="119" spans="1:2" s="135" customFormat="1" x14ac:dyDescent="0.7">
      <c r="A119" s="147"/>
      <c r="B119" s="133"/>
    </row>
    <row r="120" spans="1:2" s="135" customFormat="1" x14ac:dyDescent="0.7">
      <c r="A120" s="147"/>
      <c r="B120" s="133"/>
    </row>
    <row r="121" spans="1:2" s="135" customFormat="1" x14ac:dyDescent="0.7">
      <c r="A121" s="147"/>
      <c r="B121" s="133"/>
    </row>
    <row r="122" spans="1:2" s="135" customFormat="1" x14ac:dyDescent="0.7">
      <c r="A122" s="147"/>
      <c r="B122" s="133"/>
    </row>
    <row r="123" spans="1:2" s="135" customFormat="1" x14ac:dyDescent="0.7">
      <c r="A123" s="147"/>
      <c r="B123" s="133"/>
    </row>
    <row r="124" spans="1:2" s="135" customFormat="1" x14ac:dyDescent="0.7">
      <c r="A124" s="147"/>
      <c r="B124" s="133"/>
    </row>
    <row r="125" spans="1:2" s="135" customFormat="1" x14ac:dyDescent="0.7">
      <c r="A125" s="147"/>
      <c r="B125" s="133"/>
    </row>
    <row r="126" spans="1:2" s="135" customFormat="1" x14ac:dyDescent="0.7">
      <c r="A126" s="147"/>
      <c r="B126" s="133"/>
    </row>
    <row r="127" spans="1:2" s="135" customFormat="1" x14ac:dyDescent="0.7">
      <c r="A127" s="147"/>
      <c r="B127" s="133"/>
    </row>
    <row r="128" spans="1:2" s="135" customFormat="1" x14ac:dyDescent="0.7">
      <c r="A128" s="147"/>
      <c r="B128" s="133"/>
    </row>
    <row r="129" spans="1:2" s="135" customFormat="1" x14ac:dyDescent="0.7">
      <c r="A129" s="147"/>
      <c r="B129" s="133"/>
    </row>
    <row r="130" spans="1:2" s="135" customFormat="1" x14ac:dyDescent="0.7">
      <c r="A130" s="147"/>
      <c r="B130" s="133"/>
    </row>
    <row r="131" spans="1:2" s="135" customFormat="1" x14ac:dyDescent="0.7">
      <c r="A131" s="147"/>
      <c r="B131" s="133"/>
    </row>
    <row r="132" spans="1:2" s="135" customFormat="1" x14ac:dyDescent="0.7">
      <c r="A132" s="147"/>
      <c r="B132" s="133"/>
    </row>
    <row r="133" spans="1:2" s="135" customFormat="1" x14ac:dyDescent="0.7">
      <c r="A133" s="147"/>
      <c r="B133" s="133"/>
    </row>
    <row r="134" spans="1:2" s="135" customFormat="1" x14ac:dyDescent="0.7">
      <c r="A134" s="147"/>
      <c r="B134" s="133"/>
    </row>
    <row r="135" spans="1:2" s="135" customFormat="1" x14ac:dyDescent="0.7">
      <c r="A135" s="147"/>
      <c r="B135" s="133"/>
    </row>
    <row r="136" spans="1:2" s="135" customFormat="1" x14ac:dyDescent="0.7">
      <c r="A136" s="147"/>
      <c r="B136" s="133"/>
    </row>
    <row r="137" spans="1:2" s="135" customFormat="1" x14ac:dyDescent="0.7">
      <c r="A137" s="147"/>
      <c r="B137" s="133"/>
    </row>
    <row r="138" spans="1:2" s="135" customFormat="1" x14ac:dyDescent="0.7">
      <c r="A138" s="147"/>
      <c r="B138" s="133"/>
    </row>
    <row r="139" spans="1:2" s="135" customFormat="1" x14ac:dyDescent="0.7">
      <c r="A139" s="147"/>
      <c r="B139" s="133"/>
    </row>
    <row r="140" spans="1:2" s="135" customFormat="1" x14ac:dyDescent="0.7">
      <c r="A140" s="147"/>
      <c r="B140" s="133"/>
    </row>
    <row r="141" spans="1:2" s="135" customFormat="1" x14ac:dyDescent="0.7">
      <c r="A141" s="147"/>
      <c r="B141" s="133"/>
    </row>
    <row r="142" spans="1:2" s="135" customFormat="1" x14ac:dyDescent="0.7">
      <c r="A142" s="147"/>
      <c r="B142" s="133"/>
    </row>
    <row r="143" spans="1:2" s="135" customFormat="1" x14ac:dyDescent="0.7">
      <c r="A143" s="147"/>
      <c r="B143" s="133"/>
    </row>
    <row r="144" spans="1:2" s="135" customFormat="1" x14ac:dyDescent="0.7">
      <c r="A144" s="147"/>
      <c r="B144" s="133"/>
    </row>
    <row r="145" spans="1:2" s="135" customFormat="1" x14ac:dyDescent="0.7">
      <c r="A145" s="147"/>
      <c r="B145" s="133"/>
    </row>
    <row r="146" spans="1:2" s="135" customFormat="1" x14ac:dyDescent="0.7">
      <c r="A146" s="147"/>
      <c r="B146" s="133"/>
    </row>
    <row r="147" spans="1:2" s="135" customFormat="1" x14ac:dyDescent="0.7">
      <c r="A147" s="147"/>
      <c r="B147" s="133"/>
    </row>
    <row r="148" spans="1:2" s="135" customFormat="1" x14ac:dyDescent="0.7">
      <c r="A148" s="147"/>
      <c r="B148" s="133"/>
    </row>
    <row r="149" spans="1:2" s="135" customFormat="1" x14ac:dyDescent="0.7">
      <c r="A149" s="147"/>
      <c r="B149" s="133"/>
    </row>
    <row r="150" spans="1:2" s="135" customFormat="1" x14ac:dyDescent="0.7">
      <c r="A150" s="147"/>
      <c r="B150" s="133"/>
    </row>
    <row r="151" spans="1:2" s="135" customFormat="1" x14ac:dyDescent="0.7">
      <c r="A151" s="147"/>
      <c r="B151" s="133"/>
    </row>
    <row r="152" spans="1:2" s="135" customFormat="1" x14ac:dyDescent="0.7">
      <c r="A152" s="147"/>
      <c r="B152" s="133"/>
    </row>
    <row r="153" spans="1:2" s="135" customFormat="1" x14ac:dyDescent="0.7">
      <c r="A153" s="147"/>
      <c r="B153" s="133"/>
    </row>
    <row r="154" spans="1:2" s="135" customFormat="1" x14ac:dyDescent="0.7">
      <c r="A154" s="147"/>
      <c r="B154" s="133"/>
    </row>
    <row r="155" spans="1:2" s="135" customFormat="1" x14ac:dyDescent="0.7">
      <c r="A155" s="147"/>
      <c r="B155" s="133"/>
    </row>
    <row r="156" spans="1:2" s="135" customFormat="1" x14ac:dyDescent="0.7">
      <c r="A156" s="147"/>
      <c r="B156" s="133"/>
    </row>
    <row r="157" spans="1:2" s="135" customFormat="1" x14ac:dyDescent="0.7">
      <c r="A157" s="147"/>
      <c r="B157" s="133"/>
    </row>
    <row r="158" spans="1:2" s="135" customFormat="1" x14ac:dyDescent="0.7">
      <c r="A158" s="147"/>
      <c r="B158" s="133"/>
    </row>
    <row r="159" spans="1:2" s="135" customFormat="1" x14ac:dyDescent="0.7">
      <c r="A159" s="147"/>
      <c r="B159" s="133"/>
    </row>
    <row r="160" spans="1:2" s="135" customFormat="1" x14ac:dyDescent="0.7">
      <c r="A160" s="147"/>
      <c r="B160" s="133"/>
    </row>
    <row r="161" spans="1:2" s="135" customFormat="1" x14ac:dyDescent="0.7">
      <c r="A161" s="147"/>
      <c r="B161" s="133"/>
    </row>
    <row r="162" spans="1:2" s="135" customFormat="1" x14ac:dyDescent="0.7">
      <c r="A162" s="147"/>
      <c r="B162" s="133"/>
    </row>
    <row r="163" spans="1:2" s="135" customFormat="1" x14ac:dyDescent="0.7">
      <c r="A163" s="147"/>
      <c r="B163" s="133"/>
    </row>
    <row r="164" spans="1:2" s="135" customFormat="1" x14ac:dyDescent="0.7">
      <c r="A164" s="147"/>
      <c r="B164" s="133"/>
    </row>
    <row r="165" spans="1:2" s="135" customFormat="1" x14ac:dyDescent="0.7">
      <c r="A165" s="147"/>
      <c r="B165" s="133"/>
    </row>
    <row r="166" spans="1:2" s="135" customFormat="1" x14ac:dyDescent="0.7">
      <c r="A166" s="147"/>
      <c r="B166" s="133"/>
    </row>
    <row r="167" spans="1:2" s="135" customFormat="1" x14ac:dyDescent="0.7">
      <c r="A167" s="147"/>
      <c r="B167" s="133"/>
    </row>
    <row r="168" spans="1:2" s="135" customFormat="1" x14ac:dyDescent="0.7">
      <c r="A168" s="147"/>
      <c r="B168" s="133"/>
    </row>
    <row r="169" spans="1:2" s="135" customFormat="1" x14ac:dyDescent="0.7">
      <c r="A169" s="147"/>
      <c r="B169" s="133"/>
    </row>
    <row r="170" spans="1:2" s="135" customFormat="1" x14ac:dyDescent="0.7">
      <c r="A170" s="147"/>
      <c r="B170" s="133"/>
    </row>
    <row r="171" spans="1:2" s="135" customFormat="1" x14ac:dyDescent="0.7">
      <c r="A171" s="147"/>
      <c r="B171" s="133"/>
    </row>
    <row r="172" spans="1:2" s="135" customFormat="1" x14ac:dyDescent="0.7">
      <c r="A172" s="147"/>
      <c r="B172" s="133"/>
    </row>
    <row r="173" spans="1:2" s="135" customFormat="1" x14ac:dyDescent="0.7">
      <c r="A173" s="147"/>
      <c r="B173" s="133"/>
    </row>
    <row r="174" spans="1:2" s="135" customFormat="1" x14ac:dyDescent="0.7">
      <c r="A174" s="147"/>
      <c r="B174" s="133"/>
    </row>
    <row r="175" spans="1:2" s="135" customFormat="1" x14ac:dyDescent="0.7">
      <c r="A175" s="147"/>
      <c r="B175" s="133"/>
    </row>
    <row r="176" spans="1:2" s="135" customFormat="1" x14ac:dyDescent="0.7">
      <c r="A176" s="147"/>
      <c r="B176" s="133"/>
    </row>
    <row r="177" spans="1:2" s="135" customFormat="1" x14ac:dyDescent="0.7">
      <c r="A177" s="147"/>
      <c r="B177" s="133"/>
    </row>
    <row r="178" spans="1:2" s="135" customFormat="1" x14ac:dyDescent="0.7">
      <c r="A178" s="147"/>
      <c r="B178" s="133"/>
    </row>
    <row r="179" spans="1:2" s="135" customFormat="1" x14ac:dyDescent="0.7">
      <c r="A179" s="147"/>
      <c r="B179" s="133"/>
    </row>
    <row r="180" spans="1:2" s="135" customFormat="1" x14ac:dyDescent="0.7">
      <c r="A180" s="147"/>
      <c r="B180" s="133"/>
    </row>
    <row r="181" spans="1:2" s="135" customFormat="1" x14ac:dyDescent="0.7">
      <c r="A181" s="147"/>
      <c r="B181" s="133"/>
    </row>
    <row r="182" spans="1:2" s="135" customFormat="1" x14ac:dyDescent="0.7">
      <c r="A182" s="147"/>
      <c r="B182" s="133"/>
    </row>
    <row r="183" spans="1:2" s="135" customFormat="1" x14ac:dyDescent="0.7">
      <c r="A183" s="147"/>
      <c r="B183" s="133"/>
    </row>
    <row r="184" spans="1:2" s="135" customFormat="1" x14ac:dyDescent="0.7">
      <c r="A184" s="147"/>
      <c r="B184" s="133"/>
    </row>
    <row r="185" spans="1:2" s="135" customFormat="1" x14ac:dyDescent="0.7">
      <c r="A185" s="147"/>
      <c r="B185" s="133"/>
    </row>
    <row r="186" spans="1:2" s="135" customFormat="1" x14ac:dyDescent="0.7">
      <c r="A186" s="147"/>
      <c r="B186" s="133"/>
    </row>
    <row r="187" spans="1:2" s="135" customFormat="1" x14ac:dyDescent="0.7">
      <c r="A187" s="147"/>
      <c r="B187" s="133"/>
    </row>
    <row r="188" spans="1:2" s="135" customFormat="1" x14ac:dyDescent="0.7">
      <c r="A188" s="147"/>
      <c r="B188" s="133"/>
    </row>
    <row r="189" spans="1:2" s="135" customFormat="1" x14ac:dyDescent="0.7">
      <c r="A189" s="147"/>
      <c r="B189" s="133"/>
    </row>
    <row r="190" spans="1:2" s="135" customFormat="1" x14ac:dyDescent="0.7">
      <c r="A190" s="147"/>
      <c r="B190" s="133"/>
    </row>
    <row r="191" spans="1:2" s="135" customFormat="1" x14ac:dyDescent="0.7">
      <c r="A191" s="147"/>
      <c r="B191" s="133"/>
    </row>
    <row r="192" spans="1:2" s="135" customFormat="1" x14ac:dyDescent="0.7">
      <c r="A192" s="147"/>
      <c r="B192" s="133"/>
    </row>
    <row r="193" spans="1:2" s="135" customFormat="1" x14ac:dyDescent="0.7">
      <c r="A193" s="147"/>
      <c r="B193" s="133"/>
    </row>
    <row r="194" spans="1:2" s="135" customFormat="1" x14ac:dyDescent="0.7">
      <c r="A194" s="147"/>
      <c r="B194" s="133"/>
    </row>
    <row r="195" spans="1:2" s="135" customFormat="1" x14ac:dyDescent="0.7">
      <c r="A195" s="147"/>
      <c r="B195" s="133"/>
    </row>
    <row r="196" spans="1:2" s="135" customFormat="1" x14ac:dyDescent="0.7">
      <c r="A196" s="147"/>
      <c r="B196" s="133"/>
    </row>
    <row r="197" spans="1:2" s="135" customFormat="1" x14ac:dyDescent="0.7">
      <c r="A197" s="147"/>
      <c r="B197" s="133"/>
    </row>
    <row r="198" spans="1:2" s="135" customFormat="1" x14ac:dyDescent="0.7">
      <c r="A198" s="147"/>
      <c r="B198" s="133"/>
    </row>
    <row r="199" spans="1:2" s="135" customFormat="1" x14ac:dyDescent="0.7">
      <c r="A199" s="147"/>
      <c r="B199" s="133"/>
    </row>
    <row r="200" spans="1:2" s="135" customFormat="1" x14ac:dyDescent="0.7">
      <c r="A200" s="147"/>
      <c r="B200" s="133"/>
    </row>
    <row r="201" spans="1:2" s="135" customFormat="1" x14ac:dyDescent="0.7">
      <c r="A201" s="147"/>
      <c r="B201" s="133"/>
    </row>
    <row r="202" spans="1:2" s="135" customFormat="1" x14ac:dyDescent="0.7">
      <c r="A202" s="147"/>
      <c r="B202" s="133"/>
    </row>
    <row r="203" spans="1:2" s="135" customFormat="1" x14ac:dyDescent="0.7">
      <c r="A203" s="147"/>
      <c r="B203" s="133"/>
    </row>
    <row r="204" spans="1:2" s="135" customFormat="1" x14ac:dyDescent="0.7">
      <c r="A204" s="147"/>
      <c r="B204" s="133"/>
    </row>
    <row r="205" spans="1:2" s="135" customFormat="1" x14ac:dyDescent="0.7">
      <c r="A205" s="147"/>
      <c r="B205" s="133"/>
    </row>
    <row r="206" spans="1:2" s="135" customFormat="1" x14ac:dyDescent="0.7">
      <c r="A206" s="147"/>
      <c r="B206" s="133"/>
    </row>
    <row r="207" spans="1:2" s="135" customFormat="1" x14ac:dyDescent="0.7">
      <c r="A207" s="147"/>
      <c r="B207" s="133"/>
    </row>
    <row r="208" spans="1:2" s="135" customFormat="1" x14ac:dyDescent="0.7">
      <c r="A208" s="147"/>
      <c r="B208" s="133"/>
    </row>
    <row r="209" spans="1:2" s="135" customFormat="1" x14ac:dyDescent="0.7">
      <c r="A209" s="147"/>
      <c r="B209" s="133"/>
    </row>
    <row r="210" spans="1:2" s="135" customFormat="1" x14ac:dyDescent="0.7">
      <c r="A210" s="147"/>
      <c r="B210" s="133"/>
    </row>
    <row r="211" spans="1:2" s="135" customFormat="1" x14ac:dyDescent="0.7">
      <c r="A211" s="147"/>
      <c r="B211" s="133"/>
    </row>
    <row r="212" spans="1:2" s="135" customFormat="1" x14ac:dyDescent="0.7">
      <c r="A212" s="147"/>
      <c r="B212" s="133"/>
    </row>
    <row r="213" spans="1:2" s="135" customFormat="1" x14ac:dyDescent="0.7">
      <c r="A213" s="147"/>
      <c r="B213" s="133"/>
    </row>
    <row r="214" spans="1:2" s="135" customFormat="1" x14ac:dyDescent="0.7">
      <c r="A214" s="147"/>
      <c r="B214" s="133"/>
    </row>
    <row r="215" spans="1:2" s="135" customFormat="1" x14ac:dyDescent="0.7">
      <c r="A215" s="147"/>
      <c r="B215" s="133"/>
    </row>
    <row r="216" spans="1:2" s="135" customFormat="1" x14ac:dyDescent="0.7">
      <c r="A216" s="147"/>
      <c r="B216" s="133"/>
    </row>
    <row r="217" spans="1:2" s="135" customFormat="1" x14ac:dyDescent="0.7">
      <c r="A217" s="147"/>
      <c r="B217" s="133"/>
    </row>
    <row r="218" spans="1:2" s="135" customFormat="1" x14ac:dyDescent="0.7">
      <c r="A218" s="147"/>
      <c r="B218" s="133"/>
    </row>
    <row r="219" spans="1:2" s="135" customFormat="1" x14ac:dyDescent="0.7">
      <c r="A219" s="147"/>
      <c r="B219" s="133"/>
    </row>
    <row r="220" spans="1:2" s="135" customFormat="1" x14ac:dyDescent="0.7">
      <c r="A220" s="147"/>
      <c r="B220" s="133"/>
    </row>
    <row r="221" spans="1:2" s="135" customFormat="1" x14ac:dyDescent="0.7">
      <c r="A221" s="147"/>
      <c r="B221" s="133"/>
    </row>
    <row r="222" spans="1:2" s="135" customFormat="1" x14ac:dyDescent="0.7">
      <c r="A222" s="147"/>
      <c r="B222" s="133"/>
    </row>
    <row r="223" spans="1:2" s="135" customFormat="1" x14ac:dyDescent="0.7">
      <c r="A223" s="147"/>
      <c r="B223" s="133"/>
    </row>
    <row r="224" spans="1:2" s="135" customFormat="1" x14ac:dyDescent="0.7">
      <c r="A224" s="147"/>
      <c r="B224" s="133"/>
    </row>
    <row r="225" spans="1:2" s="135" customFormat="1" x14ac:dyDescent="0.7">
      <c r="A225" s="147"/>
      <c r="B225" s="133"/>
    </row>
    <row r="226" spans="1:2" s="135" customFormat="1" x14ac:dyDescent="0.7">
      <c r="A226" s="147"/>
      <c r="B226" s="133"/>
    </row>
    <row r="227" spans="1:2" s="135" customFormat="1" x14ac:dyDescent="0.7">
      <c r="A227" s="147"/>
      <c r="B227" s="133"/>
    </row>
    <row r="228" spans="1:2" s="135" customFormat="1" x14ac:dyDescent="0.7">
      <c r="A228" s="147"/>
      <c r="B228" s="133"/>
    </row>
    <row r="229" spans="1:2" s="135" customFormat="1" x14ac:dyDescent="0.7">
      <c r="A229" s="147"/>
      <c r="B229" s="133"/>
    </row>
    <row r="230" spans="1:2" s="135" customFormat="1" x14ac:dyDescent="0.7">
      <c r="A230" s="147"/>
      <c r="B230" s="133"/>
    </row>
    <row r="231" spans="1:2" s="135" customFormat="1" x14ac:dyDescent="0.7">
      <c r="A231" s="147"/>
      <c r="B231" s="133"/>
    </row>
    <row r="232" spans="1:2" s="135" customFormat="1" x14ac:dyDescent="0.7">
      <c r="A232" s="147"/>
      <c r="B232" s="133"/>
    </row>
    <row r="233" spans="1:2" s="135" customFormat="1" x14ac:dyDescent="0.7">
      <c r="A233" s="147"/>
      <c r="B233" s="133"/>
    </row>
    <row r="234" spans="1:2" s="135" customFormat="1" x14ac:dyDescent="0.7">
      <c r="A234" s="147"/>
      <c r="B234" s="133"/>
    </row>
    <row r="235" spans="1:2" s="135" customFormat="1" x14ac:dyDescent="0.7">
      <c r="A235" s="147"/>
      <c r="B235" s="133"/>
    </row>
    <row r="236" spans="1:2" s="135" customFormat="1" x14ac:dyDescent="0.7">
      <c r="A236" s="147"/>
      <c r="B236" s="133"/>
    </row>
    <row r="237" spans="1:2" s="135" customFormat="1" x14ac:dyDescent="0.7">
      <c r="A237" s="147"/>
      <c r="B237" s="133"/>
    </row>
    <row r="238" spans="1:2" s="135" customFormat="1" x14ac:dyDescent="0.7">
      <c r="A238" s="147"/>
      <c r="B238" s="133"/>
    </row>
    <row r="239" spans="1:2" s="135" customFormat="1" x14ac:dyDescent="0.7">
      <c r="A239" s="147"/>
      <c r="B239" s="133"/>
    </row>
    <row r="240" spans="1:2" s="135" customFormat="1" x14ac:dyDescent="0.7">
      <c r="A240" s="147"/>
      <c r="B240" s="133"/>
    </row>
    <row r="241" spans="1:2" s="135" customFormat="1" x14ac:dyDescent="0.7">
      <c r="A241" s="147"/>
      <c r="B241" s="133"/>
    </row>
    <row r="242" spans="1:2" s="135" customFormat="1" x14ac:dyDescent="0.7">
      <c r="A242" s="147"/>
      <c r="B242" s="133"/>
    </row>
    <row r="243" spans="1:2" s="135" customFormat="1" x14ac:dyDescent="0.7">
      <c r="A243" s="147"/>
      <c r="B243" s="133"/>
    </row>
    <row r="244" spans="1:2" s="135" customFormat="1" x14ac:dyDescent="0.7">
      <c r="A244" s="147"/>
      <c r="B244" s="133"/>
    </row>
    <row r="245" spans="1:2" s="135" customFormat="1" x14ac:dyDescent="0.7">
      <c r="A245" s="147"/>
      <c r="B245" s="133"/>
    </row>
    <row r="246" spans="1:2" s="135" customFormat="1" x14ac:dyDescent="0.7">
      <c r="A246" s="147"/>
      <c r="B246" s="133"/>
    </row>
    <row r="247" spans="1:2" s="135" customFormat="1" x14ac:dyDescent="0.7">
      <c r="A247" s="147"/>
      <c r="B247" s="133"/>
    </row>
    <row r="248" spans="1:2" s="135" customFormat="1" x14ac:dyDescent="0.7">
      <c r="A248" s="147"/>
      <c r="B248" s="133"/>
    </row>
    <row r="249" spans="1:2" s="135" customFormat="1" x14ac:dyDescent="0.7">
      <c r="A249" s="147"/>
      <c r="B249" s="133"/>
    </row>
    <row r="250" spans="1:2" s="135" customFormat="1" x14ac:dyDescent="0.7">
      <c r="A250" s="147"/>
      <c r="B250" s="133"/>
    </row>
    <row r="251" spans="1:2" s="135" customFormat="1" x14ac:dyDescent="0.7">
      <c r="A251" s="147"/>
      <c r="B251" s="133"/>
    </row>
    <row r="252" spans="1:2" s="135" customFormat="1" x14ac:dyDescent="0.7">
      <c r="A252" s="147"/>
      <c r="B252" s="133"/>
    </row>
    <row r="253" spans="1:2" s="135" customFormat="1" x14ac:dyDescent="0.7">
      <c r="A253" s="147"/>
      <c r="B253" s="133"/>
    </row>
    <row r="254" spans="1:2" s="135" customFormat="1" x14ac:dyDescent="0.7">
      <c r="A254" s="147"/>
      <c r="B254" s="133"/>
    </row>
    <row r="255" spans="1:2" s="135" customFormat="1" x14ac:dyDescent="0.7">
      <c r="A255" s="147"/>
      <c r="B255" s="133"/>
    </row>
    <row r="256" spans="1:2" s="135" customFormat="1" x14ac:dyDescent="0.7">
      <c r="A256" s="147"/>
      <c r="B256" s="133"/>
    </row>
    <row r="257" spans="1:2" s="135" customFormat="1" x14ac:dyDescent="0.7">
      <c r="A257" s="147"/>
      <c r="B257" s="133"/>
    </row>
    <row r="258" spans="1:2" s="135" customFormat="1" x14ac:dyDescent="0.7">
      <c r="A258" s="147"/>
      <c r="B258" s="133"/>
    </row>
    <row r="259" spans="1:2" s="135" customFormat="1" x14ac:dyDescent="0.7">
      <c r="A259" s="147"/>
      <c r="B259" s="133"/>
    </row>
    <row r="260" spans="1:2" s="135" customFormat="1" x14ac:dyDescent="0.7">
      <c r="A260" s="147"/>
      <c r="B260" s="133"/>
    </row>
    <row r="261" spans="1:2" s="135" customFormat="1" x14ac:dyDescent="0.7">
      <c r="A261" s="147"/>
      <c r="B261" s="133"/>
    </row>
    <row r="262" spans="1:2" s="135" customFormat="1" x14ac:dyDescent="0.7">
      <c r="A262" s="147"/>
      <c r="B262" s="133"/>
    </row>
    <row r="263" spans="1:2" s="135" customFormat="1" x14ac:dyDescent="0.7">
      <c r="A263" s="147"/>
      <c r="B263" s="133"/>
    </row>
    <row r="264" spans="1:2" s="135" customFormat="1" x14ac:dyDescent="0.7">
      <c r="A264" s="147"/>
      <c r="B264" s="133"/>
    </row>
    <row r="265" spans="1:2" s="135" customFormat="1" x14ac:dyDescent="0.7">
      <c r="A265" s="147"/>
      <c r="B265" s="133"/>
    </row>
    <row r="266" spans="1:2" s="135" customFormat="1" x14ac:dyDescent="0.7">
      <c r="A266" s="147"/>
      <c r="B266" s="133"/>
    </row>
    <row r="267" spans="1:2" s="135" customFormat="1" x14ac:dyDescent="0.7">
      <c r="A267" s="147"/>
      <c r="B267" s="133"/>
    </row>
    <row r="268" spans="1:2" s="135" customFormat="1" x14ac:dyDescent="0.7">
      <c r="A268" s="147"/>
      <c r="B268" s="133"/>
    </row>
    <row r="269" spans="1:2" s="135" customFormat="1" x14ac:dyDescent="0.7">
      <c r="A269" s="147"/>
      <c r="B269" s="133"/>
    </row>
    <row r="270" spans="1:2" s="135" customFormat="1" x14ac:dyDescent="0.7">
      <c r="A270" s="147"/>
      <c r="B270" s="133"/>
    </row>
    <row r="271" spans="1:2" s="135" customFormat="1" x14ac:dyDescent="0.7">
      <c r="A271" s="147"/>
      <c r="B271" s="133"/>
    </row>
    <row r="272" spans="1:2" s="135" customFormat="1" x14ac:dyDescent="0.7">
      <c r="A272" s="147"/>
      <c r="B272" s="133"/>
    </row>
    <row r="273" spans="1:2" s="135" customFormat="1" x14ac:dyDescent="0.7">
      <c r="A273" s="147"/>
      <c r="B273" s="133"/>
    </row>
    <row r="274" spans="1:2" s="135" customFormat="1" x14ac:dyDescent="0.7">
      <c r="A274" s="147"/>
      <c r="B274" s="133"/>
    </row>
    <row r="275" spans="1:2" s="135" customFormat="1" x14ac:dyDescent="0.7">
      <c r="A275" s="147"/>
      <c r="B275" s="133"/>
    </row>
    <row r="276" spans="1:2" s="135" customFormat="1" x14ac:dyDescent="0.7">
      <c r="A276" s="147"/>
      <c r="B276" s="133"/>
    </row>
    <row r="277" spans="1:2" s="135" customFormat="1" x14ac:dyDescent="0.7">
      <c r="A277" s="147"/>
      <c r="B277" s="133"/>
    </row>
    <row r="278" spans="1:2" s="135" customFormat="1" x14ac:dyDescent="0.7">
      <c r="A278" s="147"/>
      <c r="B278" s="133"/>
    </row>
    <row r="279" spans="1:2" s="135" customFormat="1" x14ac:dyDescent="0.7">
      <c r="A279" s="147"/>
      <c r="B279" s="133"/>
    </row>
    <row r="280" spans="1:2" s="135" customFormat="1" x14ac:dyDescent="0.7">
      <c r="A280" s="147"/>
      <c r="B280" s="133"/>
    </row>
    <row r="281" spans="1:2" s="135" customFormat="1" x14ac:dyDescent="0.7">
      <c r="A281" s="147"/>
      <c r="B281" s="133"/>
    </row>
    <row r="282" spans="1:2" s="135" customFormat="1" x14ac:dyDescent="0.7">
      <c r="A282" s="147"/>
      <c r="B282" s="133"/>
    </row>
    <row r="283" spans="1:2" s="135" customFormat="1" x14ac:dyDescent="0.7">
      <c r="A283" s="147"/>
      <c r="B283" s="133"/>
    </row>
    <row r="284" spans="1:2" s="135" customFormat="1" x14ac:dyDescent="0.7">
      <c r="A284" s="147"/>
      <c r="B284" s="133"/>
    </row>
    <row r="285" spans="1:2" s="135" customFormat="1" x14ac:dyDescent="0.7">
      <c r="A285" s="147"/>
      <c r="B285" s="133"/>
    </row>
    <row r="286" spans="1:2" s="135" customFormat="1" x14ac:dyDescent="0.7">
      <c r="A286" s="147"/>
      <c r="B286" s="133"/>
    </row>
    <row r="287" spans="1:2" s="135" customFormat="1" x14ac:dyDescent="0.7">
      <c r="A287" s="147"/>
      <c r="B287" s="133"/>
    </row>
    <row r="288" spans="1:2" s="135" customFormat="1" x14ac:dyDescent="0.7">
      <c r="A288" s="147"/>
      <c r="B288" s="133"/>
    </row>
    <row r="289" spans="1:2" s="135" customFormat="1" x14ac:dyDescent="0.7">
      <c r="A289" s="147"/>
      <c r="B289" s="133"/>
    </row>
    <row r="290" spans="1:2" s="135" customFormat="1" x14ac:dyDescent="0.7">
      <c r="A290" s="147"/>
      <c r="B290" s="133"/>
    </row>
    <row r="291" spans="1:2" s="135" customFormat="1" x14ac:dyDescent="0.7">
      <c r="A291" s="147"/>
      <c r="B291" s="133"/>
    </row>
    <row r="292" spans="1:2" s="135" customFormat="1" x14ac:dyDescent="0.7">
      <c r="A292" s="147"/>
      <c r="B292" s="133"/>
    </row>
    <row r="293" spans="1:2" s="135" customFormat="1" x14ac:dyDescent="0.7">
      <c r="A293" s="147"/>
      <c r="B293" s="133"/>
    </row>
    <row r="294" spans="1:2" s="135" customFormat="1" x14ac:dyDescent="0.7">
      <c r="A294" s="147"/>
      <c r="B294" s="133"/>
    </row>
    <row r="295" spans="1:2" s="135" customFormat="1" x14ac:dyDescent="0.7">
      <c r="A295" s="147"/>
      <c r="B295" s="133"/>
    </row>
    <row r="296" spans="1:2" s="135" customFormat="1" x14ac:dyDescent="0.7">
      <c r="A296" s="147"/>
      <c r="B296" s="133"/>
    </row>
    <row r="297" spans="1:2" s="135" customFormat="1" x14ac:dyDescent="0.7">
      <c r="A297" s="147"/>
      <c r="B297" s="133"/>
    </row>
    <row r="298" spans="1:2" s="135" customFormat="1" x14ac:dyDescent="0.7">
      <c r="A298" s="147"/>
      <c r="B298" s="133"/>
    </row>
    <row r="299" spans="1:2" s="135" customFormat="1" x14ac:dyDescent="0.7">
      <c r="A299" s="147"/>
      <c r="B299" s="133"/>
    </row>
    <row r="300" spans="1:2" s="135" customFormat="1" x14ac:dyDescent="0.7">
      <c r="A300" s="147"/>
      <c r="B300" s="133"/>
    </row>
    <row r="301" spans="1:2" s="135" customFormat="1" x14ac:dyDescent="0.7">
      <c r="A301" s="147"/>
      <c r="B301" s="133"/>
    </row>
    <row r="302" spans="1:2" s="135" customFormat="1" x14ac:dyDescent="0.7">
      <c r="A302" s="147"/>
      <c r="B302" s="133"/>
    </row>
    <row r="303" spans="1:2" s="135" customFormat="1" x14ac:dyDescent="0.7">
      <c r="A303" s="147"/>
      <c r="B303" s="133"/>
    </row>
    <row r="304" spans="1:2" s="135" customFormat="1" x14ac:dyDescent="0.7">
      <c r="A304" s="147"/>
      <c r="B304" s="133"/>
    </row>
    <row r="305" spans="1:2" s="135" customFormat="1" x14ac:dyDescent="0.7">
      <c r="A305" s="147"/>
      <c r="B305" s="133"/>
    </row>
    <row r="306" spans="1:2" s="135" customFormat="1" x14ac:dyDescent="0.7">
      <c r="A306" s="147"/>
      <c r="B306" s="133"/>
    </row>
    <row r="307" spans="1:2" s="135" customFormat="1" x14ac:dyDescent="0.7">
      <c r="A307" s="147"/>
      <c r="B307" s="133"/>
    </row>
    <row r="308" spans="1:2" s="135" customFormat="1" x14ac:dyDescent="0.7">
      <c r="A308" s="147"/>
      <c r="B308" s="133"/>
    </row>
    <row r="309" spans="1:2" s="135" customFormat="1" x14ac:dyDescent="0.7">
      <c r="A309" s="147"/>
      <c r="B309" s="133"/>
    </row>
    <row r="310" spans="1:2" s="135" customFormat="1" x14ac:dyDescent="0.7">
      <c r="A310" s="147"/>
      <c r="B310" s="133"/>
    </row>
    <row r="311" spans="1:2" s="135" customFormat="1" x14ac:dyDescent="0.7">
      <c r="A311" s="147"/>
      <c r="B311" s="133"/>
    </row>
    <row r="312" spans="1:2" s="135" customFormat="1" x14ac:dyDescent="0.7">
      <c r="A312" s="147"/>
      <c r="B312" s="133"/>
    </row>
    <row r="313" spans="1:2" s="135" customFormat="1" x14ac:dyDescent="0.7">
      <c r="A313" s="147"/>
      <c r="B313" s="133"/>
    </row>
    <row r="314" spans="1:2" s="135" customFormat="1" x14ac:dyDescent="0.7">
      <c r="A314" s="147"/>
      <c r="B314" s="133"/>
    </row>
    <row r="315" spans="1:2" s="135" customFormat="1" x14ac:dyDescent="0.7">
      <c r="A315" s="147"/>
      <c r="B315" s="133"/>
    </row>
    <row r="316" spans="1:2" s="135" customFormat="1" x14ac:dyDescent="0.7">
      <c r="A316" s="147"/>
      <c r="B316" s="133"/>
    </row>
    <row r="317" spans="1:2" s="135" customFormat="1" x14ac:dyDescent="0.7">
      <c r="A317" s="147"/>
      <c r="B317" s="133"/>
    </row>
    <row r="318" spans="1:2" s="135" customFormat="1" x14ac:dyDescent="0.7">
      <c r="A318" s="147"/>
      <c r="B318" s="133"/>
    </row>
    <row r="319" spans="1:2" s="135" customFormat="1" x14ac:dyDescent="0.7">
      <c r="A319" s="147"/>
      <c r="B319" s="133"/>
    </row>
  </sheetData>
  <mergeCells count="5">
    <mergeCell ref="C4:H4"/>
    <mergeCell ref="I3:N3"/>
    <mergeCell ref="H1:J1"/>
    <mergeCell ref="K1:L1"/>
    <mergeCell ref="H2:J2"/>
  </mergeCells>
  <conditionalFormatting sqref="H25">
    <cfRule type="expression" dxfId="24" priority="37">
      <formula>"if(c2=""yes"")"</formula>
    </cfRule>
  </conditionalFormatting>
  <conditionalFormatting sqref="K15">
    <cfRule type="expression" dxfId="23" priority="24">
      <formula>"if(c2=""yes"")"</formula>
    </cfRule>
  </conditionalFormatting>
  <conditionalFormatting sqref="G29">
    <cfRule type="expression" dxfId="22" priority="34">
      <formula>"if(c2=""yes"")"</formula>
    </cfRule>
  </conditionalFormatting>
  <conditionalFormatting sqref="H29">
    <cfRule type="expression" dxfId="21" priority="36">
      <formula>"if(c2=""yes"")"</formula>
    </cfRule>
  </conditionalFormatting>
  <conditionalFormatting sqref="G15">
    <cfRule type="expression" dxfId="20" priority="35">
      <formula>"if(c2=""yes"")"</formula>
    </cfRule>
  </conditionalFormatting>
  <conditionalFormatting sqref="L29">
    <cfRule type="expression" dxfId="19" priority="27">
      <formula>"if(c2=""yes"")"</formula>
    </cfRule>
  </conditionalFormatting>
  <conditionalFormatting sqref="K25">
    <cfRule type="expression" dxfId="18" priority="31">
      <formula>"if(c2=""yes"")"</formula>
    </cfRule>
  </conditionalFormatting>
  <conditionalFormatting sqref="M25">
    <cfRule type="expression" dxfId="17" priority="30">
      <formula>"if(c2=""yes"")"</formula>
    </cfRule>
  </conditionalFormatting>
  <conditionalFormatting sqref="K29">
    <cfRule type="expression" dxfId="16" priority="28">
      <formula>"if(c2=""yes"")"</formula>
    </cfRule>
  </conditionalFormatting>
  <conditionalFormatting sqref="P29">
    <cfRule type="expression" dxfId="15" priority="25">
      <formula>"if(c2=""yes"")"</formula>
    </cfRule>
  </conditionalFormatting>
  <conditionalFormatting sqref="M29">
    <cfRule type="expression" dxfId="14" priority="26">
      <formula>"if(c2=""yes"")"</formula>
    </cfRule>
  </conditionalFormatting>
  <conditionalFormatting sqref="I15:J15">
    <cfRule type="expression" dxfId="13" priority="12">
      <formula>"if(c2=""yes"")"</formula>
    </cfRule>
  </conditionalFormatting>
  <conditionalFormatting sqref="H19">
    <cfRule type="expression" dxfId="12" priority="11">
      <formula>"if(c2=""yes"")"</formula>
    </cfRule>
  </conditionalFormatting>
  <conditionalFormatting sqref="K19">
    <cfRule type="expression" dxfId="11" priority="10">
      <formula>"if(c2=""yes"")"</formula>
    </cfRule>
  </conditionalFormatting>
  <conditionalFormatting sqref="L19:P19">
    <cfRule type="expression" dxfId="10" priority="9">
      <formula>"if(c2=""yes"")"</formula>
    </cfRule>
  </conditionalFormatting>
  <conditionalFormatting sqref="L15:P15">
    <cfRule type="expression" dxfId="9" priority="13">
      <formula>"if(c2=""yes"")"</formula>
    </cfRule>
  </conditionalFormatting>
  <conditionalFormatting sqref="I19:J19">
    <cfRule type="expression" dxfId="8" priority="8">
      <formula>"if(c2=""yes"")"</formula>
    </cfRule>
  </conditionalFormatting>
  <conditionalFormatting sqref="P25">
    <cfRule type="expression" dxfId="7" priority="14">
      <formula>"if(c2=""yes"")"</formula>
    </cfRule>
  </conditionalFormatting>
  <conditionalFormatting sqref="H23">
    <cfRule type="expression" dxfId="6" priority="7">
      <formula>"if(c2=""yes"")"</formula>
    </cfRule>
  </conditionalFormatting>
  <conditionalFormatting sqref="K23">
    <cfRule type="expression" dxfId="5" priority="6">
      <formula>"if(c2=""yes"")"</formula>
    </cfRule>
  </conditionalFormatting>
  <conditionalFormatting sqref="L23:P23">
    <cfRule type="expression" dxfId="4" priority="5">
      <formula>"if(c2=""yes"")"</formula>
    </cfRule>
  </conditionalFormatting>
  <conditionalFormatting sqref="I23:J23">
    <cfRule type="expression" dxfId="3" priority="4">
      <formula>"if(c2=""yes"")"</formula>
    </cfRule>
  </conditionalFormatting>
  <conditionalFormatting sqref="Q23">
    <cfRule type="expression" dxfId="2" priority="3">
      <formula>"if(c2=""yes"")"</formula>
    </cfRule>
  </conditionalFormatting>
  <conditionalFormatting sqref="G19">
    <cfRule type="expression" dxfId="1" priority="2">
      <formula>"if(c2=""yes"")"</formula>
    </cfRule>
  </conditionalFormatting>
  <conditionalFormatting sqref="G23">
    <cfRule type="expression" dxfId="0" priority="1">
      <formula>"if(c2=""yes"")"</formula>
    </cfRule>
  </conditionalFormatting>
  <hyperlinks>
    <hyperlink ref="K1:L1" r:id="rId1" display="Fill in one to 1" xr:uid="{53B67F62-40F1-4363-A5B9-951845A72899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one to __</vt:lpstr>
      <vt:lpstr>Sheet1</vt:lpstr>
      <vt:lpstr>1 to __</vt:lpstr>
      <vt:lpstr>Mos-Days</vt:lpstr>
      <vt:lpstr>Mo-Day 2</vt:lpstr>
      <vt:lpstr>Fill in</vt:lpstr>
      <vt:lpstr>Numbers</vt:lpstr>
      <vt:lpstr>Money</vt:lpstr>
      <vt:lpstr>Money (Web)</vt:lpstr>
      <vt:lpstr>fill in one to 1</vt:lpstr>
      <vt:lpstr>fill in 1 to one</vt:lpstr>
      <vt:lpstr>'1 to __'!Print_Area</vt:lpstr>
      <vt:lpstr>'Fill in'!Print_Area</vt:lpstr>
      <vt:lpstr>Money!Print_Area</vt:lpstr>
      <vt:lpstr>'Money (Web)'!Print_Area</vt:lpstr>
      <vt:lpstr>'Mos-Days'!Print_Area</vt:lpstr>
      <vt:lpstr>'one to __'!Print_Area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2019-07-19T18:20:41Z</dcterms:modified>
  <cp:category/>
  <cp:contentStatus/>
</cp:coreProperties>
</file>