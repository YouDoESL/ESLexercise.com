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A0DA4E2E-8ADE-471C-BEE8-76111ACABFA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RegIrregTenses" sheetId="1" r:id="rId1"/>
  </sheets>
  <externalReferences>
    <externalReference r:id="rId2"/>
  </externalReferences>
  <definedNames>
    <definedName name="A1x21Z">RegIrregTenses!$A$1:$V$23</definedName>
    <definedName name="A1xz21">RegIrregTenses!$A$1:$V$23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0" i="1" l="1"/>
  <c r="C72" i="1" l="1"/>
  <c r="N38" i="1"/>
  <c r="N37" i="1"/>
  <c r="N36" i="1"/>
  <c r="N34" i="1"/>
  <c r="N33" i="1"/>
  <c r="N32" i="1"/>
  <c r="D16" i="1"/>
  <c r="F16" i="1"/>
  <c r="H16" i="1"/>
  <c r="J16" i="1"/>
  <c r="H22" i="1"/>
  <c r="H21" i="1"/>
  <c r="H20" i="1"/>
  <c r="H18" i="1"/>
  <c r="H17" i="1"/>
  <c r="H14" i="1"/>
  <c r="H13" i="1"/>
  <c r="H12" i="1"/>
  <c r="J22" i="1"/>
  <c r="J21" i="1"/>
  <c r="J20" i="1"/>
  <c r="J18" i="1"/>
  <c r="J17" i="1"/>
  <c r="J13" i="1"/>
  <c r="J14" i="1"/>
  <c r="J12" i="1"/>
  <c r="F22" i="1"/>
  <c r="F21" i="1"/>
  <c r="F20" i="1"/>
  <c r="F18" i="1"/>
  <c r="F17" i="1"/>
  <c r="F14" i="1"/>
  <c r="F13" i="1"/>
  <c r="F12" i="1"/>
  <c r="D22" i="1"/>
  <c r="D21" i="1"/>
  <c r="D20" i="1"/>
  <c r="D18" i="1"/>
  <c r="D17" i="1"/>
  <c r="D14" i="1"/>
  <c r="D13" i="1"/>
  <c r="D12" i="1"/>
  <c r="A1" i="1"/>
  <c r="D38" i="1"/>
  <c r="H41" i="1"/>
  <c r="H25" i="1"/>
  <c r="D45" i="1"/>
  <c r="F64" i="1"/>
  <c r="J54" i="1"/>
  <c r="D66" i="1"/>
  <c r="D48" i="1"/>
  <c r="J29" i="1"/>
  <c r="J25" i="1"/>
  <c r="F68" i="1"/>
  <c r="F34" i="1"/>
  <c r="D46" i="1"/>
  <c r="J24" i="1"/>
  <c r="D26" i="1"/>
  <c r="D28" i="1"/>
  <c r="F26" i="1"/>
  <c r="D56" i="1"/>
  <c r="D37" i="1"/>
  <c r="J33" i="1"/>
  <c r="H58" i="1"/>
  <c r="H54" i="1"/>
  <c r="H24" i="1"/>
  <c r="H66" i="1"/>
  <c r="J70" i="1"/>
  <c r="D64" i="1"/>
  <c r="F38" i="1"/>
  <c r="F45" i="1"/>
  <c r="H53" i="1"/>
  <c r="F42" i="1"/>
  <c r="F28" i="1"/>
  <c r="D50" i="1"/>
  <c r="J40" i="1"/>
  <c r="D68" i="1"/>
  <c r="J52" i="1"/>
  <c r="H34" i="1"/>
  <c r="D57" i="1"/>
  <c r="F60" i="1"/>
  <c r="D61" i="1"/>
  <c r="F37" i="1"/>
  <c r="H28" i="1"/>
  <c r="H26" i="1"/>
  <c r="F53" i="1"/>
  <c r="D62" i="1"/>
  <c r="F44" i="1"/>
  <c r="J61" i="1"/>
  <c r="J57" i="1"/>
  <c r="J32" i="1"/>
  <c r="H29" i="1"/>
  <c r="F33" i="1"/>
  <c r="F65" i="1"/>
  <c r="D30" i="1"/>
  <c r="J62" i="1"/>
  <c r="D69" i="1"/>
  <c r="J69" i="1"/>
  <c r="H30" i="1"/>
  <c r="F32" i="1"/>
  <c r="D70" i="1"/>
  <c r="F58" i="1"/>
  <c r="H49" i="1"/>
  <c r="J37" i="1"/>
  <c r="F54" i="1"/>
  <c r="D24" i="1"/>
  <c r="F49" i="1"/>
  <c r="H45" i="1"/>
  <c r="D52" i="1"/>
  <c r="F56" i="1"/>
  <c r="H36" i="1"/>
  <c r="F50" i="1"/>
  <c r="H70" i="1"/>
  <c r="D25" i="1"/>
  <c r="F52" i="1"/>
  <c r="J58" i="1"/>
  <c r="J30" i="1"/>
  <c r="H62" i="1"/>
  <c r="J65" i="1"/>
  <c r="J68" i="1"/>
  <c r="J38" i="1"/>
  <c r="F48" i="1"/>
  <c r="D36" i="1"/>
  <c r="F36" i="1"/>
  <c r="F25" i="1"/>
  <c r="J34" i="1"/>
  <c r="J56" i="1"/>
  <c r="J42" i="1"/>
  <c r="J26" i="1"/>
  <c r="F66" i="1"/>
  <c r="F62" i="1"/>
  <c r="D32" i="1"/>
  <c r="J60" i="1"/>
  <c r="J53" i="1"/>
  <c r="H32" i="1"/>
  <c r="F61" i="1"/>
  <c r="F30" i="1"/>
  <c r="D58" i="1"/>
  <c r="J48" i="1"/>
  <c r="H57" i="1"/>
  <c r="F70" i="1"/>
  <c r="F24" i="1"/>
  <c r="H42" i="1"/>
  <c r="H61" i="1"/>
  <c r="J28" i="1"/>
  <c r="D49" i="1"/>
  <c r="J46" i="1"/>
  <c r="D44" i="1"/>
  <c r="D54" i="1"/>
  <c r="D29" i="1"/>
  <c r="F40" i="1"/>
  <c r="D42" i="1"/>
  <c r="H65" i="1"/>
  <c r="H50" i="1"/>
  <c r="H69" i="1"/>
  <c r="D34" i="1"/>
  <c r="D41" i="1"/>
  <c r="J36" i="1"/>
  <c r="J49" i="1"/>
  <c r="J44" i="1"/>
  <c r="H46" i="1"/>
  <c r="H38" i="1"/>
  <c r="J50" i="1"/>
  <c r="J64" i="1"/>
  <c r="J45" i="1"/>
  <c r="F57" i="1"/>
  <c r="F69" i="1"/>
  <c r="F46" i="1"/>
  <c r="F41" i="1"/>
  <c r="F29" i="1"/>
  <c r="D33" i="1"/>
  <c r="D53" i="1"/>
  <c r="H37" i="1"/>
  <c r="D40" i="1"/>
  <c r="H33" i="1"/>
  <c r="J66" i="1"/>
  <c r="D65" i="1"/>
  <c r="J41" i="1"/>
  <c r="A44" i="1" l="1"/>
  <c r="P44" i="1" s="1"/>
  <c r="A16" i="1"/>
  <c r="A12" i="1"/>
  <c r="A20" i="1"/>
  <c r="A68" i="1"/>
  <c r="P68" i="1" s="1"/>
  <c r="A64" i="1"/>
  <c r="P64" i="1" s="1"/>
  <c r="A60" i="1"/>
  <c r="P60" i="1" s="1"/>
  <c r="A56" i="1"/>
  <c r="P56" i="1" s="1"/>
  <c r="A52" i="1"/>
  <c r="P52" i="1" s="1"/>
  <c r="A48" i="1"/>
  <c r="P48" i="1" s="1"/>
  <c r="P40" i="1"/>
  <c r="B72" i="1" s="1"/>
  <c r="A36" i="1"/>
  <c r="P36" i="1" s="1"/>
  <c r="A32" i="1"/>
  <c r="P32" i="1" s="1"/>
  <c r="A28" i="1"/>
  <c r="P28" i="1" s="1"/>
  <c r="A24" i="1"/>
  <c r="P24" i="1" l="1"/>
</calcChain>
</file>

<file path=xl/sharedStrings.xml><?xml version="1.0" encoding="utf-8"?>
<sst xmlns="http://schemas.openxmlformats.org/spreadsheetml/2006/main" count="415" uniqueCount="183">
  <si>
    <t>I</t>
  </si>
  <si>
    <t>play</t>
  </si>
  <si>
    <t>plays</t>
  </si>
  <si>
    <t>Action words</t>
  </si>
  <si>
    <t>look</t>
  </si>
  <si>
    <t>listen</t>
  </si>
  <si>
    <t>open</t>
  </si>
  <si>
    <t>sing</t>
  </si>
  <si>
    <t>stand</t>
  </si>
  <si>
    <t>write</t>
  </si>
  <si>
    <t>read</t>
  </si>
  <si>
    <t>sang</t>
  </si>
  <si>
    <t>stood</t>
  </si>
  <si>
    <t>wrote</t>
  </si>
  <si>
    <t>walk</t>
  </si>
  <si>
    <t>ask</t>
  </si>
  <si>
    <t>say</t>
  </si>
  <si>
    <t>go</t>
  </si>
  <si>
    <t>sit</t>
  </si>
  <si>
    <t>sleep</t>
  </si>
  <si>
    <t>goes</t>
  </si>
  <si>
    <t>went</t>
  </si>
  <si>
    <t>said</t>
  </si>
  <si>
    <t>sat</t>
  </si>
  <si>
    <t>slept</t>
  </si>
  <si>
    <t>rest</t>
  </si>
  <si>
    <t>is singing</t>
  </si>
  <si>
    <t>are singing</t>
  </si>
  <si>
    <t>am singing</t>
  </si>
  <si>
    <t>was singing</t>
  </si>
  <si>
    <t>were singing</t>
  </si>
  <si>
    <t>was standing</t>
  </si>
  <si>
    <t>were standing</t>
  </si>
  <si>
    <t>writes</t>
  </si>
  <si>
    <t>was writing</t>
  </si>
  <si>
    <t>is writing</t>
  </si>
  <si>
    <t>are writing</t>
  </si>
  <si>
    <t>were writing</t>
  </si>
  <si>
    <t>am writing</t>
  </si>
  <si>
    <t>reads</t>
  </si>
  <si>
    <t>is reading</t>
  </si>
  <si>
    <t>was reading</t>
  </si>
  <si>
    <t>were reading</t>
  </si>
  <si>
    <t>are reading</t>
  </si>
  <si>
    <t>is saying</t>
  </si>
  <si>
    <t>are saying</t>
  </si>
  <si>
    <t>am saying</t>
  </si>
  <si>
    <t>am reading</t>
  </si>
  <si>
    <t>was saying</t>
  </si>
  <si>
    <t>were saying</t>
  </si>
  <si>
    <t>is standing</t>
  </si>
  <si>
    <t>are standing</t>
  </si>
  <si>
    <t>am standing</t>
  </si>
  <si>
    <t>says</t>
  </si>
  <si>
    <t>sings</t>
  </si>
  <si>
    <t>stands</t>
  </si>
  <si>
    <t>sleeps</t>
  </si>
  <si>
    <t>is going</t>
  </si>
  <si>
    <t>are going</t>
  </si>
  <si>
    <t>am going</t>
  </si>
  <si>
    <t>is sitting</t>
  </si>
  <si>
    <t>are sitting</t>
  </si>
  <si>
    <t>am sitting</t>
  </si>
  <si>
    <t>is sleeping</t>
  </si>
  <si>
    <t>are sleeping</t>
  </si>
  <si>
    <t>am sleeping</t>
  </si>
  <si>
    <t>was going</t>
  </si>
  <si>
    <t>were going</t>
  </si>
  <si>
    <t>was sitting</t>
  </si>
  <si>
    <t>were sitting</t>
  </si>
  <si>
    <t>was sleeping</t>
  </si>
  <si>
    <t>were sleeping</t>
  </si>
  <si>
    <t>sits</t>
  </si>
  <si>
    <t>out the window.</t>
  </si>
  <si>
    <t>to the radio.</t>
  </si>
  <si>
    <t>a box.</t>
  </si>
  <si>
    <t>very fast.</t>
  </si>
  <si>
    <t>good questions.</t>
  </si>
  <si>
    <t>after school.</t>
  </si>
  <si>
    <t>beautifully.</t>
  </si>
  <si>
    <t>in a line.</t>
  </si>
  <si>
    <t>letters.</t>
  </si>
  <si>
    <t>the newspaper.</t>
  </si>
  <si>
    <t>prayers.</t>
  </si>
  <si>
    <t>home.</t>
  </si>
  <si>
    <t>on the grass!</t>
  </si>
  <si>
    <t>He, She, It</t>
  </si>
  <si>
    <t>You,We,They</t>
  </si>
  <si>
    <t>is playing</t>
  </si>
  <si>
    <t>played</t>
  </si>
  <si>
    <t>was playing</t>
  </si>
  <si>
    <t>are playing</t>
  </si>
  <si>
    <t>were playing</t>
  </si>
  <si>
    <t>am playing</t>
  </si>
  <si>
    <t>looks</t>
  </si>
  <si>
    <t>listens</t>
  </si>
  <si>
    <t>opens</t>
  </si>
  <si>
    <t>walks</t>
  </si>
  <si>
    <t>walked</t>
  </si>
  <si>
    <t>asks</t>
  </si>
  <si>
    <t>rests</t>
  </si>
  <si>
    <t>is looking</t>
  </si>
  <si>
    <t>are looking</t>
  </si>
  <si>
    <t>is listening</t>
  </si>
  <si>
    <t>are listening</t>
  </si>
  <si>
    <t>is opening</t>
  </si>
  <si>
    <t>are opening</t>
  </si>
  <si>
    <t>am opening</t>
  </si>
  <si>
    <t>am looking</t>
  </si>
  <si>
    <t>am listening</t>
  </si>
  <si>
    <t>is walking</t>
  </si>
  <si>
    <t>are walking</t>
  </si>
  <si>
    <t>am walking</t>
  </si>
  <si>
    <t>is asking</t>
  </si>
  <si>
    <t>are asking</t>
  </si>
  <si>
    <t>am asking</t>
  </si>
  <si>
    <t>is resting</t>
  </si>
  <si>
    <t>are resting</t>
  </si>
  <si>
    <t>am resting</t>
  </si>
  <si>
    <t>looked</t>
  </si>
  <si>
    <t>listened</t>
  </si>
  <si>
    <t>opened</t>
  </si>
  <si>
    <t>was looking</t>
  </si>
  <si>
    <t>were looking</t>
  </si>
  <si>
    <t>was listening</t>
  </si>
  <si>
    <t>were listening</t>
  </si>
  <si>
    <t>was opening</t>
  </si>
  <si>
    <t>were opening</t>
  </si>
  <si>
    <t>was walking</t>
  </si>
  <si>
    <t>were walking</t>
  </si>
  <si>
    <t>was asking</t>
  </si>
  <si>
    <t>were asking</t>
  </si>
  <si>
    <t>was resting</t>
  </si>
  <si>
    <t>were resting</t>
  </si>
  <si>
    <t>"past continuous"</t>
  </si>
  <si>
    <t>"present continuous"</t>
  </si>
  <si>
    <t>some times</t>
  </si>
  <si>
    <r>
      <rPr>
        <u/>
        <sz val="14"/>
        <color theme="1"/>
        <rFont val="Calibri"/>
        <family val="2"/>
        <scheme val="minor"/>
      </rPr>
      <t>was</t>
    </r>
    <r>
      <rPr>
        <sz val="14"/>
        <color theme="1"/>
        <rFont val="Calibri"/>
        <family val="2"/>
        <scheme val="minor"/>
      </rPr>
      <t xml:space="preserve"> going on</t>
    </r>
  </si>
  <si>
    <r>
      <t xml:space="preserve">right </t>
    </r>
    <r>
      <rPr>
        <u/>
        <sz val="14"/>
        <color theme="1"/>
        <rFont val="Calibri"/>
        <family val="2"/>
        <scheme val="minor"/>
      </rPr>
      <t>now</t>
    </r>
  </si>
  <si>
    <t>Howard Area Community Center</t>
  </si>
  <si>
    <t>Adult Education Department -- ESL</t>
  </si>
  <si>
    <t>("Irregular")</t>
  </si>
  <si>
    <r>
      <t xml:space="preserve">Teach yourself Regular and </t>
    </r>
    <r>
      <rPr>
        <i/>
        <sz val="18"/>
        <color theme="1"/>
        <rFont val="Calibri"/>
        <family val="2"/>
        <scheme val="minor"/>
      </rPr>
      <t>Irregular*</t>
    </r>
    <r>
      <rPr>
        <sz val="18"/>
        <color theme="1"/>
        <rFont val="Calibri"/>
        <family val="2"/>
        <scheme val="minor"/>
      </rPr>
      <t xml:space="preserve"> Tenses</t>
    </r>
  </si>
  <si>
    <t>a piano.</t>
  </si>
  <si>
    <t>√</t>
  </si>
  <si>
    <t>read *</t>
  </si>
  <si>
    <t>#end</t>
  </si>
  <si>
    <t>* sounds like "red"</t>
  </si>
  <si>
    <r>
      <t xml:space="preserve">*Irregular </t>
    </r>
    <r>
      <rPr>
        <sz val="18"/>
        <color theme="1"/>
        <rFont val="Calibri"/>
        <family val="2"/>
        <scheme val="minor"/>
      </rPr>
      <t>means "don't follow the rule"</t>
    </r>
  </si>
  <si>
    <t>in the park.</t>
  </si>
  <si>
    <t>Blue spaces</t>
  </si>
  <si>
    <t>are correct; when all 12 turn blue, that set gets a</t>
  </si>
  <si>
    <t>(in the present)</t>
  </si>
  <si>
    <t>(in the past)</t>
  </si>
  <si>
    <t>-----------------------------------------------------------------------------------&gt;</t>
  </si>
  <si>
    <t>Not regular in Past Tense</t>
  </si>
  <si>
    <t>The man</t>
  </si>
  <si>
    <t>The woman</t>
  </si>
  <si>
    <t>The dog</t>
  </si>
  <si>
    <t>A computer</t>
  </si>
  <si>
    <t>A boy</t>
  </si>
  <si>
    <t>Mohamed</t>
  </si>
  <si>
    <t>Teresa</t>
  </si>
  <si>
    <t>A cat</t>
  </si>
  <si>
    <t>That man</t>
  </si>
  <si>
    <t>The statue</t>
  </si>
  <si>
    <t>You</t>
  </si>
  <si>
    <t>We</t>
  </si>
  <si>
    <t>The children</t>
  </si>
  <si>
    <t>She</t>
  </si>
  <si>
    <t>He</t>
  </si>
  <si>
    <t>Bill and Sara</t>
  </si>
  <si>
    <t>It</t>
  </si>
  <si>
    <t>Fazila</t>
  </si>
  <si>
    <t>Mary</t>
  </si>
  <si>
    <t>They</t>
  </si>
  <si>
    <t>Children</t>
  </si>
  <si>
    <t>People</t>
  </si>
  <si>
    <t>Some cats</t>
  </si>
  <si>
    <t>Students</t>
  </si>
  <si>
    <t>Sam and Jane</t>
  </si>
  <si>
    <t>The priests</t>
  </si>
  <si>
    <t>Our baby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</si>
</sst>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0"/>
      <name val="Calibri"/>
      <family val="2"/>
    </font>
    <font>
      <b/>
      <sz val="16"/>
      <color theme="4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u/>
      <sz val="12"/>
      <color rgb="FFFF0000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  <font>
      <sz val="18"/>
      <color theme="1"/>
      <name val="Calibri"/>
      <family val="2"/>
    </font>
    <font>
      <sz val="18"/>
      <color theme="4" tint="-0.24997711111789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/>
    <xf numFmtId="0" fontId="0" fillId="0" borderId="0" xfId="0" applyFont="1" applyBorder="1" applyAlignment="1">
      <alignment vertical="center"/>
    </xf>
    <xf numFmtId="0" fontId="2" fillId="3" borderId="0" xfId="0" applyFont="1" applyFill="1"/>
    <xf numFmtId="0" fontId="7" fillId="0" borderId="0" xfId="0" applyFont="1"/>
    <xf numFmtId="0" fontId="9" fillId="0" borderId="0" xfId="0" applyFont="1"/>
    <xf numFmtId="0" fontId="11" fillId="0" borderId="0" xfId="0" applyFont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0" borderId="0" xfId="0" applyFont="1" applyBorder="1" applyAlignment="1" applyProtection="1">
      <alignment vertical="center"/>
    </xf>
    <xf numFmtId="0" fontId="2" fillId="3" borderId="0" xfId="0" applyFont="1" applyFill="1" applyProtection="1"/>
    <xf numFmtId="0" fontId="7" fillId="0" borderId="0" xfId="0" applyFont="1" applyProtection="1"/>
    <xf numFmtId="0" fontId="7" fillId="0" borderId="0" xfId="0" applyFont="1" applyBorder="1" applyAlignment="1" applyProtection="1">
      <alignment vertical="center"/>
    </xf>
    <xf numFmtId="0" fontId="8" fillId="3" borderId="0" xfId="0" applyFont="1" applyFill="1" applyProtection="1"/>
    <xf numFmtId="0" fontId="9" fillId="0" borderId="0" xfId="0" applyFont="1" applyProtection="1"/>
    <xf numFmtId="0" fontId="9" fillId="0" borderId="0" xfId="0" applyFont="1" applyBorder="1" applyAlignment="1" applyProtection="1">
      <alignment vertical="center"/>
    </xf>
    <xf numFmtId="0" fontId="10" fillId="3" borderId="0" xfId="0" applyFont="1" applyFill="1" applyProtection="1"/>
    <xf numFmtId="0" fontId="4" fillId="0" borderId="0" xfId="0" applyFont="1" applyProtection="1"/>
    <xf numFmtId="0" fontId="6" fillId="3" borderId="0" xfId="0" applyFont="1" applyFill="1" applyProtection="1"/>
    <xf numFmtId="0" fontId="9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4" fillId="0" borderId="0" xfId="0" applyFont="1" applyBorder="1" applyAlignment="1" applyProtection="1">
      <alignment vertical="center"/>
    </xf>
    <xf numFmtId="0" fontId="4" fillId="0" borderId="7" xfId="0" applyFont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15" fillId="0" borderId="0" xfId="0" applyFont="1" applyAlignment="1" applyProtection="1">
      <alignment horizontal="right"/>
    </xf>
    <xf numFmtId="0" fontId="16" fillId="0" borderId="0" xfId="0" applyFont="1" applyAlignment="1" applyProtection="1">
      <alignment horizontal="right"/>
    </xf>
    <xf numFmtId="0" fontId="11" fillId="0" borderId="0" xfId="0" applyFont="1" applyProtection="1"/>
    <xf numFmtId="9" fontId="11" fillId="0" borderId="0" xfId="1" applyFont="1" applyProtection="1"/>
    <xf numFmtId="0" fontId="17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left"/>
    </xf>
    <xf numFmtId="0" fontId="11" fillId="0" borderId="0" xfId="0" applyFont="1" applyBorder="1" applyAlignment="1" applyProtection="1">
      <alignment vertical="center"/>
    </xf>
    <xf numFmtId="0" fontId="12" fillId="3" borderId="0" xfId="0" applyFont="1" applyFill="1" applyProtection="1"/>
    <xf numFmtId="0" fontId="13" fillId="0" borderId="0" xfId="0" applyFont="1" applyAlignment="1" applyProtection="1">
      <alignment horizontal="center"/>
    </xf>
    <xf numFmtId="0" fontId="19" fillId="0" borderId="0" xfId="0" applyFont="1" applyProtection="1"/>
    <xf numFmtId="0" fontId="19" fillId="0" borderId="4" xfId="0" applyFont="1" applyBorder="1" applyAlignment="1" applyProtection="1">
      <alignment horizontal="center" vertical="center"/>
    </xf>
    <xf numFmtId="0" fontId="19" fillId="0" borderId="0" xfId="0" applyFont="1" applyBorder="1" applyAlignment="1" applyProtection="1">
      <alignment vertical="center"/>
    </xf>
    <xf numFmtId="0" fontId="21" fillId="3" borderId="6" xfId="0" applyFont="1" applyFill="1" applyBorder="1" applyProtection="1"/>
    <xf numFmtId="0" fontId="21" fillId="3" borderId="0" xfId="0" applyFont="1" applyFill="1" applyBorder="1" applyProtection="1"/>
    <xf numFmtId="0" fontId="19" fillId="0" borderId="0" xfId="0" applyFont="1" applyBorder="1" applyProtection="1"/>
    <xf numFmtId="0" fontId="19" fillId="0" borderId="0" xfId="0" applyFont="1"/>
    <xf numFmtId="0" fontId="19" fillId="0" borderId="2" xfId="0" applyFont="1" applyBorder="1" applyAlignment="1" applyProtection="1">
      <alignment horizontal="right" vertical="center"/>
    </xf>
    <xf numFmtId="0" fontId="22" fillId="3" borderId="6" xfId="0" applyFont="1" applyFill="1" applyBorder="1" applyAlignment="1" applyProtection="1">
      <alignment horizontal="left"/>
    </xf>
    <xf numFmtId="0" fontId="22" fillId="3" borderId="0" xfId="0" applyFont="1" applyFill="1" applyBorder="1" applyAlignment="1" applyProtection="1">
      <alignment horizontal="left"/>
    </xf>
    <xf numFmtId="0" fontId="14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left" vertical="center"/>
    </xf>
    <xf numFmtId="0" fontId="20" fillId="0" borderId="0" xfId="0" applyFont="1" applyBorder="1" applyAlignment="1" applyProtection="1">
      <alignment vertical="center"/>
    </xf>
    <xf numFmtId="0" fontId="19" fillId="3" borderId="4" xfId="0" applyFont="1" applyFill="1" applyBorder="1" applyAlignment="1" applyProtection="1">
      <alignment horizontal="center" vertical="center"/>
    </xf>
    <xf numFmtId="0" fontId="19" fillId="3" borderId="0" xfId="0" applyFont="1" applyFill="1" applyBorder="1" applyAlignment="1" applyProtection="1">
      <alignment vertical="center"/>
    </xf>
    <xf numFmtId="0" fontId="19" fillId="3" borderId="10" xfId="0" applyFont="1" applyFill="1" applyBorder="1" applyAlignment="1" applyProtection="1">
      <alignment horizontal="center" vertical="center"/>
    </xf>
    <xf numFmtId="0" fontId="15" fillId="0" borderId="0" xfId="0" applyFont="1" applyAlignment="1" applyProtection="1">
      <alignment horizontal="right" vertical="center"/>
    </xf>
    <xf numFmtId="0" fontId="21" fillId="2" borderId="3" xfId="0" applyFont="1" applyFill="1" applyBorder="1" applyAlignment="1" applyProtection="1">
      <alignment horizontal="left" vertical="center"/>
      <protection locked="0"/>
    </xf>
    <xf numFmtId="0" fontId="22" fillId="3" borderId="6" xfId="0" applyFont="1" applyFill="1" applyBorder="1" applyAlignment="1" applyProtection="1">
      <alignment horizontal="left" vertical="center"/>
    </xf>
    <xf numFmtId="0" fontId="22" fillId="3" borderId="0" xfId="0" applyFont="1" applyFill="1" applyBorder="1" applyAlignment="1" applyProtection="1">
      <alignment horizontal="left" vertical="center"/>
    </xf>
    <xf numFmtId="0" fontId="21" fillId="3" borderId="0" xfId="0" applyFont="1" applyFill="1" applyBorder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19" fillId="3" borderId="2" xfId="0" applyFont="1" applyFill="1" applyBorder="1" applyAlignment="1" applyProtection="1">
      <alignment horizontal="right" vertical="center"/>
    </xf>
    <xf numFmtId="0" fontId="19" fillId="0" borderId="0" xfId="0" applyFont="1" applyBorder="1" applyAlignment="1" applyProtection="1">
      <alignment horizontal="right" vertical="center"/>
    </xf>
    <xf numFmtId="0" fontId="21" fillId="0" borderId="0" xfId="0" applyFont="1" applyBorder="1" applyAlignment="1" applyProtection="1">
      <alignment horizontal="left" vertical="center"/>
    </xf>
    <xf numFmtId="0" fontId="19" fillId="0" borderId="0" xfId="0" applyFont="1" applyBorder="1" applyAlignment="1" applyProtection="1">
      <alignment horizontal="left" vertical="center"/>
    </xf>
    <xf numFmtId="0" fontId="20" fillId="0" borderId="0" xfId="0" applyFont="1" applyAlignment="1" applyProtection="1">
      <alignment vertical="center"/>
    </xf>
    <xf numFmtId="0" fontId="20" fillId="0" borderId="0" xfId="0" applyFont="1" applyAlignment="1" applyProtection="1">
      <alignment horizontal="right" vertical="center"/>
    </xf>
    <xf numFmtId="0" fontId="25" fillId="0" borderId="0" xfId="0" applyFont="1" applyAlignment="1" applyProtection="1">
      <alignment horizontal="left" vertical="center"/>
    </xf>
    <xf numFmtId="0" fontId="26" fillId="3" borderId="6" xfId="0" applyFont="1" applyFill="1" applyBorder="1" applyAlignment="1" applyProtection="1">
      <alignment vertical="center"/>
    </xf>
    <xf numFmtId="0" fontId="26" fillId="3" borderId="0" xfId="0" applyFont="1" applyFill="1" applyBorder="1" applyAlignment="1" applyProtection="1">
      <alignment vertical="center"/>
    </xf>
    <xf numFmtId="0" fontId="20" fillId="0" borderId="0" xfId="0" applyFont="1" applyAlignment="1">
      <alignment vertical="center"/>
    </xf>
    <xf numFmtId="0" fontId="14" fillId="5" borderId="1" xfId="0" applyFont="1" applyFill="1" applyBorder="1" applyAlignment="1" applyProtection="1">
      <alignment horizontal="left" vertical="center"/>
    </xf>
    <xf numFmtId="0" fontId="19" fillId="3" borderId="0" xfId="0" applyFont="1" applyFill="1" applyAlignment="1" applyProtection="1">
      <alignment vertical="center"/>
    </xf>
    <xf numFmtId="0" fontId="19" fillId="3" borderId="0" xfId="0" applyFont="1" applyFill="1" applyBorder="1" applyAlignment="1" applyProtection="1">
      <alignment horizontal="right" vertical="center"/>
    </xf>
    <xf numFmtId="0" fontId="21" fillId="3" borderId="0" xfId="0" applyFont="1" applyFill="1" applyBorder="1" applyAlignment="1" applyProtection="1">
      <alignment horizontal="left" vertical="center"/>
    </xf>
    <xf numFmtId="0" fontId="19" fillId="3" borderId="0" xfId="0" applyFont="1" applyFill="1" applyBorder="1" applyAlignment="1" applyProtection="1">
      <alignment horizontal="left" vertical="center"/>
    </xf>
    <xf numFmtId="0" fontId="21" fillId="3" borderId="6" xfId="0" applyFont="1" applyFill="1" applyBorder="1" applyAlignment="1" applyProtection="1">
      <alignment vertical="center"/>
    </xf>
    <xf numFmtId="0" fontId="19" fillId="3" borderId="0" xfId="0" applyFont="1" applyFill="1" applyAlignment="1">
      <alignment vertical="center"/>
    </xf>
    <xf numFmtId="0" fontId="20" fillId="4" borderId="3" xfId="0" applyFont="1" applyFill="1" applyBorder="1" applyAlignment="1" applyProtection="1">
      <alignment horizontal="left" vertical="center"/>
    </xf>
    <xf numFmtId="0" fontId="20" fillId="0" borderId="0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8" fillId="3" borderId="0" xfId="0" applyFont="1" applyFill="1" applyAlignment="1" applyProtection="1">
      <alignment horizontal="left"/>
    </xf>
    <xf numFmtId="0" fontId="21" fillId="0" borderId="0" xfId="0" applyFont="1"/>
    <xf numFmtId="0" fontId="4" fillId="0" borderId="6" xfId="0" applyFont="1" applyBorder="1" applyAlignment="1" applyProtection="1">
      <alignment horizontal="center"/>
    </xf>
    <xf numFmtId="0" fontId="4" fillId="0" borderId="8" xfId="0" applyFont="1" applyBorder="1" applyAlignment="1" applyProtection="1">
      <alignment horizontal="center"/>
    </xf>
    <xf numFmtId="0" fontId="4" fillId="0" borderId="7" xfId="0" applyFont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vertical="center"/>
    </xf>
    <xf numFmtId="0" fontId="19" fillId="0" borderId="6" xfId="0" applyFont="1" applyBorder="1" applyAlignment="1" applyProtection="1">
      <alignment vertical="center"/>
    </xf>
    <xf numFmtId="0" fontId="19" fillId="0" borderId="7" xfId="0" applyFont="1" applyBorder="1" applyAlignment="1" applyProtection="1">
      <alignment vertical="center"/>
    </xf>
    <xf numFmtId="0" fontId="7" fillId="0" borderId="0" xfId="0" applyFont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0" fontId="27" fillId="6" borderId="0" xfId="0" applyFont="1" applyFill="1" applyAlignment="1" applyProtection="1">
      <alignment horizontal="right"/>
    </xf>
    <xf numFmtId="0" fontId="27" fillId="3" borderId="0" xfId="0" applyFont="1" applyFill="1" applyAlignment="1" applyProtection="1">
      <alignment horizontal="left"/>
    </xf>
    <xf numFmtId="0" fontId="19" fillId="0" borderId="11" xfId="0" applyFont="1" applyBorder="1" applyAlignment="1" applyProtection="1">
      <alignment horizontal="center" vertical="center"/>
    </xf>
    <xf numFmtId="0" fontId="19" fillId="0" borderId="4" xfId="0" applyFont="1" applyBorder="1" applyAlignment="1" applyProtection="1">
      <alignment horizontal="center" vertical="center"/>
    </xf>
    <xf numFmtId="0" fontId="14" fillId="3" borderId="10" xfId="0" applyFont="1" applyFill="1" applyBorder="1" applyAlignment="1" applyProtection="1">
      <alignment horizontal="center" vertical="center"/>
    </xf>
    <xf numFmtId="0" fontId="20" fillId="0" borderId="4" xfId="0" quotePrefix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135"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  <dxf>
      <font>
        <color theme="1"/>
      </font>
      <fill>
        <patternFill>
          <fgColor theme="4" tint="0.59996337778862885"/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1"/>
  <sheetViews>
    <sheetView showGridLines="0" tabSelected="1" workbookViewId="0">
      <pane xSplit="9" ySplit="11" topLeftCell="J38" activePane="bottomRight" state="frozen"/>
      <selection pane="topRight" activeCell="J1" sqref="J1"/>
      <selection pane="bottomLeft" activeCell="A11" sqref="A11"/>
      <selection pane="bottomRight" activeCell="A44" sqref="A44"/>
    </sheetView>
  </sheetViews>
  <sheetFormatPr defaultRowHeight="14.4" x14ac:dyDescent="0.3"/>
  <cols>
    <col min="2" max="2" width="14.21875" customWidth="1"/>
    <col min="3" max="3" width="13.33203125" style="1" customWidth="1"/>
    <col min="4" max="4" width="6.77734375" style="2" customWidth="1"/>
    <col min="5" max="5" width="13.33203125" style="1" customWidth="1"/>
    <col min="6" max="6" width="12.44140625" style="3" customWidth="1"/>
    <col min="7" max="7" width="13.33203125" style="1" customWidth="1"/>
    <col min="8" max="8" width="8.44140625" style="3" customWidth="1"/>
    <col min="9" max="9" width="13.33203125" style="1" customWidth="1"/>
    <col min="10" max="10" width="14.109375" style="3" customWidth="1"/>
    <col min="11" max="11" width="14.33203125" style="5" customWidth="1"/>
    <col min="12" max="12" width="3" style="6" customWidth="1"/>
    <col min="13" max="13" width="3.109375" style="6" customWidth="1"/>
    <col min="14" max="14" width="3.33203125" style="6" customWidth="1"/>
    <col min="15" max="15" width="3.109375" style="6" customWidth="1"/>
    <col min="16" max="16" width="8.88671875" style="6"/>
  </cols>
  <sheetData>
    <row r="1" spans="1:26" ht="15.6" x14ac:dyDescent="0.3">
      <c r="A1" s="84" t="str">
        <f>[1]!wwsSetup("useHTTPS", TRUE)</f>
        <v>useHTTPS = "True"</v>
      </c>
      <c r="B1" s="10"/>
      <c r="C1" s="11"/>
      <c r="D1" s="12"/>
      <c r="E1" s="11"/>
      <c r="F1" s="13"/>
      <c r="G1" s="11"/>
      <c r="H1" s="13"/>
      <c r="I1" s="11"/>
      <c r="J1" s="13"/>
      <c r="K1" s="14"/>
      <c r="L1" s="15"/>
      <c r="M1" s="15"/>
      <c r="N1" s="15"/>
      <c r="O1" s="15"/>
      <c r="P1" s="15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s="7" customFormat="1" ht="25.8" x14ac:dyDescent="0.5">
      <c r="A2" s="16"/>
      <c r="B2" s="16"/>
      <c r="C2" s="92" t="s">
        <v>139</v>
      </c>
      <c r="D2" s="92"/>
      <c r="E2" s="92"/>
      <c r="F2" s="92"/>
      <c r="G2" s="92"/>
      <c r="H2" s="92"/>
      <c r="I2" s="92"/>
      <c r="J2" s="92"/>
      <c r="K2" s="17"/>
      <c r="L2" s="18"/>
      <c r="M2" s="18"/>
      <c r="N2" s="18"/>
      <c r="O2" s="18"/>
      <c r="P2" s="18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8" customFormat="1" ht="23.4" x14ac:dyDescent="0.45">
      <c r="A3" s="19"/>
      <c r="B3" s="19"/>
      <c r="C3" s="93" t="s">
        <v>140</v>
      </c>
      <c r="D3" s="93"/>
      <c r="E3" s="93"/>
      <c r="F3" s="93"/>
      <c r="G3" s="93"/>
      <c r="H3" s="93"/>
      <c r="I3" s="93"/>
      <c r="J3" s="93"/>
      <c r="K3" s="20"/>
      <c r="L3" s="21"/>
      <c r="M3" s="21"/>
      <c r="N3" s="21"/>
      <c r="O3" s="21"/>
      <c r="P3" s="21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s="8" customFormat="1" ht="23.4" x14ac:dyDescent="0.45">
      <c r="A4" s="19"/>
      <c r="B4" s="94" t="s">
        <v>142</v>
      </c>
      <c r="C4" s="94"/>
      <c r="D4" s="94"/>
      <c r="E4" s="94"/>
      <c r="F4" s="94"/>
      <c r="G4" s="94"/>
      <c r="H4" s="94"/>
      <c r="I4" s="94"/>
      <c r="J4" s="94"/>
      <c r="K4" s="94"/>
      <c r="L4" s="21"/>
      <c r="M4" s="21"/>
      <c r="N4" s="21"/>
      <c r="O4" s="21"/>
      <c r="P4" s="21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s="4" customFormat="1" ht="18" x14ac:dyDescent="0.35">
      <c r="A5" s="22"/>
      <c r="B5" s="94"/>
      <c r="C5" s="94"/>
      <c r="D5" s="94"/>
      <c r="E5" s="94"/>
      <c r="F5" s="94"/>
      <c r="G5" s="94"/>
      <c r="H5" s="94"/>
      <c r="I5" s="94"/>
      <c r="J5" s="94"/>
      <c r="K5" s="94"/>
      <c r="L5" s="23"/>
      <c r="M5" s="23"/>
      <c r="N5" s="23"/>
      <c r="O5" s="23"/>
      <c r="P5" s="23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26" s="4" customFormat="1" ht="23.4" x14ac:dyDescent="0.45">
      <c r="A6" s="22"/>
      <c r="B6" s="95" t="s">
        <v>148</v>
      </c>
      <c r="C6" s="95"/>
      <c r="D6" s="95"/>
      <c r="E6" s="95"/>
      <c r="F6" s="95"/>
      <c r="G6" s="95"/>
      <c r="H6" s="95"/>
      <c r="I6" s="95"/>
      <c r="J6" s="95"/>
      <c r="K6" s="95"/>
      <c r="L6" s="23"/>
      <c r="M6" s="23"/>
      <c r="N6" s="23"/>
      <c r="O6" s="23"/>
      <c r="P6" s="23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spans="1:26" s="4" customFormat="1" ht="23.4" x14ac:dyDescent="0.45">
      <c r="A7" s="22"/>
      <c r="B7" s="39"/>
      <c r="C7" s="39"/>
      <c r="D7" s="39"/>
      <c r="E7" s="39"/>
      <c r="F7" s="39"/>
      <c r="G7" s="39"/>
      <c r="H7" s="39"/>
      <c r="I7" s="39"/>
      <c r="J7" s="39"/>
      <c r="K7" s="39"/>
      <c r="L7" s="23"/>
      <c r="M7" s="23"/>
      <c r="N7" s="23"/>
      <c r="O7" s="23"/>
      <c r="P7" s="23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spans="1:26" s="4" customFormat="1" ht="23.4" x14ac:dyDescent="0.45">
      <c r="A8" s="22"/>
      <c r="B8" s="96" t="s">
        <v>150</v>
      </c>
      <c r="C8" s="96"/>
      <c r="D8" s="97" t="s">
        <v>151</v>
      </c>
      <c r="E8" s="97"/>
      <c r="F8" s="97"/>
      <c r="G8" s="97"/>
      <c r="H8" s="97"/>
      <c r="I8" s="97"/>
      <c r="J8" s="83" t="s">
        <v>144</v>
      </c>
      <c r="K8" s="24"/>
      <c r="L8" s="23"/>
      <c r="M8" s="23"/>
      <c r="N8" s="23"/>
      <c r="O8" s="23"/>
      <c r="P8" s="23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spans="1:26" s="4" customFormat="1" ht="18" x14ac:dyDescent="0.35">
      <c r="A9" s="22"/>
      <c r="B9" s="25" t="s">
        <v>3</v>
      </c>
      <c r="C9" s="85" t="s">
        <v>136</v>
      </c>
      <c r="D9" s="86"/>
      <c r="E9" s="85" t="s">
        <v>138</v>
      </c>
      <c r="F9" s="86"/>
      <c r="G9" s="85" t="s">
        <v>136</v>
      </c>
      <c r="H9" s="86"/>
      <c r="I9" s="85" t="s">
        <v>137</v>
      </c>
      <c r="J9" s="86"/>
      <c r="K9" s="26"/>
      <c r="L9" s="23"/>
      <c r="M9" s="23"/>
      <c r="N9" s="23"/>
      <c r="O9" s="23"/>
      <c r="P9" s="23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spans="1:26" ht="18" x14ac:dyDescent="0.35">
      <c r="A10" s="30" t="s">
        <v>144</v>
      </c>
      <c r="B10" s="25"/>
      <c r="C10" s="87" t="s">
        <v>152</v>
      </c>
      <c r="D10" s="88"/>
      <c r="E10" s="87" t="s">
        <v>135</v>
      </c>
      <c r="F10" s="88"/>
      <c r="G10" s="87" t="s">
        <v>153</v>
      </c>
      <c r="H10" s="88"/>
      <c r="I10" s="87" t="s">
        <v>134</v>
      </c>
      <c r="J10" s="88"/>
      <c r="K10" s="26"/>
      <c r="L10" s="15"/>
      <c r="M10" s="15"/>
      <c r="N10" s="15"/>
      <c r="O10" s="15"/>
      <c r="P10" s="15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6.6" customHeight="1" x14ac:dyDescent="0.35">
      <c r="A11" s="30"/>
      <c r="B11" s="25"/>
      <c r="C11" s="27"/>
      <c r="D11" s="28"/>
      <c r="E11" s="27"/>
      <c r="F11" s="28"/>
      <c r="G11" s="27"/>
      <c r="H11" s="28"/>
      <c r="I11" s="27"/>
      <c r="J11" s="28"/>
      <c r="K11" s="26"/>
      <c r="L11" s="15"/>
      <c r="M11" s="15"/>
      <c r="N11" s="15"/>
      <c r="O11" s="15"/>
      <c r="P11" s="15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s="46" customFormat="1" ht="15.6" x14ac:dyDescent="0.3">
      <c r="A12" s="29" t="str">
        <f>IF(AND(D12=L12,D13=L13,D14=L14,F12=M12,F13=M13,F14=M14,H12=N12,H13=N13,H14=N14,J12=O12,J13=O13,J14=O14),$A$10,"")</f>
        <v>√</v>
      </c>
      <c r="B12" s="99" t="s">
        <v>1</v>
      </c>
      <c r="C12" s="47" t="s">
        <v>86</v>
      </c>
      <c r="D12" s="80" t="str">
        <f>CONCATENATE(B12,"s")</f>
        <v>plays</v>
      </c>
      <c r="E12" s="47" t="s">
        <v>86</v>
      </c>
      <c r="F12" s="80" t="str">
        <f>CONCATENATE("is ",B12, "ing")</f>
        <v>is playing</v>
      </c>
      <c r="G12" s="47" t="s">
        <v>86</v>
      </c>
      <c r="H12" s="80" t="str">
        <f>CONCATENATE(B12,"ed")</f>
        <v>played</v>
      </c>
      <c r="I12" s="47" t="s">
        <v>86</v>
      </c>
      <c r="J12" s="80" t="str">
        <f>CONCATENATE("was ",B12, "ing")</f>
        <v>was playing</v>
      </c>
      <c r="K12" s="89" t="s">
        <v>143</v>
      </c>
      <c r="L12" s="48" t="s">
        <v>2</v>
      </c>
      <c r="M12" s="49" t="s">
        <v>88</v>
      </c>
      <c r="N12" s="49" t="s">
        <v>89</v>
      </c>
      <c r="O12" s="49" t="s">
        <v>90</v>
      </c>
      <c r="P12" s="44"/>
      <c r="Q12" s="45"/>
      <c r="R12" s="40"/>
      <c r="S12" s="40"/>
      <c r="T12" s="40"/>
      <c r="U12" s="40"/>
      <c r="V12" s="40"/>
      <c r="W12" s="40"/>
      <c r="X12" s="40"/>
      <c r="Y12" s="40"/>
      <c r="Z12" s="40"/>
    </row>
    <row r="13" spans="1:26" s="46" customFormat="1" ht="15.6" x14ac:dyDescent="0.3">
      <c r="A13" s="40"/>
      <c r="B13" s="99"/>
      <c r="C13" s="47" t="s">
        <v>87</v>
      </c>
      <c r="D13" s="80" t="str">
        <f>B12</f>
        <v>play</v>
      </c>
      <c r="E13" s="47" t="s">
        <v>87</v>
      </c>
      <c r="F13" s="80" t="str">
        <f>CONCATENATE("are ",B12, "ing")</f>
        <v>are playing</v>
      </c>
      <c r="G13" s="47" t="s">
        <v>87</v>
      </c>
      <c r="H13" s="80" t="str">
        <f>CONCATENATE(B12,"ed")</f>
        <v>played</v>
      </c>
      <c r="I13" s="47" t="s">
        <v>87</v>
      </c>
      <c r="J13" s="80" t="str">
        <f>CONCATENATE("were ",B12, "ing")</f>
        <v>were playing</v>
      </c>
      <c r="K13" s="90"/>
      <c r="L13" s="48" t="s">
        <v>1</v>
      </c>
      <c r="M13" s="49" t="s">
        <v>91</v>
      </c>
      <c r="N13" s="49" t="s">
        <v>89</v>
      </c>
      <c r="O13" s="49" t="s">
        <v>92</v>
      </c>
      <c r="P13" s="44"/>
      <c r="Q13" s="45"/>
      <c r="R13" s="40"/>
      <c r="S13" s="40"/>
      <c r="T13" s="40"/>
      <c r="U13" s="40"/>
      <c r="V13" s="40"/>
      <c r="W13" s="40"/>
      <c r="X13" s="40"/>
      <c r="Y13" s="40"/>
      <c r="Z13" s="40"/>
    </row>
    <row r="14" spans="1:26" s="46" customFormat="1" ht="15.6" x14ac:dyDescent="0.3">
      <c r="A14" s="40"/>
      <c r="B14" s="99"/>
      <c r="C14" s="47" t="s">
        <v>0</v>
      </c>
      <c r="D14" s="80" t="str">
        <f>B12</f>
        <v>play</v>
      </c>
      <c r="E14" s="47" t="s">
        <v>0</v>
      </c>
      <c r="F14" s="80" t="str">
        <f>CONCATENATE("am ",B12, "ing")</f>
        <v>am playing</v>
      </c>
      <c r="G14" s="47" t="s">
        <v>0</v>
      </c>
      <c r="H14" s="80" t="str">
        <f>CONCATENATE(B12,"ed")</f>
        <v>played</v>
      </c>
      <c r="I14" s="47" t="s">
        <v>0</v>
      </c>
      <c r="J14" s="80" t="str">
        <f>CONCATENATE("was ",B12, "ing")</f>
        <v>was playing</v>
      </c>
      <c r="K14" s="91"/>
      <c r="L14" s="48" t="s">
        <v>1</v>
      </c>
      <c r="M14" s="49" t="s">
        <v>93</v>
      </c>
      <c r="N14" s="49" t="s">
        <v>89</v>
      </c>
      <c r="O14" s="49" t="s">
        <v>90</v>
      </c>
      <c r="P14" s="44"/>
      <c r="Q14" s="45"/>
      <c r="R14" s="40"/>
      <c r="S14" s="40"/>
      <c r="T14" s="40"/>
      <c r="U14" s="40"/>
      <c r="V14" s="40"/>
      <c r="W14" s="40"/>
      <c r="X14" s="40"/>
      <c r="Y14" s="40"/>
      <c r="Z14" s="40"/>
    </row>
    <row r="15" spans="1:26" s="46" customFormat="1" ht="7.8" customHeight="1" x14ac:dyDescent="0.3">
      <c r="A15" s="40"/>
      <c r="B15" s="41"/>
      <c r="C15" s="64"/>
      <c r="D15" s="81"/>
      <c r="E15" s="64"/>
      <c r="F15" s="81"/>
      <c r="G15" s="64"/>
      <c r="H15" s="81"/>
      <c r="I15" s="64"/>
      <c r="J15" s="81"/>
      <c r="K15" s="42"/>
      <c r="L15" s="43"/>
      <c r="M15" s="44"/>
      <c r="N15" s="44"/>
      <c r="O15" s="44"/>
      <c r="P15" s="44"/>
      <c r="Q15" s="45"/>
      <c r="R15" s="40"/>
      <c r="S15" s="40"/>
      <c r="T15" s="40"/>
      <c r="U15" s="40"/>
      <c r="V15" s="40"/>
      <c r="W15" s="40"/>
      <c r="X15" s="40"/>
      <c r="Y15" s="40"/>
      <c r="Z15" s="40"/>
    </row>
    <row r="16" spans="1:26" s="46" customFormat="1" ht="15.6" x14ac:dyDescent="0.3">
      <c r="A16" s="29" t="str">
        <f>IF(AND(D16=L16,D17=L17,D18=L18,F16=M16,F17=M17,F18=M18,H16=N16,H17=N17,H18=N18,J16=O16,J17=O17,J18=O18),$A$10,"")</f>
        <v>√</v>
      </c>
      <c r="B16" s="99" t="s">
        <v>4</v>
      </c>
      <c r="C16" s="47" t="s">
        <v>86</v>
      </c>
      <c r="D16" s="80" t="str">
        <f>CONCATENATE(B16,"s")</f>
        <v>looks</v>
      </c>
      <c r="E16" s="47" t="s">
        <v>86</v>
      </c>
      <c r="F16" s="80" t="str">
        <f>CONCATENATE("is ",B16, "ing")</f>
        <v>is looking</v>
      </c>
      <c r="G16" s="47" t="s">
        <v>86</v>
      </c>
      <c r="H16" s="80" t="str">
        <f>CONCATENATE(B16,"ed")</f>
        <v>looked</v>
      </c>
      <c r="I16" s="47" t="s">
        <v>86</v>
      </c>
      <c r="J16" s="80" t="str">
        <f>CONCATENATE("was ",B16, "ing")</f>
        <v>was looking</v>
      </c>
      <c r="K16" s="89" t="s">
        <v>73</v>
      </c>
      <c r="L16" s="48" t="s">
        <v>94</v>
      </c>
      <c r="M16" s="49" t="s">
        <v>101</v>
      </c>
      <c r="N16" s="49" t="s">
        <v>119</v>
      </c>
      <c r="O16" s="49" t="s">
        <v>122</v>
      </c>
      <c r="P16" s="44"/>
      <c r="Q16" s="45"/>
      <c r="R16" s="40"/>
      <c r="S16" s="40"/>
      <c r="T16" s="40"/>
      <c r="U16" s="40"/>
      <c r="V16" s="40"/>
      <c r="W16" s="40"/>
      <c r="X16" s="40"/>
      <c r="Y16" s="40"/>
      <c r="Z16" s="40"/>
    </row>
    <row r="17" spans="1:26" s="46" customFormat="1" ht="15.6" x14ac:dyDescent="0.3">
      <c r="A17" s="40"/>
      <c r="B17" s="99"/>
      <c r="C17" s="47" t="s">
        <v>87</v>
      </c>
      <c r="D17" s="80" t="str">
        <f>B16</f>
        <v>look</v>
      </c>
      <c r="E17" s="47" t="s">
        <v>87</v>
      </c>
      <c r="F17" s="80" t="str">
        <f>CONCATENATE("are ",B16, "ing")</f>
        <v>are looking</v>
      </c>
      <c r="G17" s="47" t="s">
        <v>87</v>
      </c>
      <c r="H17" s="80" t="str">
        <f>CONCATENATE(B16,"ed")</f>
        <v>looked</v>
      </c>
      <c r="I17" s="47" t="s">
        <v>87</v>
      </c>
      <c r="J17" s="80" t="str">
        <f>CONCATENATE("were ",B16, "ing")</f>
        <v>were looking</v>
      </c>
      <c r="K17" s="90"/>
      <c r="L17" s="48" t="s">
        <v>4</v>
      </c>
      <c r="M17" s="49" t="s">
        <v>102</v>
      </c>
      <c r="N17" s="49" t="s">
        <v>119</v>
      </c>
      <c r="O17" s="49" t="s">
        <v>123</v>
      </c>
      <c r="P17" s="44"/>
      <c r="Q17" s="45"/>
      <c r="R17" s="40"/>
      <c r="S17" s="40"/>
      <c r="T17" s="40"/>
      <c r="U17" s="40"/>
      <c r="V17" s="40"/>
      <c r="W17" s="40"/>
      <c r="X17" s="40"/>
      <c r="Y17" s="40"/>
      <c r="Z17" s="40"/>
    </row>
    <row r="18" spans="1:26" s="46" customFormat="1" ht="15.6" x14ac:dyDescent="0.3">
      <c r="A18" s="40"/>
      <c r="B18" s="99"/>
      <c r="C18" s="47" t="s">
        <v>0</v>
      </c>
      <c r="D18" s="80" t="str">
        <f>B16</f>
        <v>look</v>
      </c>
      <c r="E18" s="47" t="s">
        <v>0</v>
      </c>
      <c r="F18" s="80" t="str">
        <f>CONCATENATE("am ",B16, "ing")</f>
        <v>am looking</v>
      </c>
      <c r="G18" s="47" t="s">
        <v>0</v>
      </c>
      <c r="H18" s="80" t="str">
        <f>CONCATENATE(B16,"ed")</f>
        <v>looked</v>
      </c>
      <c r="I18" s="47" t="s">
        <v>0</v>
      </c>
      <c r="J18" s="80" t="str">
        <f>CONCATENATE("was ",B16, "ing")</f>
        <v>was looking</v>
      </c>
      <c r="K18" s="91"/>
      <c r="L18" s="48" t="s">
        <v>4</v>
      </c>
      <c r="M18" s="49" t="s">
        <v>108</v>
      </c>
      <c r="N18" s="49" t="s">
        <v>119</v>
      </c>
      <c r="O18" s="49" t="s">
        <v>122</v>
      </c>
      <c r="P18" s="44"/>
      <c r="Q18" s="45"/>
      <c r="R18" s="40"/>
      <c r="S18" s="40"/>
      <c r="T18" s="40"/>
      <c r="U18" s="40"/>
      <c r="V18" s="40"/>
      <c r="W18" s="40"/>
      <c r="X18" s="40"/>
      <c r="Y18" s="40"/>
      <c r="Z18" s="40"/>
    </row>
    <row r="19" spans="1:26" s="46" customFormat="1" ht="7.8" customHeight="1" x14ac:dyDescent="0.3">
      <c r="A19" s="40"/>
      <c r="B19" s="41"/>
      <c r="C19" s="64"/>
      <c r="D19" s="81"/>
      <c r="E19" s="64"/>
      <c r="F19" s="81"/>
      <c r="G19" s="64"/>
      <c r="H19" s="81"/>
      <c r="I19" s="64"/>
      <c r="J19" s="81"/>
      <c r="K19" s="42"/>
      <c r="L19" s="43"/>
      <c r="M19" s="44"/>
      <c r="N19" s="44"/>
      <c r="O19" s="44"/>
      <c r="P19" s="44"/>
      <c r="Q19" s="45"/>
      <c r="R19" s="40"/>
      <c r="S19" s="40"/>
      <c r="T19" s="40"/>
      <c r="U19" s="40"/>
      <c r="V19" s="40"/>
      <c r="W19" s="40"/>
      <c r="X19" s="40"/>
      <c r="Y19" s="40"/>
      <c r="Z19" s="40"/>
    </row>
    <row r="20" spans="1:26" s="46" customFormat="1" ht="15.6" x14ac:dyDescent="0.3">
      <c r="A20" s="29" t="str">
        <f>IF(AND(D20=L20,D21=L21,D22=L22,F20=M20,F21=M21,F22=M22,H20=N20,H21=N21,H22=N22,J20=O20,J21=O21,J22=O22),$A$10,"")</f>
        <v>√</v>
      </c>
      <c r="B20" s="99" t="s">
        <v>5</v>
      </c>
      <c r="C20" s="47" t="s">
        <v>86</v>
      </c>
      <c r="D20" s="80" t="str">
        <f>CONCATENATE(B20,"s")</f>
        <v>listens</v>
      </c>
      <c r="E20" s="47" t="s">
        <v>86</v>
      </c>
      <c r="F20" s="80" t="str">
        <f>CONCATENATE("is ",B20, "ing")</f>
        <v>is listening</v>
      </c>
      <c r="G20" s="47" t="s">
        <v>86</v>
      </c>
      <c r="H20" s="80" t="str">
        <f>CONCATENATE(B20,"ed")</f>
        <v>listened</v>
      </c>
      <c r="I20" s="47" t="s">
        <v>86</v>
      </c>
      <c r="J20" s="80" t="str">
        <f>CONCATENATE("was ",B20, "ing")</f>
        <v>was listening</v>
      </c>
      <c r="K20" s="89" t="s">
        <v>74</v>
      </c>
      <c r="L20" s="48" t="s">
        <v>95</v>
      </c>
      <c r="M20" s="49" t="s">
        <v>103</v>
      </c>
      <c r="N20" s="49" t="s">
        <v>120</v>
      </c>
      <c r="O20" s="49" t="s">
        <v>124</v>
      </c>
      <c r="P20" s="44"/>
      <c r="Q20" s="45"/>
      <c r="R20" s="40"/>
      <c r="S20" s="40"/>
      <c r="T20" s="40"/>
      <c r="U20" s="40"/>
      <c r="V20" s="40"/>
      <c r="W20" s="40"/>
      <c r="X20" s="40"/>
      <c r="Y20" s="40"/>
      <c r="Z20" s="40"/>
    </row>
    <row r="21" spans="1:26" s="46" customFormat="1" ht="15.6" x14ac:dyDescent="0.3">
      <c r="A21" s="40"/>
      <c r="B21" s="99"/>
      <c r="C21" s="47" t="s">
        <v>87</v>
      </c>
      <c r="D21" s="80" t="str">
        <f>B20</f>
        <v>listen</v>
      </c>
      <c r="E21" s="47" t="s">
        <v>87</v>
      </c>
      <c r="F21" s="80" t="str">
        <f>CONCATENATE("are ",B20, "ing")</f>
        <v>are listening</v>
      </c>
      <c r="G21" s="47" t="s">
        <v>87</v>
      </c>
      <c r="H21" s="80" t="str">
        <f>CONCATENATE(B20,"ed")</f>
        <v>listened</v>
      </c>
      <c r="I21" s="47" t="s">
        <v>87</v>
      </c>
      <c r="J21" s="80" t="str">
        <f>CONCATENATE("were ",B20, "ing")</f>
        <v>were listening</v>
      </c>
      <c r="K21" s="90"/>
      <c r="L21" s="48" t="s">
        <v>5</v>
      </c>
      <c r="M21" s="49" t="s">
        <v>104</v>
      </c>
      <c r="N21" s="49" t="s">
        <v>120</v>
      </c>
      <c r="O21" s="49" t="s">
        <v>125</v>
      </c>
      <c r="P21" s="44"/>
      <c r="Q21" s="45"/>
      <c r="R21" s="40"/>
      <c r="S21" s="40"/>
      <c r="T21" s="40"/>
      <c r="U21" s="40"/>
      <c r="V21" s="40"/>
      <c r="W21" s="40"/>
      <c r="X21" s="40"/>
      <c r="Y21" s="40"/>
      <c r="Z21" s="40"/>
    </row>
    <row r="22" spans="1:26" s="46" customFormat="1" ht="15.6" x14ac:dyDescent="0.3">
      <c r="A22" s="40"/>
      <c r="B22" s="99"/>
      <c r="C22" s="47" t="s">
        <v>0</v>
      </c>
      <c r="D22" s="80" t="str">
        <f>B20</f>
        <v>listen</v>
      </c>
      <c r="E22" s="47" t="s">
        <v>0</v>
      </c>
      <c r="F22" s="80" t="str">
        <f>CONCATENATE("am ",B20, "ing")</f>
        <v>am listening</v>
      </c>
      <c r="G22" s="47" t="s">
        <v>0</v>
      </c>
      <c r="H22" s="80" t="str">
        <f>CONCATENATE(B20,"ed")</f>
        <v>listened</v>
      </c>
      <c r="I22" s="47" t="s">
        <v>0</v>
      </c>
      <c r="J22" s="80" t="str">
        <f>CONCATENATE("was ",B20, "ing")</f>
        <v>was listening</v>
      </c>
      <c r="K22" s="91"/>
      <c r="L22" s="48" t="s">
        <v>5</v>
      </c>
      <c r="M22" s="49" t="s">
        <v>109</v>
      </c>
      <c r="N22" s="49" t="s">
        <v>120</v>
      </c>
      <c r="O22" s="49" t="s">
        <v>124</v>
      </c>
      <c r="P22" s="44"/>
      <c r="Q22" s="45"/>
      <c r="R22" s="40"/>
      <c r="S22" s="40"/>
      <c r="T22" s="40"/>
      <c r="U22" s="40"/>
      <c r="V22" s="40"/>
      <c r="W22" s="40"/>
      <c r="X22" s="40"/>
      <c r="Y22" s="40"/>
      <c r="Z22" s="40"/>
    </row>
    <row r="23" spans="1:26" s="46" customFormat="1" ht="7.8" customHeight="1" x14ac:dyDescent="0.3">
      <c r="A23" s="40"/>
      <c r="B23" s="41"/>
      <c r="C23" s="64"/>
      <c r="D23" s="82"/>
      <c r="E23" s="64"/>
      <c r="F23" s="82"/>
      <c r="G23" s="64"/>
      <c r="H23" s="82"/>
      <c r="I23" s="64"/>
      <c r="J23" s="82"/>
      <c r="K23" s="42"/>
      <c r="L23" s="43"/>
      <c r="M23" s="44"/>
      <c r="N23" s="44"/>
      <c r="O23" s="44"/>
      <c r="P23" s="44"/>
      <c r="Q23" s="45"/>
      <c r="R23" s="40"/>
      <c r="S23" s="40"/>
      <c r="T23" s="40"/>
      <c r="U23" s="40"/>
      <c r="V23" s="40"/>
      <c r="W23" s="40"/>
      <c r="X23" s="40"/>
      <c r="Y23" s="40"/>
      <c r="Z23" s="40"/>
    </row>
    <row r="24" spans="1:26" s="62" customFormat="1" ht="15.6" x14ac:dyDescent="0.3">
      <c r="A24" s="56" t="str">
        <f>IF(AND(D24=L24,D25=L25,D26=L26,F24=M24,F25=M25,F26=M26,H24=N24,H25=N25,H26=N26,J24=O24,J25=O25,J26=O26),$A$10,"")</f>
        <v/>
      </c>
      <c r="B24" s="99" t="s">
        <v>6</v>
      </c>
      <c r="C24" s="47" t="s">
        <v>86</v>
      </c>
      <c r="D24" s="57" t="str">
        <f>[1]!wwsInput()</f>
        <v/>
      </c>
      <c r="E24" s="47" t="s">
        <v>86</v>
      </c>
      <c r="F24" s="57" t="str">
        <f>[1]!wwsInput()</f>
        <v/>
      </c>
      <c r="G24" s="47" t="s">
        <v>86</v>
      </c>
      <c r="H24" s="57" t="str">
        <f>[1]!wwsInput()</f>
        <v/>
      </c>
      <c r="I24" s="47" t="s">
        <v>86</v>
      </c>
      <c r="J24" s="57" t="str">
        <f>[1]!wwsInput()</f>
        <v/>
      </c>
      <c r="K24" s="89" t="s">
        <v>75</v>
      </c>
      <c r="L24" s="58" t="s">
        <v>96</v>
      </c>
      <c r="M24" s="59" t="s">
        <v>105</v>
      </c>
      <c r="N24" s="59" t="s">
        <v>121</v>
      </c>
      <c r="O24" s="59" t="s">
        <v>126</v>
      </c>
      <c r="P24" s="60">
        <f>IF(A24=$J$8,1,0)</f>
        <v>0</v>
      </c>
      <c r="Q24" s="42"/>
      <c r="R24" s="61"/>
      <c r="S24" s="61"/>
      <c r="T24" s="61"/>
      <c r="U24" s="61"/>
      <c r="V24" s="61"/>
      <c r="W24" s="61"/>
      <c r="X24" s="61"/>
      <c r="Y24" s="61"/>
      <c r="Z24" s="61"/>
    </row>
    <row r="25" spans="1:26" s="62" customFormat="1" ht="15.6" x14ac:dyDescent="0.3">
      <c r="A25" s="61"/>
      <c r="B25" s="99"/>
      <c r="C25" s="47" t="s">
        <v>87</v>
      </c>
      <c r="D25" s="57" t="str">
        <f>[1]!wwsInput()</f>
        <v/>
      </c>
      <c r="E25" s="47" t="s">
        <v>87</v>
      </c>
      <c r="F25" s="57" t="str">
        <f>[1]!wwsInput()</f>
        <v/>
      </c>
      <c r="G25" s="47" t="s">
        <v>87</v>
      </c>
      <c r="H25" s="57" t="str">
        <f>[1]!wwsInput()</f>
        <v/>
      </c>
      <c r="I25" s="47" t="s">
        <v>87</v>
      </c>
      <c r="J25" s="57" t="str">
        <f>[1]!wwsInput()</f>
        <v/>
      </c>
      <c r="K25" s="90"/>
      <c r="L25" s="58" t="s">
        <v>6</v>
      </c>
      <c r="M25" s="59" t="s">
        <v>106</v>
      </c>
      <c r="N25" s="59" t="s">
        <v>121</v>
      </c>
      <c r="O25" s="59" t="s">
        <v>127</v>
      </c>
      <c r="P25" s="60"/>
      <c r="Q25" s="42"/>
      <c r="R25" s="61"/>
      <c r="S25" s="61"/>
      <c r="T25" s="61"/>
      <c r="U25" s="61"/>
      <c r="V25" s="61"/>
      <c r="W25" s="61"/>
      <c r="X25" s="61"/>
      <c r="Y25" s="61"/>
      <c r="Z25" s="61"/>
    </row>
    <row r="26" spans="1:26" s="62" customFormat="1" ht="15.6" x14ac:dyDescent="0.3">
      <c r="A26" s="61"/>
      <c r="B26" s="99"/>
      <c r="C26" s="47" t="s">
        <v>0</v>
      </c>
      <c r="D26" s="57" t="str">
        <f>[1]!wwsInput()</f>
        <v/>
      </c>
      <c r="E26" s="47" t="s">
        <v>0</v>
      </c>
      <c r="F26" s="57" t="str">
        <f>[1]!wwsInput()</f>
        <v/>
      </c>
      <c r="G26" s="63" t="s">
        <v>0</v>
      </c>
      <c r="H26" s="57" t="str">
        <f>[1]!wwsInput()</f>
        <v/>
      </c>
      <c r="I26" s="47" t="s">
        <v>0</v>
      </c>
      <c r="J26" s="57" t="str">
        <f>[1]!wwsInput()</f>
        <v/>
      </c>
      <c r="K26" s="91"/>
      <c r="L26" s="58" t="s">
        <v>6</v>
      </c>
      <c r="M26" s="59" t="s">
        <v>107</v>
      </c>
      <c r="N26" s="59" t="s">
        <v>121</v>
      </c>
      <c r="O26" s="59" t="s">
        <v>126</v>
      </c>
      <c r="P26" s="60"/>
      <c r="Q26" s="42"/>
      <c r="R26" s="61"/>
      <c r="S26" s="61"/>
      <c r="T26" s="61"/>
      <c r="U26" s="61"/>
      <c r="V26" s="61"/>
      <c r="W26" s="61"/>
      <c r="X26" s="61"/>
      <c r="Y26" s="61"/>
      <c r="Z26" s="61"/>
    </row>
    <row r="27" spans="1:26" s="62" customFormat="1" ht="7.8" customHeight="1" x14ac:dyDescent="0.3">
      <c r="A27" s="61"/>
      <c r="B27" s="41"/>
      <c r="C27" s="64"/>
      <c r="D27" s="65"/>
      <c r="E27" s="64"/>
      <c r="F27" s="65"/>
      <c r="G27" s="64"/>
      <c r="H27" s="66"/>
      <c r="I27" s="64"/>
      <c r="J27" s="66"/>
      <c r="K27" s="42"/>
      <c r="L27" s="58"/>
      <c r="M27" s="60"/>
      <c r="N27" s="59"/>
      <c r="O27" s="60"/>
      <c r="P27" s="60"/>
      <c r="Q27" s="42"/>
      <c r="R27" s="61"/>
      <c r="S27" s="61"/>
      <c r="T27" s="61"/>
      <c r="U27" s="61"/>
      <c r="V27" s="61"/>
      <c r="W27" s="61"/>
      <c r="X27" s="61"/>
      <c r="Y27" s="61"/>
      <c r="Z27" s="61"/>
    </row>
    <row r="28" spans="1:26" s="62" customFormat="1" ht="15.6" x14ac:dyDescent="0.3">
      <c r="A28" s="56" t="str">
        <f>IF(AND(D28=L28,D29=L29,D30=L30,F28=M28,F29=M29,F30=M30,H28=N28,H29=N29,H30=N30,J28=O28,J29=O29,J30=O30),$A$10,"")</f>
        <v/>
      </c>
      <c r="B28" s="99" t="s">
        <v>14</v>
      </c>
      <c r="C28" s="47" t="s">
        <v>86</v>
      </c>
      <c r="D28" s="57" t="str">
        <f>[1]!wwsInput()</f>
        <v/>
      </c>
      <c r="E28" s="47" t="s">
        <v>86</v>
      </c>
      <c r="F28" s="57" t="str">
        <f>[1]!wwsInput()</f>
        <v/>
      </c>
      <c r="G28" s="47" t="s">
        <v>86</v>
      </c>
      <c r="H28" s="57" t="str">
        <f>[1]!wwsInput()</f>
        <v/>
      </c>
      <c r="I28" s="47" t="s">
        <v>86</v>
      </c>
      <c r="J28" s="57" t="str">
        <f>[1]!wwsInput()</f>
        <v/>
      </c>
      <c r="K28" s="89" t="s">
        <v>76</v>
      </c>
      <c r="L28" s="58" t="s">
        <v>97</v>
      </c>
      <c r="M28" s="59" t="s">
        <v>110</v>
      </c>
      <c r="N28" s="59" t="s">
        <v>98</v>
      </c>
      <c r="O28" s="59" t="s">
        <v>128</v>
      </c>
      <c r="P28" s="60">
        <f>IF(A28=$J$8,1,0)</f>
        <v>0</v>
      </c>
      <c r="Q28" s="42"/>
      <c r="R28" s="61"/>
      <c r="S28" s="61"/>
      <c r="T28" s="61"/>
      <c r="U28" s="61"/>
      <c r="V28" s="61"/>
      <c r="W28" s="61"/>
      <c r="X28" s="61"/>
      <c r="Y28" s="61"/>
      <c r="Z28" s="61"/>
    </row>
    <row r="29" spans="1:26" s="62" customFormat="1" ht="15.6" x14ac:dyDescent="0.3">
      <c r="A29" s="61"/>
      <c r="B29" s="99"/>
      <c r="C29" s="47" t="s">
        <v>87</v>
      </c>
      <c r="D29" s="57" t="str">
        <f>[1]!wwsInput()</f>
        <v/>
      </c>
      <c r="E29" s="47" t="s">
        <v>87</v>
      </c>
      <c r="F29" s="57" t="str">
        <f>[1]!wwsInput()</f>
        <v/>
      </c>
      <c r="G29" s="47" t="s">
        <v>87</v>
      </c>
      <c r="H29" s="57" t="str">
        <f>[1]!wwsInput()</f>
        <v/>
      </c>
      <c r="I29" s="47" t="s">
        <v>87</v>
      </c>
      <c r="J29" s="57" t="str">
        <f>[1]!wwsInput()</f>
        <v/>
      </c>
      <c r="K29" s="90"/>
      <c r="L29" s="58" t="s">
        <v>14</v>
      </c>
      <c r="M29" s="59" t="s">
        <v>111</v>
      </c>
      <c r="N29" s="59" t="s">
        <v>98</v>
      </c>
      <c r="O29" s="59" t="s">
        <v>129</v>
      </c>
      <c r="P29" s="60"/>
      <c r="Q29" s="42"/>
      <c r="R29" s="61"/>
      <c r="S29" s="61"/>
      <c r="T29" s="61"/>
      <c r="U29" s="61"/>
      <c r="V29" s="61"/>
      <c r="W29" s="61"/>
      <c r="X29" s="61"/>
      <c r="Y29" s="61"/>
      <c r="Z29" s="61"/>
    </row>
    <row r="30" spans="1:26" s="62" customFormat="1" ht="15.6" x14ac:dyDescent="0.3">
      <c r="A30" s="61"/>
      <c r="B30" s="99"/>
      <c r="C30" s="47" t="s">
        <v>0</v>
      </c>
      <c r="D30" s="57" t="str">
        <f>[1]!wwsInput()</f>
        <v/>
      </c>
      <c r="E30" s="47" t="s">
        <v>0</v>
      </c>
      <c r="F30" s="57" t="str">
        <f>[1]!wwsInput()</f>
        <v/>
      </c>
      <c r="G30" s="47" t="s">
        <v>0</v>
      </c>
      <c r="H30" s="57" t="str">
        <f>[1]!wwsInput()</f>
        <v/>
      </c>
      <c r="I30" s="47" t="s">
        <v>0</v>
      </c>
      <c r="J30" s="57" t="str">
        <f>[1]!wwsInput()</f>
        <v/>
      </c>
      <c r="K30" s="91"/>
      <c r="L30" s="58" t="s">
        <v>14</v>
      </c>
      <c r="M30" s="59" t="s">
        <v>112</v>
      </c>
      <c r="N30" s="59" t="s">
        <v>98</v>
      </c>
      <c r="O30" s="59" t="s">
        <v>128</v>
      </c>
      <c r="P30" s="60"/>
      <c r="Q30" s="42"/>
      <c r="R30" s="61"/>
      <c r="S30" s="61"/>
      <c r="T30" s="61"/>
      <c r="U30" s="61"/>
      <c r="V30" s="61"/>
      <c r="W30" s="61"/>
      <c r="X30" s="61"/>
      <c r="Y30" s="61"/>
      <c r="Z30" s="61"/>
    </row>
    <row r="31" spans="1:26" s="62" customFormat="1" ht="7.8" customHeight="1" x14ac:dyDescent="0.3">
      <c r="A31" s="61"/>
      <c r="B31" s="41"/>
      <c r="C31" s="64"/>
      <c r="D31" s="65"/>
      <c r="E31" s="64"/>
      <c r="F31" s="66"/>
      <c r="G31" s="64"/>
      <c r="H31" s="66"/>
      <c r="I31" s="64"/>
      <c r="J31" s="66"/>
      <c r="K31" s="42"/>
      <c r="L31" s="58"/>
      <c r="M31" s="60"/>
      <c r="N31" s="60"/>
      <c r="O31" s="60"/>
      <c r="P31" s="60"/>
      <c r="Q31" s="42"/>
      <c r="R31" s="61"/>
      <c r="S31" s="61"/>
      <c r="T31" s="61"/>
      <c r="U31" s="61"/>
      <c r="V31" s="61"/>
      <c r="W31" s="61"/>
      <c r="X31" s="61"/>
      <c r="Y31" s="61"/>
      <c r="Z31" s="61"/>
    </row>
    <row r="32" spans="1:26" s="62" customFormat="1" ht="15.6" x14ac:dyDescent="0.3">
      <c r="A32" s="56" t="str">
        <f>IF(AND(D32=L32,D33=L33,D34=L34,F32=M32,F33=M33,F34=M34,H32=N32,H33=N33,H34=N34,J32=O32,J33=O33,J34=O34),$A$10,"")</f>
        <v/>
      </c>
      <c r="B32" s="99" t="s">
        <v>15</v>
      </c>
      <c r="C32" s="47" t="s">
        <v>86</v>
      </c>
      <c r="D32" s="57" t="str">
        <f>[1]!wwsInput()</f>
        <v/>
      </c>
      <c r="E32" s="47" t="s">
        <v>86</v>
      </c>
      <c r="F32" s="57" t="str">
        <f>[1]!wwsInput()</f>
        <v/>
      </c>
      <c r="G32" s="47" t="s">
        <v>86</v>
      </c>
      <c r="H32" s="57" t="str">
        <f>[1]!wwsInput()</f>
        <v/>
      </c>
      <c r="I32" s="47" t="s">
        <v>86</v>
      </c>
      <c r="J32" s="57" t="str">
        <f>[1]!wwsInput()</f>
        <v/>
      </c>
      <c r="K32" s="89" t="s">
        <v>77</v>
      </c>
      <c r="L32" s="58" t="s">
        <v>99</v>
      </c>
      <c r="M32" s="59" t="s">
        <v>113</v>
      </c>
      <c r="N32" s="59" t="str">
        <f>CONCATENATE($B$32,"ed")</f>
        <v>asked</v>
      </c>
      <c r="O32" s="59" t="s">
        <v>130</v>
      </c>
      <c r="P32" s="60">
        <f>IF(A32=$J$8,1,0)</f>
        <v>0</v>
      </c>
      <c r="Q32" s="42"/>
      <c r="R32" s="61"/>
      <c r="S32" s="61"/>
      <c r="T32" s="61"/>
      <c r="U32" s="61"/>
      <c r="V32" s="61"/>
      <c r="W32" s="61"/>
      <c r="X32" s="61"/>
      <c r="Y32" s="61"/>
      <c r="Z32" s="61"/>
    </row>
    <row r="33" spans="1:26" s="62" customFormat="1" ht="15.6" x14ac:dyDescent="0.3">
      <c r="A33" s="61"/>
      <c r="B33" s="99"/>
      <c r="C33" s="47" t="s">
        <v>87</v>
      </c>
      <c r="D33" s="57" t="str">
        <f>[1]!wwsInput()</f>
        <v/>
      </c>
      <c r="E33" s="47" t="s">
        <v>87</v>
      </c>
      <c r="F33" s="57" t="str">
        <f>[1]!wwsInput()</f>
        <v/>
      </c>
      <c r="G33" s="47" t="s">
        <v>87</v>
      </c>
      <c r="H33" s="57" t="str">
        <f>[1]!wwsInput()</f>
        <v/>
      </c>
      <c r="I33" s="47" t="s">
        <v>87</v>
      </c>
      <c r="J33" s="57" t="str">
        <f>[1]!wwsInput()</f>
        <v/>
      </c>
      <c r="K33" s="90"/>
      <c r="L33" s="58" t="s">
        <v>15</v>
      </c>
      <c r="M33" s="59" t="s">
        <v>114</v>
      </c>
      <c r="N33" s="59" t="str">
        <f>CONCATENATE($B$32,"ed")</f>
        <v>asked</v>
      </c>
      <c r="O33" s="59" t="s">
        <v>131</v>
      </c>
      <c r="P33" s="60"/>
      <c r="Q33" s="42"/>
      <c r="R33" s="61"/>
      <c r="S33" s="61"/>
      <c r="T33" s="61"/>
      <c r="U33" s="61"/>
      <c r="V33" s="61"/>
      <c r="W33" s="61"/>
      <c r="X33" s="61"/>
      <c r="Y33" s="61"/>
      <c r="Z33" s="61"/>
    </row>
    <row r="34" spans="1:26" s="62" customFormat="1" ht="15.6" x14ac:dyDescent="0.3">
      <c r="A34" s="61"/>
      <c r="B34" s="99"/>
      <c r="C34" s="47" t="s">
        <v>0</v>
      </c>
      <c r="D34" s="57" t="str">
        <f>[1]!wwsInput()</f>
        <v/>
      </c>
      <c r="E34" s="47" t="s">
        <v>0</v>
      </c>
      <c r="F34" s="57" t="str">
        <f>[1]!wwsInput()</f>
        <v/>
      </c>
      <c r="G34" s="47" t="s">
        <v>0</v>
      </c>
      <c r="H34" s="57" t="str">
        <f>[1]!wwsInput()</f>
        <v/>
      </c>
      <c r="I34" s="47" t="s">
        <v>0</v>
      </c>
      <c r="J34" s="57" t="str">
        <f>[1]!wwsInput()</f>
        <v/>
      </c>
      <c r="K34" s="91"/>
      <c r="L34" s="58" t="s">
        <v>15</v>
      </c>
      <c r="M34" s="59" t="s">
        <v>115</v>
      </c>
      <c r="N34" s="59" t="str">
        <f>CONCATENATE($B$32,"ed")</f>
        <v>asked</v>
      </c>
      <c r="O34" s="59" t="s">
        <v>130</v>
      </c>
      <c r="P34" s="60"/>
      <c r="Q34" s="42"/>
      <c r="R34" s="61"/>
      <c r="S34" s="61"/>
      <c r="T34" s="61"/>
      <c r="U34" s="61"/>
      <c r="V34" s="61"/>
      <c r="W34" s="61"/>
      <c r="X34" s="61"/>
      <c r="Y34" s="61"/>
      <c r="Z34" s="61"/>
    </row>
    <row r="35" spans="1:26" s="62" customFormat="1" ht="7.8" customHeight="1" x14ac:dyDescent="0.3">
      <c r="A35" s="61"/>
      <c r="B35" s="41"/>
      <c r="C35" s="64"/>
      <c r="D35" s="65"/>
      <c r="E35" s="64"/>
      <c r="F35" s="66"/>
      <c r="G35" s="64"/>
      <c r="H35" s="66"/>
      <c r="I35" s="64"/>
      <c r="J35" s="66"/>
      <c r="K35" s="42"/>
      <c r="L35" s="58"/>
      <c r="M35" s="60"/>
      <c r="N35" s="60"/>
      <c r="O35" s="60"/>
      <c r="P35" s="60"/>
      <c r="Q35" s="42"/>
      <c r="R35" s="61"/>
      <c r="S35" s="61"/>
      <c r="T35" s="61"/>
      <c r="U35" s="61"/>
      <c r="V35" s="61"/>
      <c r="W35" s="61"/>
      <c r="X35" s="61"/>
      <c r="Y35" s="61"/>
      <c r="Z35" s="61"/>
    </row>
    <row r="36" spans="1:26" s="62" customFormat="1" ht="15.6" x14ac:dyDescent="0.3">
      <c r="A36" s="56" t="str">
        <f>IF(AND(D36=L36,D37=L37,D38=L38,F36=M36,F37=M37,F38=M38,H36=N36,H37=N37,H38=N38,J36=O36,J37=O37,J38=O38),$A$10,"")</f>
        <v/>
      </c>
      <c r="B36" s="99" t="s">
        <v>25</v>
      </c>
      <c r="C36" s="47" t="s">
        <v>86</v>
      </c>
      <c r="D36" s="57" t="str">
        <f>[1]!wwsInput()</f>
        <v/>
      </c>
      <c r="E36" s="47" t="s">
        <v>86</v>
      </c>
      <c r="F36" s="57" t="str">
        <f>[1]!wwsInput()</f>
        <v/>
      </c>
      <c r="G36" s="47" t="s">
        <v>86</v>
      </c>
      <c r="H36" s="57" t="str">
        <f>[1]!wwsInput()</f>
        <v/>
      </c>
      <c r="I36" s="47" t="s">
        <v>86</v>
      </c>
      <c r="J36" s="57" t="str">
        <f>[1]!wwsInput()</f>
        <v/>
      </c>
      <c r="K36" s="89" t="s">
        <v>78</v>
      </c>
      <c r="L36" s="58" t="s">
        <v>100</v>
      </c>
      <c r="M36" s="59" t="s">
        <v>116</v>
      </c>
      <c r="N36" s="59" t="str">
        <f>CONCATENATE($B$36,"ed")</f>
        <v>rested</v>
      </c>
      <c r="O36" s="59" t="s">
        <v>132</v>
      </c>
      <c r="P36" s="60">
        <f>IF(A36=$J$8,1,0)</f>
        <v>0</v>
      </c>
      <c r="Q36" s="42"/>
      <c r="R36" s="61"/>
      <c r="S36" s="61"/>
      <c r="T36" s="61"/>
      <c r="U36" s="61"/>
      <c r="V36" s="61"/>
      <c r="W36" s="61"/>
      <c r="X36" s="61"/>
      <c r="Y36" s="61"/>
      <c r="Z36" s="61"/>
    </row>
    <row r="37" spans="1:26" s="62" customFormat="1" ht="15.6" x14ac:dyDescent="0.3">
      <c r="A37" s="61"/>
      <c r="B37" s="99"/>
      <c r="C37" s="47" t="s">
        <v>87</v>
      </c>
      <c r="D37" s="57" t="str">
        <f>[1]!wwsInput()</f>
        <v/>
      </c>
      <c r="E37" s="47" t="s">
        <v>87</v>
      </c>
      <c r="F37" s="57" t="str">
        <f>[1]!wwsInput()</f>
        <v/>
      </c>
      <c r="G37" s="47" t="s">
        <v>87</v>
      </c>
      <c r="H37" s="57" t="str">
        <f>[1]!wwsInput()</f>
        <v/>
      </c>
      <c r="I37" s="47" t="s">
        <v>87</v>
      </c>
      <c r="J37" s="57" t="str">
        <f>[1]!wwsInput()</f>
        <v/>
      </c>
      <c r="K37" s="90"/>
      <c r="L37" s="58" t="s">
        <v>25</v>
      </c>
      <c r="M37" s="59" t="s">
        <v>117</v>
      </c>
      <c r="N37" s="59" t="str">
        <f>CONCATENATE($B$36,"ed")</f>
        <v>rested</v>
      </c>
      <c r="O37" s="59" t="s">
        <v>133</v>
      </c>
      <c r="P37" s="60"/>
      <c r="Q37" s="42"/>
      <c r="R37" s="61"/>
      <c r="S37" s="61"/>
      <c r="T37" s="61"/>
      <c r="U37" s="61"/>
      <c r="V37" s="61"/>
      <c r="W37" s="61"/>
      <c r="X37" s="61"/>
      <c r="Y37" s="61"/>
      <c r="Z37" s="61"/>
    </row>
    <row r="38" spans="1:26" s="62" customFormat="1" ht="15.6" x14ac:dyDescent="0.3">
      <c r="A38" s="61"/>
      <c r="B38" s="99"/>
      <c r="C38" s="47" t="s">
        <v>0</v>
      </c>
      <c r="D38" s="57" t="str">
        <f>[1]!wwsInput()</f>
        <v/>
      </c>
      <c r="E38" s="47" t="s">
        <v>0</v>
      </c>
      <c r="F38" s="57" t="str">
        <f>[1]!wwsInput()</f>
        <v/>
      </c>
      <c r="G38" s="47" t="s">
        <v>0</v>
      </c>
      <c r="H38" s="57" t="str">
        <f>[1]!wwsInput()</f>
        <v/>
      </c>
      <c r="I38" s="47" t="s">
        <v>0</v>
      </c>
      <c r="J38" s="57" t="str">
        <f>[1]!wwsInput()</f>
        <v/>
      </c>
      <c r="K38" s="91"/>
      <c r="L38" s="58" t="s">
        <v>25</v>
      </c>
      <c r="M38" s="59" t="s">
        <v>118</v>
      </c>
      <c r="N38" s="59" t="str">
        <f>CONCATENATE($B$36,"ed")</f>
        <v>rested</v>
      </c>
      <c r="O38" s="59" t="s">
        <v>132</v>
      </c>
      <c r="P38" s="60"/>
      <c r="Q38" s="42"/>
      <c r="R38" s="61"/>
      <c r="S38" s="61"/>
      <c r="T38" s="61"/>
      <c r="U38" s="61"/>
      <c r="V38" s="61"/>
      <c r="W38" s="61"/>
      <c r="X38" s="61"/>
      <c r="Y38" s="61"/>
      <c r="Z38" s="61"/>
    </row>
    <row r="39" spans="1:26" s="72" customFormat="1" ht="25.8" customHeight="1" x14ac:dyDescent="0.3">
      <c r="A39" s="67"/>
      <c r="B39" s="50" t="s">
        <v>141</v>
      </c>
      <c r="C39" s="101" t="s">
        <v>154</v>
      </c>
      <c r="D39" s="101"/>
      <c r="E39" s="101"/>
      <c r="F39" s="101"/>
      <c r="G39" s="101"/>
      <c r="H39" s="51" t="s">
        <v>155</v>
      </c>
      <c r="I39" s="68"/>
      <c r="J39" s="69"/>
      <c r="K39" s="52"/>
      <c r="L39" s="70"/>
      <c r="M39" s="71"/>
      <c r="N39" s="71"/>
      <c r="O39" s="71"/>
      <c r="P39" s="71"/>
      <c r="Q39" s="52"/>
      <c r="R39" s="67"/>
      <c r="S39" s="67"/>
      <c r="T39" s="67"/>
      <c r="U39" s="67"/>
      <c r="V39" s="67"/>
      <c r="W39" s="67"/>
      <c r="X39" s="67"/>
      <c r="Y39" s="67"/>
      <c r="Z39" s="67"/>
    </row>
    <row r="40" spans="1:26" s="62" customFormat="1" ht="15.6" x14ac:dyDescent="0.3">
      <c r="A40" s="56" t="str">
        <f>IF(AND(D40=L40,D41=L41,D42=L42,F40=M40,F41=M41,F42=M42,H40=N40,H41=N41,H42=N42,J40=O40,J41=O41,J42=O42),$A$10,"")</f>
        <v/>
      </c>
      <c r="B40" s="99" t="s">
        <v>7</v>
      </c>
      <c r="C40" s="47" t="s">
        <v>86</v>
      </c>
      <c r="D40" s="57" t="str">
        <f>[1]!wwsInput()</f>
        <v/>
      </c>
      <c r="E40" s="47" t="s">
        <v>86</v>
      </c>
      <c r="F40" s="57" t="str">
        <f>[1]!wwsInput()</f>
        <v/>
      </c>
      <c r="G40" s="47" t="s">
        <v>86</v>
      </c>
      <c r="H40" s="73" t="s">
        <v>11</v>
      </c>
      <c r="I40" s="47" t="s">
        <v>86</v>
      </c>
      <c r="J40" s="57" t="str">
        <f>[1]!wwsInput()</f>
        <v/>
      </c>
      <c r="K40" s="89" t="s">
        <v>79</v>
      </c>
      <c r="L40" s="58" t="s">
        <v>54</v>
      </c>
      <c r="M40" s="59" t="s">
        <v>26</v>
      </c>
      <c r="N40" s="59" t="s">
        <v>11</v>
      </c>
      <c r="O40" s="59" t="s">
        <v>29</v>
      </c>
      <c r="P40" s="60">
        <f>IF(A40=$J$8,1,0)</f>
        <v>0</v>
      </c>
      <c r="Q40" s="42"/>
      <c r="R40" s="61"/>
      <c r="S40" s="61"/>
      <c r="T40" s="61"/>
      <c r="U40" s="61"/>
      <c r="V40" s="61"/>
      <c r="W40" s="61"/>
      <c r="X40" s="61"/>
      <c r="Y40" s="61"/>
      <c r="Z40" s="61"/>
    </row>
    <row r="41" spans="1:26" s="62" customFormat="1" ht="15.6" x14ac:dyDescent="0.3">
      <c r="A41" s="61"/>
      <c r="B41" s="99"/>
      <c r="C41" s="47" t="s">
        <v>87</v>
      </c>
      <c r="D41" s="57" t="str">
        <f>[1]!wwsInput()</f>
        <v/>
      </c>
      <c r="E41" s="47" t="s">
        <v>87</v>
      </c>
      <c r="F41" s="57" t="str">
        <f>[1]!wwsInput()</f>
        <v/>
      </c>
      <c r="G41" s="47" t="s">
        <v>87</v>
      </c>
      <c r="H41" s="57" t="str">
        <f>[1]!wwsInput()</f>
        <v/>
      </c>
      <c r="I41" s="47" t="s">
        <v>87</v>
      </c>
      <c r="J41" s="57" t="str">
        <f>[1]!wwsInput()</f>
        <v/>
      </c>
      <c r="K41" s="90"/>
      <c r="L41" s="58" t="s">
        <v>7</v>
      </c>
      <c r="M41" s="59" t="s">
        <v>27</v>
      </c>
      <c r="N41" s="59" t="s">
        <v>11</v>
      </c>
      <c r="O41" s="59" t="s">
        <v>30</v>
      </c>
      <c r="P41" s="60"/>
      <c r="Q41" s="42"/>
      <c r="R41" s="61"/>
      <c r="S41" s="61"/>
      <c r="T41" s="61"/>
      <c r="U41" s="61"/>
      <c r="V41" s="61"/>
      <c r="W41" s="61"/>
      <c r="X41" s="61"/>
      <c r="Y41" s="61"/>
      <c r="Z41" s="61"/>
    </row>
    <row r="42" spans="1:26" s="62" customFormat="1" ht="15.6" x14ac:dyDescent="0.3">
      <c r="A42" s="61"/>
      <c r="B42" s="99"/>
      <c r="C42" s="47" t="s">
        <v>0</v>
      </c>
      <c r="D42" s="57" t="str">
        <f>[1]!wwsInput()</f>
        <v/>
      </c>
      <c r="E42" s="47" t="s">
        <v>0</v>
      </c>
      <c r="F42" s="57" t="str">
        <f>[1]!wwsInput()</f>
        <v/>
      </c>
      <c r="G42" s="47" t="s">
        <v>0</v>
      </c>
      <c r="H42" s="57" t="str">
        <f>[1]!wwsInput()</f>
        <v/>
      </c>
      <c r="I42" s="47" t="s">
        <v>0</v>
      </c>
      <c r="J42" s="57" t="str">
        <f>[1]!wwsInput()</f>
        <v/>
      </c>
      <c r="K42" s="91"/>
      <c r="L42" s="58" t="s">
        <v>7</v>
      </c>
      <c r="M42" s="59" t="s">
        <v>28</v>
      </c>
      <c r="N42" s="59" t="s">
        <v>11</v>
      </c>
      <c r="O42" s="59" t="s">
        <v>29</v>
      </c>
      <c r="P42" s="60"/>
      <c r="Q42" s="42"/>
      <c r="R42" s="61"/>
      <c r="S42" s="61"/>
      <c r="T42" s="61"/>
      <c r="U42" s="61"/>
      <c r="V42" s="61"/>
      <c r="W42" s="61"/>
      <c r="X42" s="61"/>
      <c r="Y42" s="61"/>
      <c r="Z42" s="61"/>
    </row>
    <row r="43" spans="1:26" s="79" customFormat="1" ht="7.8" customHeight="1" x14ac:dyDescent="0.3">
      <c r="A43" s="74"/>
      <c r="B43" s="53"/>
      <c r="C43" s="75"/>
      <c r="D43" s="76"/>
      <c r="E43" s="75"/>
      <c r="F43" s="65"/>
      <c r="G43" s="75"/>
      <c r="H43" s="77"/>
      <c r="I43" s="75"/>
      <c r="J43" s="77"/>
      <c r="K43" s="54"/>
      <c r="L43" s="78"/>
      <c r="M43" s="60"/>
      <c r="N43" s="60"/>
      <c r="O43" s="60"/>
      <c r="P43" s="60"/>
      <c r="Q43" s="54"/>
      <c r="R43" s="74"/>
      <c r="S43" s="74"/>
      <c r="T43" s="74"/>
      <c r="U43" s="74"/>
      <c r="V43" s="74"/>
      <c r="W43" s="74"/>
      <c r="X43" s="74"/>
      <c r="Y43" s="74"/>
      <c r="Z43" s="74"/>
    </row>
    <row r="44" spans="1:26" s="62" customFormat="1" ht="15.6" x14ac:dyDescent="0.3">
      <c r="A44" s="56" t="str">
        <f>IF(AND(D44=L44,D45=L45,D46=L46,F44=M44,F45=M45,F46=M46,H44=N44,H45=N45,H46=N46,J44=O44,J45=O45,J46=O46),$A$10,"")</f>
        <v/>
      </c>
      <c r="B44" s="99" t="s">
        <v>8</v>
      </c>
      <c r="C44" s="47" t="s">
        <v>86</v>
      </c>
      <c r="D44" s="57" t="str">
        <f>[1]!wwsInput()</f>
        <v/>
      </c>
      <c r="E44" s="47" t="s">
        <v>86</v>
      </c>
      <c r="F44" s="57" t="str">
        <f>[1]!wwsInput()</f>
        <v/>
      </c>
      <c r="G44" s="47" t="s">
        <v>86</v>
      </c>
      <c r="H44" s="73" t="s">
        <v>12</v>
      </c>
      <c r="I44" s="47" t="s">
        <v>86</v>
      </c>
      <c r="J44" s="57" t="str">
        <f>[1]!wwsInput()</f>
        <v/>
      </c>
      <c r="K44" s="89" t="s">
        <v>80</v>
      </c>
      <c r="L44" s="58" t="s">
        <v>55</v>
      </c>
      <c r="M44" s="59" t="s">
        <v>50</v>
      </c>
      <c r="N44" s="59" t="s">
        <v>12</v>
      </c>
      <c r="O44" s="59" t="s">
        <v>31</v>
      </c>
      <c r="P44" s="60">
        <f>IF(A44=$J$8,1,0)</f>
        <v>0</v>
      </c>
      <c r="Q44" s="42"/>
      <c r="R44" s="61"/>
      <c r="S44" s="61"/>
      <c r="T44" s="61"/>
      <c r="U44" s="61"/>
      <c r="V44" s="61"/>
      <c r="W44" s="61"/>
      <c r="X44" s="61"/>
      <c r="Y44" s="61"/>
      <c r="Z44" s="61"/>
    </row>
    <row r="45" spans="1:26" s="62" customFormat="1" ht="15.6" x14ac:dyDescent="0.3">
      <c r="A45" s="61"/>
      <c r="B45" s="99"/>
      <c r="C45" s="47" t="s">
        <v>87</v>
      </c>
      <c r="D45" s="57" t="str">
        <f>[1]!wwsInput()</f>
        <v/>
      </c>
      <c r="E45" s="47" t="s">
        <v>87</v>
      </c>
      <c r="F45" s="57" t="str">
        <f>[1]!wwsInput()</f>
        <v/>
      </c>
      <c r="G45" s="47" t="s">
        <v>87</v>
      </c>
      <c r="H45" s="57" t="str">
        <f>[1]!wwsInput()</f>
        <v/>
      </c>
      <c r="I45" s="47" t="s">
        <v>87</v>
      </c>
      <c r="J45" s="57" t="str">
        <f>[1]!wwsInput()</f>
        <v/>
      </c>
      <c r="K45" s="90"/>
      <c r="L45" s="58" t="s">
        <v>8</v>
      </c>
      <c r="M45" s="59" t="s">
        <v>51</v>
      </c>
      <c r="N45" s="59" t="s">
        <v>12</v>
      </c>
      <c r="O45" s="59" t="s">
        <v>32</v>
      </c>
      <c r="P45" s="60"/>
      <c r="Q45" s="42"/>
      <c r="R45" s="61"/>
      <c r="S45" s="61"/>
      <c r="T45" s="61"/>
      <c r="U45" s="61"/>
      <c r="V45" s="61"/>
      <c r="W45" s="61"/>
      <c r="X45" s="61"/>
      <c r="Y45" s="61"/>
      <c r="Z45" s="61"/>
    </row>
    <row r="46" spans="1:26" s="62" customFormat="1" ht="15.6" x14ac:dyDescent="0.3">
      <c r="A46" s="61"/>
      <c r="B46" s="99"/>
      <c r="C46" s="47" t="s">
        <v>0</v>
      </c>
      <c r="D46" s="57" t="str">
        <f>[1]!wwsInput()</f>
        <v/>
      </c>
      <c r="E46" s="47" t="s">
        <v>0</v>
      </c>
      <c r="F46" s="57" t="str">
        <f>[1]!wwsInput()</f>
        <v/>
      </c>
      <c r="G46" s="47" t="s">
        <v>0</v>
      </c>
      <c r="H46" s="57" t="str">
        <f>[1]!wwsInput()</f>
        <v/>
      </c>
      <c r="I46" s="47" t="s">
        <v>0</v>
      </c>
      <c r="J46" s="57" t="str">
        <f>[1]!wwsInput()</f>
        <v/>
      </c>
      <c r="K46" s="91"/>
      <c r="L46" s="58" t="s">
        <v>8</v>
      </c>
      <c r="M46" s="59" t="s">
        <v>52</v>
      </c>
      <c r="N46" s="59" t="s">
        <v>12</v>
      </c>
      <c r="O46" s="59" t="s">
        <v>31</v>
      </c>
      <c r="P46" s="60"/>
      <c r="Q46" s="42"/>
      <c r="R46" s="61"/>
      <c r="S46" s="61"/>
      <c r="T46" s="61"/>
      <c r="U46" s="61"/>
      <c r="V46" s="61"/>
      <c r="W46" s="61"/>
      <c r="X46" s="61"/>
      <c r="Y46" s="61"/>
      <c r="Z46" s="61"/>
    </row>
    <row r="47" spans="1:26" s="79" customFormat="1" ht="7.8" customHeight="1" x14ac:dyDescent="0.3">
      <c r="A47" s="74"/>
      <c r="B47" s="53"/>
      <c r="C47" s="75"/>
      <c r="D47" s="76"/>
      <c r="E47" s="75"/>
      <c r="F47" s="66"/>
      <c r="G47" s="75"/>
      <c r="H47" s="77"/>
      <c r="I47" s="75"/>
      <c r="J47" s="77"/>
      <c r="K47" s="54"/>
      <c r="L47" s="78"/>
      <c r="M47" s="60"/>
      <c r="N47" s="60"/>
      <c r="O47" s="60"/>
      <c r="P47" s="60"/>
      <c r="Q47" s="54"/>
      <c r="R47" s="74"/>
      <c r="S47" s="74"/>
      <c r="T47" s="74"/>
      <c r="U47" s="74"/>
      <c r="V47" s="74"/>
      <c r="W47" s="74"/>
      <c r="X47" s="74"/>
      <c r="Y47" s="74"/>
      <c r="Z47" s="74"/>
    </row>
    <row r="48" spans="1:26" s="62" customFormat="1" ht="15.6" x14ac:dyDescent="0.3">
      <c r="A48" s="56" t="str">
        <f>IF(AND(D48=L48,D49=L49,D50=L50,F48=M48,F49=M49,F50=M50,H48=N48,H49=N49,H50=N50,J48=O48,J49=O49,J50=O50),$A$10,"")</f>
        <v/>
      </c>
      <c r="B48" s="99" t="s">
        <v>9</v>
      </c>
      <c r="C48" s="47" t="s">
        <v>86</v>
      </c>
      <c r="D48" s="57" t="str">
        <f>[1]!wwsInput()</f>
        <v/>
      </c>
      <c r="E48" s="47" t="s">
        <v>86</v>
      </c>
      <c r="F48" s="57" t="str">
        <f>[1]!wwsInput()</f>
        <v/>
      </c>
      <c r="G48" s="47" t="s">
        <v>86</v>
      </c>
      <c r="H48" s="73" t="s">
        <v>13</v>
      </c>
      <c r="I48" s="47" t="s">
        <v>86</v>
      </c>
      <c r="J48" s="57" t="str">
        <f>[1]!wwsInput()</f>
        <v/>
      </c>
      <c r="K48" s="89" t="s">
        <v>81</v>
      </c>
      <c r="L48" s="78" t="s">
        <v>33</v>
      </c>
      <c r="M48" s="60" t="s">
        <v>35</v>
      </c>
      <c r="N48" s="59" t="s">
        <v>13</v>
      </c>
      <c r="O48" s="59" t="s">
        <v>34</v>
      </c>
      <c r="P48" s="60">
        <f>IF(A48=$J$8,1,0)</f>
        <v>0</v>
      </c>
      <c r="Q48" s="42"/>
      <c r="R48" s="61"/>
      <c r="S48" s="61"/>
      <c r="T48" s="61"/>
      <c r="U48" s="61"/>
      <c r="V48" s="61"/>
      <c r="W48" s="61"/>
      <c r="X48" s="61"/>
      <c r="Y48" s="61"/>
      <c r="Z48" s="61"/>
    </row>
    <row r="49" spans="1:26" s="62" customFormat="1" ht="15.6" x14ac:dyDescent="0.3">
      <c r="A49" s="61"/>
      <c r="B49" s="99"/>
      <c r="C49" s="47" t="s">
        <v>87</v>
      </c>
      <c r="D49" s="57" t="str">
        <f>[1]!wwsInput()</f>
        <v/>
      </c>
      <c r="E49" s="47" t="s">
        <v>87</v>
      </c>
      <c r="F49" s="57" t="str">
        <f>[1]!wwsInput()</f>
        <v/>
      </c>
      <c r="G49" s="47" t="s">
        <v>87</v>
      </c>
      <c r="H49" s="57" t="str">
        <f>[1]!wwsInput()</f>
        <v/>
      </c>
      <c r="I49" s="47" t="s">
        <v>87</v>
      </c>
      <c r="J49" s="57" t="str">
        <f>[1]!wwsInput()</f>
        <v/>
      </c>
      <c r="K49" s="90"/>
      <c r="L49" s="78" t="s">
        <v>9</v>
      </c>
      <c r="M49" s="60" t="s">
        <v>36</v>
      </c>
      <c r="N49" s="59" t="s">
        <v>13</v>
      </c>
      <c r="O49" s="59" t="s">
        <v>37</v>
      </c>
      <c r="P49" s="60"/>
      <c r="Q49" s="42"/>
      <c r="R49" s="61"/>
      <c r="S49" s="61"/>
      <c r="T49" s="61"/>
      <c r="U49" s="61"/>
      <c r="V49" s="61"/>
      <c r="W49" s="61"/>
      <c r="X49" s="61"/>
      <c r="Y49" s="61"/>
      <c r="Z49" s="61"/>
    </row>
    <row r="50" spans="1:26" s="62" customFormat="1" ht="15.6" x14ac:dyDescent="0.3">
      <c r="A50" s="61"/>
      <c r="B50" s="99"/>
      <c r="C50" s="47" t="s">
        <v>0</v>
      </c>
      <c r="D50" s="57" t="str">
        <f>[1]!wwsInput()</f>
        <v/>
      </c>
      <c r="E50" s="47" t="s">
        <v>0</v>
      </c>
      <c r="F50" s="57" t="str">
        <f>[1]!wwsInput()</f>
        <v/>
      </c>
      <c r="G50" s="47" t="s">
        <v>0</v>
      </c>
      <c r="H50" s="57" t="str">
        <f>[1]!wwsInput()</f>
        <v/>
      </c>
      <c r="I50" s="47" t="s">
        <v>0</v>
      </c>
      <c r="J50" s="57" t="str">
        <f>[1]!wwsInput()</f>
        <v/>
      </c>
      <c r="K50" s="91"/>
      <c r="L50" s="78" t="s">
        <v>9</v>
      </c>
      <c r="M50" s="60" t="s">
        <v>38</v>
      </c>
      <c r="N50" s="59" t="s">
        <v>13</v>
      </c>
      <c r="O50" s="59" t="s">
        <v>34</v>
      </c>
      <c r="P50" s="60"/>
      <c r="Q50" s="42"/>
      <c r="R50" s="61"/>
      <c r="S50" s="61"/>
      <c r="T50" s="61"/>
      <c r="U50" s="61"/>
      <c r="V50" s="61"/>
      <c r="W50" s="61"/>
      <c r="X50" s="61"/>
      <c r="Y50" s="61"/>
      <c r="Z50" s="61"/>
    </row>
    <row r="51" spans="1:26" s="79" customFormat="1" ht="7.8" customHeight="1" x14ac:dyDescent="0.3">
      <c r="A51" s="74"/>
      <c r="B51" s="53"/>
      <c r="C51" s="75"/>
      <c r="D51" s="76"/>
      <c r="E51" s="75"/>
      <c r="F51" s="66"/>
      <c r="G51" s="75"/>
      <c r="H51" s="77"/>
      <c r="I51" s="75"/>
      <c r="J51" s="77"/>
      <c r="K51" s="54"/>
      <c r="L51" s="78"/>
      <c r="M51" s="60"/>
      <c r="N51" s="60"/>
      <c r="O51" s="60"/>
      <c r="P51" s="60"/>
      <c r="Q51" s="54"/>
      <c r="R51" s="74"/>
      <c r="S51" s="74"/>
      <c r="T51" s="74"/>
      <c r="U51" s="74"/>
      <c r="V51" s="74"/>
      <c r="W51" s="74"/>
      <c r="X51" s="74"/>
      <c r="Y51" s="74"/>
      <c r="Z51" s="74"/>
    </row>
    <row r="52" spans="1:26" s="62" customFormat="1" ht="15.6" x14ac:dyDescent="0.3">
      <c r="A52" s="56" t="str">
        <f>IF(AND(D52=L52,D53=L53,D54=L54,F52=M52,F53=M53,F54=M54,H52=N52,H53=N53,H54=N54,J52=O52,J53=O53,J54=O54),$A$10,"")</f>
        <v/>
      </c>
      <c r="B52" s="99" t="s">
        <v>10</v>
      </c>
      <c r="C52" s="47" t="s">
        <v>86</v>
      </c>
      <c r="D52" s="57" t="str">
        <f>[1]!wwsInput()</f>
        <v/>
      </c>
      <c r="E52" s="47" t="s">
        <v>86</v>
      </c>
      <c r="F52" s="57" t="str">
        <f>[1]!wwsInput()</f>
        <v/>
      </c>
      <c r="G52" s="47" t="s">
        <v>86</v>
      </c>
      <c r="H52" s="73" t="s">
        <v>145</v>
      </c>
      <c r="I52" s="47" t="s">
        <v>86</v>
      </c>
      <c r="J52" s="57" t="str">
        <f>[1]!wwsInput()</f>
        <v/>
      </c>
      <c r="K52" s="89" t="s">
        <v>82</v>
      </c>
      <c r="L52" s="78" t="s">
        <v>39</v>
      </c>
      <c r="M52" s="60" t="s">
        <v>40</v>
      </c>
      <c r="N52" s="59" t="s">
        <v>145</v>
      </c>
      <c r="O52" s="59" t="s">
        <v>41</v>
      </c>
      <c r="P52" s="60">
        <f>IF(A52=$J$8,1,0)</f>
        <v>0</v>
      </c>
      <c r="Q52" s="42"/>
      <c r="R52" s="61"/>
      <c r="S52" s="61"/>
      <c r="T52" s="61"/>
      <c r="U52" s="61"/>
      <c r="V52" s="61"/>
      <c r="W52" s="61"/>
      <c r="X52" s="61"/>
      <c r="Y52" s="61"/>
      <c r="Z52" s="61"/>
    </row>
    <row r="53" spans="1:26" s="62" customFormat="1" ht="15.6" x14ac:dyDescent="0.3">
      <c r="A53" s="61"/>
      <c r="B53" s="99"/>
      <c r="C53" s="47" t="s">
        <v>87</v>
      </c>
      <c r="D53" s="57" t="str">
        <f>[1]!wwsInput()</f>
        <v/>
      </c>
      <c r="E53" s="47" t="s">
        <v>87</v>
      </c>
      <c r="F53" s="57" t="str">
        <f>[1]!wwsInput()</f>
        <v/>
      </c>
      <c r="G53" s="47" t="s">
        <v>87</v>
      </c>
      <c r="H53" s="57" t="str">
        <f>[1]!wwsInput()</f>
        <v/>
      </c>
      <c r="I53" s="47" t="s">
        <v>87</v>
      </c>
      <c r="J53" s="57" t="str">
        <f>[1]!wwsInput()</f>
        <v/>
      </c>
      <c r="K53" s="90"/>
      <c r="L53" s="78" t="s">
        <v>10</v>
      </c>
      <c r="M53" s="60" t="s">
        <v>43</v>
      </c>
      <c r="N53" s="59" t="s">
        <v>10</v>
      </c>
      <c r="O53" s="59" t="s">
        <v>42</v>
      </c>
      <c r="P53" s="60"/>
      <c r="Q53" s="42"/>
      <c r="R53" s="61"/>
      <c r="S53" s="61"/>
      <c r="T53" s="61"/>
      <c r="U53" s="61"/>
      <c r="V53" s="61"/>
      <c r="W53" s="61"/>
      <c r="X53" s="61"/>
      <c r="Y53" s="61"/>
      <c r="Z53" s="61"/>
    </row>
    <row r="54" spans="1:26" s="62" customFormat="1" ht="15.6" x14ac:dyDescent="0.3">
      <c r="A54" s="61"/>
      <c r="B54" s="99"/>
      <c r="C54" s="47" t="s">
        <v>0</v>
      </c>
      <c r="D54" s="57" t="str">
        <f>[1]!wwsInput()</f>
        <v/>
      </c>
      <c r="E54" s="47" t="s">
        <v>0</v>
      </c>
      <c r="F54" s="57" t="str">
        <f>[1]!wwsInput()</f>
        <v/>
      </c>
      <c r="G54" s="47" t="s">
        <v>0</v>
      </c>
      <c r="H54" s="57" t="str">
        <f>[1]!wwsInput()</f>
        <v/>
      </c>
      <c r="I54" s="47" t="s">
        <v>0</v>
      </c>
      <c r="J54" s="57" t="str">
        <f>[1]!wwsInput()</f>
        <v/>
      </c>
      <c r="K54" s="91"/>
      <c r="L54" s="78" t="s">
        <v>10</v>
      </c>
      <c r="M54" s="60" t="s">
        <v>47</v>
      </c>
      <c r="N54" s="59" t="s">
        <v>10</v>
      </c>
      <c r="O54" s="59" t="s">
        <v>41</v>
      </c>
      <c r="P54" s="60"/>
      <c r="Q54" s="42"/>
      <c r="R54" s="61"/>
      <c r="S54" s="61"/>
      <c r="T54" s="61"/>
      <c r="U54" s="61"/>
      <c r="V54" s="61"/>
      <c r="W54" s="61"/>
      <c r="X54" s="61"/>
      <c r="Y54" s="61"/>
      <c r="Z54" s="61"/>
    </row>
    <row r="55" spans="1:26" s="79" customFormat="1" ht="13.95" customHeight="1" x14ac:dyDescent="0.3">
      <c r="A55" s="74"/>
      <c r="B55" s="55"/>
      <c r="C55" s="75"/>
      <c r="D55" s="76"/>
      <c r="E55" s="75"/>
      <c r="F55" s="65"/>
      <c r="G55" s="100" t="s">
        <v>147</v>
      </c>
      <c r="H55" s="100"/>
      <c r="I55" s="100"/>
      <c r="J55" s="77"/>
      <c r="K55" s="54"/>
      <c r="L55" s="78"/>
      <c r="M55" s="60"/>
      <c r="N55" s="60"/>
      <c r="O55" s="60"/>
      <c r="P55" s="60"/>
      <c r="Q55" s="54"/>
      <c r="R55" s="74"/>
      <c r="S55" s="74"/>
      <c r="T55" s="74"/>
      <c r="U55" s="74"/>
      <c r="V55" s="74"/>
      <c r="W55" s="74"/>
      <c r="X55" s="74"/>
      <c r="Y55" s="74"/>
      <c r="Z55" s="74"/>
    </row>
    <row r="56" spans="1:26" s="62" customFormat="1" ht="15.6" x14ac:dyDescent="0.3">
      <c r="A56" s="56" t="str">
        <f>IF(AND(D56=L56,D57=L57,D58=L58,F56=M56,F57=M57,F58=M58,H56=N56,H57=N57,H58=N58,J56=O56,J57=O57,J58=O58),$A$10,"")</f>
        <v/>
      </c>
      <c r="B56" s="98" t="s">
        <v>16</v>
      </c>
      <c r="C56" s="47" t="s">
        <v>156</v>
      </c>
      <c r="D56" s="57" t="str">
        <f>[1]!wwsInput()</f>
        <v/>
      </c>
      <c r="E56" s="47" t="s">
        <v>157</v>
      </c>
      <c r="F56" s="57" t="str">
        <f>[1]!wwsInput()</f>
        <v/>
      </c>
      <c r="G56" s="47" t="s">
        <v>159</v>
      </c>
      <c r="H56" s="73" t="s">
        <v>22</v>
      </c>
      <c r="I56" s="47" t="s">
        <v>160</v>
      </c>
      <c r="J56" s="57" t="str">
        <f>[1]!wwsInput()</f>
        <v/>
      </c>
      <c r="K56" s="89" t="s">
        <v>83</v>
      </c>
      <c r="L56" s="78" t="s">
        <v>53</v>
      </c>
      <c r="M56" s="60" t="s">
        <v>44</v>
      </c>
      <c r="N56" s="59" t="s">
        <v>22</v>
      </c>
      <c r="O56" s="59" t="s">
        <v>48</v>
      </c>
      <c r="P56" s="60">
        <f>IF(A56=$J$8,1,0)</f>
        <v>0</v>
      </c>
      <c r="Q56" s="42"/>
      <c r="R56" s="61"/>
      <c r="S56" s="61"/>
      <c r="T56" s="61"/>
      <c r="U56" s="61"/>
      <c r="V56" s="61"/>
      <c r="W56" s="61"/>
      <c r="X56" s="61"/>
      <c r="Y56" s="61"/>
      <c r="Z56" s="61"/>
    </row>
    <row r="57" spans="1:26" s="62" customFormat="1" ht="15.6" x14ac:dyDescent="0.3">
      <c r="A57" s="61"/>
      <c r="B57" s="99"/>
      <c r="C57" s="47" t="s">
        <v>166</v>
      </c>
      <c r="D57" s="57" t="str">
        <f>[1]!wwsInput()</f>
        <v/>
      </c>
      <c r="E57" s="47" t="s">
        <v>167</v>
      </c>
      <c r="F57" s="57" t="str">
        <f>[1]!wwsInput()</f>
        <v/>
      </c>
      <c r="G57" s="47" t="s">
        <v>181</v>
      </c>
      <c r="H57" s="57" t="str">
        <f>[1]!wwsInput()</f>
        <v/>
      </c>
      <c r="I57" s="47" t="s">
        <v>168</v>
      </c>
      <c r="J57" s="57" t="str">
        <f>[1]!wwsInput()</f>
        <v/>
      </c>
      <c r="K57" s="90"/>
      <c r="L57" s="78" t="s">
        <v>16</v>
      </c>
      <c r="M57" s="60" t="s">
        <v>45</v>
      </c>
      <c r="N57" s="59" t="s">
        <v>22</v>
      </c>
      <c r="O57" s="59" t="s">
        <v>49</v>
      </c>
      <c r="P57" s="60"/>
      <c r="Q57" s="42"/>
      <c r="R57" s="61"/>
      <c r="S57" s="61"/>
      <c r="T57" s="61"/>
      <c r="U57" s="61"/>
      <c r="V57" s="61"/>
      <c r="W57" s="61"/>
      <c r="X57" s="61"/>
      <c r="Y57" s="61"/>
      <c r="Z57" s="61"/>
    </row>
    <row r="58" spans="1:26" s="62" customFormat="1" ht="15.6" x14ac:dyDescent="0.3">
      <c r="A58" s="61"/>
      <c r="B58" s="99"/>
      <c r="C58" s="47" t="s">
        <v>0</v>
      </c>
      <c r="D58" s="57" t="str">
        <f>[1]!wwsInput()</f>
        <v/>
      </c>
      <c r="E58" s="47" t="s">
        <v>0</v>
      </c>
      <c r="F58" s="57" t="str">
        <f>[1]!wwsInput()</f>
        <v/>
      </c>
      <c r="G58" s="47" t="s">
        <v>0</v>
      </c>
      <c r="H58" s="57" t="str">
        <f>[1]!wwsInput()</f>
        <v/>
      </c>
      <c r="I58" s="47" t="s">
        <v>0</v>
      </c>
      <c r="J58" s="57" t="str">
        <f>[1]!wwsInput()</f>
        <v/>
      </c>
      <c r="K58" s="91"/>
      <c r="L58" s="78" t="s">
        <v>16</v>
      </c>
      <c r="M58" s="60" t="s">
        <v>46</v>
      </c>
      <c r="N58" s="59" t="s">
        <v>22</v>
      </c>
      <c r="O58" s="59" t="s">
        <v>48</v>
      </c>
      <c r="P58" s="60"/>
      <c r="Q58" s="42"/>
      <c r="R58" s="61"/>
      <c r="S58" s="61"/>
      <c r="T58" s="61"/>
      <c r="U58" s="61"/>
      <c r="V58" s="61"/>
      <c r="W58" s="61"/>
      <c r="X58" s="61"/>
      <c r="Y58" s="61"/>
      <c r="Z58" s="61"/>
    </row>
    <row r="59" spans="1:26" s="79" customFormat="1" ht="7.8" customHeight="1" x14ac:dyDescent="0.3">
      <c r="A59" s="74"/>
      <c r="B59" s="53"/>
      <c r="C59" s="75"/>
      <c r="D59" s="76"/>
      <c r="E59" s="75"/>
      <c r="F59" s="76"/>
      <c r="G59" s="75"/>
      <c r="H59" s="77"/>
      <c r="I59" s="75"/>
      <c r="J59" s="77"/>
      <c r="K59" s="54"/>
      <c r="L59" s="78"/>
      <c r="M59" s="60"/>
      <c r="N59" s="60"/>
      <c r="O59" s="60"/>
      <c r="P59" s="60"/>
      <c r="Q59" s="54"/>
      <c r="R59" s="74"/>
      <c r="S59" s="74"/>
      <c r="T59" s="74"/>
      <c r="U59" s="74"/>
      <c r="V59" s="74"/>
      <c r="W59" s="74"/>
      <c r="X59" s="74"/>
      <c r="Y59" s="74"/>
      <c r="Z59" s="74"/>
    </row>
    <row r="60" spans="1:26" s="62" customFormat="1" ht="15.6" x14ac:dyDescent="0.3">
      <c r="A60" s="56" t="str">
        <f>IF(AND(D60=L60,D61=L61,D62=L62,F60=M60,F61=M61,F62=M62,H60=N60,H61=N61,H62=N62,J60=O60,J61=O61,J62=O62),$A$10,"")</f>
        <v/>
      </c>
      <c r="B60" s="99" t="s">
        <v>17</v>
      </c>
      <c r="C60" s="47" t="s">
        <v>169</v>
      </c>
      <c r="D60" s="73" t="s">
        <v>20</v>
      </c>
      <c r="E60" s="47" t="s">
        <v>170</v>
      </c>
      <c r="F60" s="57" t="str">
        <f>[1]!wwsInput()</f>
        <v/>
      </c>
      <c r="G60" s="47" t="s">
        <v>158</v>
      </c>
      <c r="H60" s="73" t="s">
        <v>21</v>
      </c>
      <c r="I60" s="47" t="s">
        <v>161</v>
      </c>
      <c r="J60" s="57" t="str">
        <f>[1]!wwsInput()</f>
        <v/>
      </c>
      <c r="K60" s="89" t="s">
        <v>84</v>
      </c>
      <c r="L60" s="78" t="s">
        <v>20</v>
      </c>
      <c r="M60" s="60" t="s">
        <v>57</v>
      </c>
      <c r="N60" s="59" t="s">
        <v>21</v>
      </c>
      <c r="O60" s="59" t="s">
        <v>66</v>
      </c>
      <c r="P60" s="60">
        <f>IF(A60=$J$8,1,0)</f>
        <v>0</v>
      </c>
      <c r="Q60" s="42"/>
      <c r="R60" s="61"/>
      <c r="S60" s="61"/>
      <c r="T60" s="61"/>
      <c r="U60" s="61"/>
      <c r="V60" s="61"/>
      <c r="W60" s="61"/>
      <c r="X60" s="61"/>
      <c r="Y60" s="61"/>
      <c r="Z60" s="61"/>
    </row>
    <row r="61" spans="1:26" s="62" customFormat="1" ht="15.6" x14ac:dyDescent="0.3">
      <c r="A61" s="61"/>
      <c r="B61" s="99"/>
      <c r="C61" s="47" t="s">
        <v>175</v>
      </c>
      <c r="D61" s="57" t="str">
        <f>[1]!wwsInput()</f>
        <v/>
      </c>
      <c r="E61" s="47" t="s">
        <v>166</v>
      </c>
      <c r="F61" s="57" t="str">
        <f>[1]!wwsInput()</f>
        <v/>
      </c>
      <c r="G61" s="47" t="s">
        <v>176</v>
      </c>
      <c r="H61" s="57" t="str">
        <f>[1]!wwsInput()</f>
        <v/>
      </c>
      <c r="I61" s="47" t="s">
        <v>177</v>
      </c>
      <c r="J61" s="57" t="str">
        <f>[1]!wwsInput()</f>
        <v/>
      </c>
      <c r="K61" s="90"/>
      <c r="L61" s="78" t="s">
        <v>17</v>
      </c>
      <c r="M61" s="60" t="s">
        <v>58</v>
      </c>
      <c r="N61" s="59" t="s">
        <v>21</v>
      </c>
      <c r="O61" s="59" t="s">
        <v>67</v>
      </c>
      <c r="P61" s="60"/>
      <c r="Q61" s="42"/>
      <c r="R61" s="61"/>
      <c r="S61" s="61"/>
      <c r="T61" s="61"/>
      <c r="U61" s="61"/>
      <c r="V61" s="61"/>
      <c r="W61" s="61"/>
      <c r="X61" s="61"/>
      <c r="Y61" s="61"/>
      <c r="Z61" s="61"/>
    </row>
    <row r="62" spans="1:26" s="62" customFormat="1" ht="15.6" x14ac:dyDescent="0.3">
      <c r="A62" s="61"/>
      <c r="B62" s="99"/>
      <c r="C62" s="47" t="s">
        <v>0</v>
      </c>
      <c r="D62" s="57" t="str">
        <f>[1]!wwsInput()</f>
        <v/>
      </c>
      <c r="E62" s="47" t="s">
        <v>0</v>
      </c>
      <c r="F62" s="57" t="str">
        <f>[1]!wwsInput()</f>
        <v/>
      </c>
      <c r="G62" s="47" t="s">
        <v>0</v>
      </c>
      <c r="H62" s="57" t="str">
        <f>[1]!wwsInput()</f>
        <v/>
      </c>
      <c r="I62" s="47" t="s">
        <v>0</v>
      </c>
      <c r="J62" s="57" t="str">
        <f>[1]!wwsInput()</f>
        <v/>
      </c>
      <c r="K62" s="91"/>
      <c r="L62" s="78" t="s">
        <v>17</v>
      </c>
      <c r="M62" s="60" t="s">
        <v>59</v>
      </c>
      <c r="N62" s="59" t="s">
        <v>21</v>
      </c>
      <c r="O62" s="59" t="s">
        <v>66</v>
      </c>
      <c r="P62" s="60"/>
      <c r="Q62" s="42"/>
      <c r="R62" s="61"/>
      <c r="S62" s="61"/>
      <c r="T62" s="61"/>
      <c r="U62" s="61"/>
      <c r="V62" s="61"/>
      <c r="W62" s="61"/>
      <c r="X62" s="61"/>
      <c r="Y62" s="61"/>
      <c r="Z62" s="61"/>
    </row>
    <row r="63" spans="1:26" s="79" customFormat="1" ht="7.8" customHeight="1" x14ac:dyDescent="0.3">
      <c r="A63" s="74"/>
      <c r="B63" s="53"/>
      <c r="C63" s="75"/>
      <c r="D63" s="76"/>
      <c r="E63" s="75"/>
      <c r="F63" s="76"/>
      <c r="G63" s="75"/>
      <c r="H63" s="77"/>
      <c r="I63" s="75"/>
      <c r="J63" s="77"/>
      <c r="K63" s="54"/>
      <c r="L63" s="78"/>
      <c r="M63" s="60"/>
      <c r="N63" s="60"/>
      <c r="O63" s="60"/>
      <c r="P63" s="60"/>
      <c r="Q63" s="54"/>
      <c r="R63" s="74"/>
      <c r="S63" s="74"/>
      <c r="T63" s="74"/>
      <c r="U63" s="74"/>
      <c r="V63" s="74"/>
      <c r="W63" s="74"/>
      <c r="X63" s="74"/>
      <c r="Y63" s="74"/>
      <c r="Z63" s="74"/>
    </row>
    <row r="64" spans="1:26" s="62" customFormat="1" ht="15.6" x14ac:dyDescent="0.3">
      <c r="A64" s="56" t="str">
        <f>IF(AND(D64=L64,D65=L65,D66=L66,F64=M64,F65=M65,F66=M66,H64=N64,H65=N65,H66=N66,J64=O64,J65=O65,J66=O66),$A$10,"")</f>
        <v/>
      </c>
      <c r="B64" s="99" t="s">
        <v>18</v>
      </c>
      <c r="C64" s="47" t="s">
        <v>162</v>
      </c>
      <c r="D64" s="57" t="str">
        <f>[1]!wwsInput()</f>
        <v/>
      </c>
      <c r="E64" s="47" t="s">
        <v>163</v>
      </c>
      <c r="F64" s="57" t="str">
        <f>[1]!wwsInput()</f>
        <v/>
      </c>
      <c r="G64" s="47" t="s">
        <v>164</v>
      </c>
      <c r="H64" s="73" t="s">
        <v>23</v>
      </c>
      <c r="I64" s="47" t="s">
        <v>165</v>
      </c>
      <c r="J64" s="57" t="str">
        <f>[1]!wwsInput()</f>
        <v/>
      </c>
      <c r="K64" s="89" t="s">
        <v>149</v>
      </c>
      <c r="L64" s="78" t="s">
        <v>72</v>
      </c>
      <c r="M64" s="60" t="s">
        <v>60</v>
      </c>
      <c r="N64" s="59" t="s">
        <v>23</v>
      </c>
      <c r="O64" s="59" t="s">
        <v>68</v>
      </c>
      <c r="P64" s="60">
        <f>IF(A64=$J$8,1,0)</f>
        <v>0</v>
      </c>
      <c r="Q64" s="42"/>
      <c r="R64" s="61"/>
      <c r="S64" s="61"/>
      <c r="T64" s="61"/>
      <c r="U64" s="61"/>
      <c r="V64" s="61"/>
      <c r="W64" s="61"/>
      <c r="X64" s="61"/>
      <c r="Y64" s="61"/>
      <c r="Z64" s="61"/>
    </row>
    <row r="65" spans="1:26" s="62" customFormat="1" ht="15.6" x14ac:dyDescent="0.3">
      <c r="A65" s="61"/>
      <c r="B65" s="99"/>
      <c r="C65" s="47" t="s">
        <v>168</v>
      </c>
      <c r="D65" s="57" t="str">
        <f>[1]!wwsInput()</f>
        <v/>
      </c>
      <c r="E65" s="47" t="s">
        <v>171</v>
      </c>
      <c r="F65" s="57" t="str">
        <f>[1]!wwsInput()</f>
        <v/>
      </c>
      <c r="G65" s="47" t="s">
        <v>166</v>
      </c>
      <c r="H65" s="57" t="str">
        <f>[1]!wwsInput()</f>
        <v/>
      </c>
      <c r="I65" s="47" t="s">
        <v>167</v>
      </c>
      <c r="J65" s="57" t="str">
        <f>[1]!wwsInput()</f>
        <v/>
      </c>
      <c r="K65" s="90"/>
      <c r="L65" s="78" t="s">
        <v>18</v>
      </c>
      <c r="M65" s="60" t="s">
        <v>61</v>
      </c>
      <c r="N65" s="59" t="s">
        <v>23</v>
      </c>
      <c r="O65" s="59" t="s">
        <v>69</v>
      </c>
      <c r="P65" s="60"/>
      <c r="Q65" s="42"/>
      <c r="R65" s="61"/>
      <c r="S65" s="61"/>
      <c r="T65" s="61"/>
      <c r="U65" s="61"/>
      <c r="V65" s="61"/>
      <c r="W65" s="61"/>
      <c r="X65" s="61"/>
      <c r="Y65" s="61"/>
      <c r="Z65" s="61"/>
    </row>
    <row r="66" spans="1:26" s="62" customFormat="1" ht="15.6" x14ac:dyDescent="0.3">
      <c r="A66" s="61"/>
      <c r="B66" s="99"/>
      <c r="C66" s="47" t="s">
        <v>0</v>
      </c>
      <c r="D66" s="57" t="str">
        <f>[1]!wwsInput()</f>
        <v/>
      </c>
      <c r="E66" s="47" t="s">
        <v>0</v>
      </c>
      <c r="F66" s="57" t="str">
        <f>[1]!wwsInput()</f>
        <v/>
      </c>
      <c r="G66" s="47" t="s">
        <v>0</v>
      </c>
      <c r="H66" s="57" t="str">
        <f>[1]!wwsInput()</f>
        <v/>
      </c>
      <c r="I66" s="47" t="s">
        <v>0</v>
      </c>
      <c r="J66" s="57" t="str">
        <f>[1]!wwsInput()</f>
        <v/>
      </c>
      <c r="K66" s="91"/>
      <c r="L66" s="78" t="s">
        <v>18</v>
      </c>
      <c r="M66" s="60" t="s">
        <v>62</v>
      </c>
      <c r="N66" s="59" t="s">
        <v>23</v>
      </c>
      <c r="O66" s="59" t="s">
        <v>68</v>
      </c>
      <c r="P66" s="60"/>
      <c r="Q66" s="42"/>
      <c r="R66" s="61"/>
      <c r="S66" s="61"/>
      <c r="T66" s="61"/>
      <c r="U66" s="61"/>
      <c r="V66" s="61"/>
      <c r="W66" s="61"/>
      <c r="X66" s="61"/>
      <c r="Y66" s="61"/>
      <c r="Z66" s="61"/>
    </row>
    <row r="67" spans="1:26" s="79" customFormat="1" ht="7.8" customHeight="1" x14ac:dyDescent="0.3">
      <c r="A67" s="74"/>
      <c r="B67" s="53"/>
      <c r="C67" s="75"/>
      <c r="D67" s="76"/>
      <c r="E67" s="75"/>
      <c r="F67" s="76"/>
      <c r="G67" s="75"/>
      <c r="H67" s="77"/>
      <c r="I67" s="75"/>
      <c r="J67" s="77"/>
      <c r="K67" s="54"/>
      <c r="L67" s="78"/>
      <c r="M67" s="60"/>
      <c r="N67" s="60"/>
      <c r="O67" s="60"/>
      <c r="P67" s="60"/>
      <c r="Q67" s="54"/>
      <c r="R67" s="74"/>
      <c r="S67" s="74"/>
      <c r="T67" s="74"/>
      <c r="U67" s="74"/>
      <c r="V67" s="74"/>
      <c r="W67" s="74"/>
      <c r="X67" s="74"/>
      <c r="Y67" s="74"/>
      <c r="Z67" s="74"/>
    </row>
    <row r="68" spans="1:26" s="62" customFormat="1" ht="15.6" x14ac:dyDescent="0.3">
      <c r="A68" s="56" t="str">
        <f>IF(AND(D68=L68,D69=L69,D70=L70,F68=M68,F69=M69,F70=M70,H68=N68,H69=N69,H70=N70,J68=O68,J69=O69,J70=O70),$A$10,"")</f>
        <v/>
      </c>
      <c r="B68" s="99" t="s">
        <v>19</v>
      </c>
      <c r="C68" s="47" t="s">
        <v>182</v>
      </c>
      <c r="D68" s="57" t="str">
        <f>[1]!wwsInput()</f>
        <v/>
      </c>
      <c r="E68" s="47" t="s">
        <v>172</v>
      </c>
      <c r="F68" s="57" t="str">
        <f>[1]!wwsInput()</f>
        <v/>
      </c>
      <c r="G68" s="47" t="s">
        <v>173</v>
      </c>
      <c r="H68" s="73" t="s">
        <v>24</v>
      </c>
      <c r="I68" s="47" t="s">
        <v>174</v>
      </c>
      <c r="J68" s="57" t="str">
        <f>[1]!wwsInput()</f>
        <v/>
      </c>
      <c r="K68" s="89" t="s">
        <v>85</v>
      </c>
      <c r="L68" s="78" t="s">
        <v>56</v>
      </c>
      <c r="M68" s="60" t="s">
        <v>63</v>
      </c>
      <c r="N68" s="59" t="s">
        <v>24</v>
      </c>
      <c r="O68" s="59" t="s">
        <v>70</v>
      </c>
      <c r="P68" s="60">
        <f>IF(A68=$J$8,1,0)</f>
        <v>0</v>
      </c>
      <c r="Q68" s="42"/>
      <c r="R68" s="61"/>
      <c r="S68" s="61"/>
      <c r="T68" s="61"/>
      <c r="U68" s="61"/>
      <c r="V68" s="61"/>
      <c r="W68" s="61"/>
      <c r="X68" s="61"/>
      <c r="Y68" s="61"/>
      <c r="Z68" s="61"/>
    </row>
    <row r="69" spans="1:26" s="62" customFormat="1" ht="15.6" x14ac:dyDescent="0.3">
      <c r="A69" s="61"/>
      <c r="B69" s="99"/>
      <c r="C69" s="47" t="s">
        <v>178</v>
      </c>
      <c r="D69" s="57" t="str">
        <f>[1]!wwsInput()</f>
        <v/>
      </c>
      <c r="E69" s="47" t="s">
        <v>179</v>
      </c>
      <c r="F69" s="57" t="str">
        <f>[1]!wwsInput()</f>
        <v/>
      </c>
      <c r="G69" s="47" t="s">
        <v>180</v>
      </c>
      <c r="H69" s="57" t="str">
        <f>[1]!wwsInput()</f>
        <v/>
      </c>
      <c r="I69" s="47" t="s">
        <v>175</v>
      </c>
      <c r="J69" s="57" t="str">
        <f>[1]!wwsInput()</f>
        <v/>
      </c>
      <c r="K69" s="90"/>
      <c r="L69" s="78" t="s">
        <v>19</v>
      </c>
      <c r="M69" s="60" t="s">
        <v>64</v>
      </c>
      <c r="N69" s="59" t="s">
        <v>24</v>
      </c>
      <c r="O69" s="59" t="s">
        <v>71</v>
      </c>
      <c r="P69" s="60"/>
      <c r="Q69" s="42"/>
      <c r="R69" s="61"/>
      <c r="S69" s="61"/>
      <c r="T69" s="61"/>
      <c r="U69" s="61"/>
      <c r="V69" s="61"/>
      <c r="W69" s="61"/>
      <c r="X69" s="61"/>
      <c r="Y69" s="61"/>
      <c r="Z69" s="61"/>
    </row>
    <row r="70" spans="1:26" s="62" customFormat="1" ht="15.6" x14ac:dyDescent="0.3">
      <c r="A70" s="61"/>
      <c r="B70" s="99"/>
      <c r="C70" s="47" t="s">
        <v>0</v>
      </c>
      <c r="D70" s="57" t="str">
        <f>[1]!wwsInput()</f>
        <v/>
      </c>
      <c r="E70" s="47" t="s">
        <v>0</v>
      </c>
      <c r="F70" s="57" t="str">
        <f>[1]!wwsInput()</f>
        <v/>
      </c>
      <c r="G70" s="47" t="s">
        <v>0</v>
      </c>
      <c r="H70" s="57" t="str">
        <f>[1]!wwsInput()</f>
        <v/>
      </c>
      <c r="I70" s="47" t="s">
        <v>0</v>
      </c>
      <c r="J70" s="57" t="str">
        <f>[1]!wwsInput()</f>
        <v/>
      </c>
      <c r="K70" s="91"/>
      <c r="L70" s="78" t="s">
        <v>19</v>
      </c>
      <c r="M70" s="60" t="s">
        <v>65</v>
      </c>
      <c r="N70" s="59" t="s">
        <v>24</v>
      </c>
      <c r="O70" s="59" t="s">
        <v>70</v>
      </c>
      <c r="P70" s="60"/>
      <c r="Q70" s="42"/>
      <c r="R70" s="61"/>
      <c r="S70" s="61"/>
      <c r="T70" s="61"/>
      <c r="U70" s="61"/>
      <c r="V70" s="61"/>
      <c r="W70" s="61"/>
      <c r="X70" s="61"/>
      <c r="Y70" s="61"/>
      <c r="Z70" s="61"/>
    </row>
    <row r="71" spans="1:26" x14ac:dyDescent="0.3">
      <c r="A71" s="10"/>
      <c r="B71" s="10"/>
      <c r="C71" s="11"/>
      <c r="D71" s="12"/>
      <c r="E71" s="11"/>
      <c r="F71" s="13"/>
      <c r="G71" s="11"/>
      <c r="H71" s="13"/>
      <c r="I71" s="11"/>
      <c r="J71" s="13"/>
      <c r="K71" s="14"/>
      <c r="L71" s="15"/>
      <c r="M71" s="15"/>
      <c r="N71" s="15"/>
      <c r="O71" s="15"/>
      <c r="P71" s="15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s="9" customFormat="1" ht="21" x14ac:dyDescent="0.4">
      <c r="A72" s="31"/>
      <c r="B72" s="32">
        <f>SUM(P24:P68)/12</f>
        <v>0</v>
      </c>
      <c r="C72" s="33" t="str">
        <f>$A$10</f>
        <v>√</v>
      </c>
      <c r="D72" s="34"/>
      <c r="E72" s="35"/>
      <c r="F72" s="36"/>
      <c r="G72" s="35"/>
      <c r="H72" s="36"/>
      <c r="I72" s="35"/>
      <c r="J72" s="36"/>
      <c r="K72" s="37"/>
      <c r="L72" s="38"/>
      <c r="M72" s="38"/>
      <c r="N72" s="38"/>
      <c r="O72" s="38"/>
      <c r="P72" s="38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x14ac:dyDescent="0.3">
      <c r="A73" s="10"/>
      <c r="B73" s="10"/>
      <c r="C73" s="11"/>
      <c r="D73" s="12"/>
      <c r="E73" s="11"/>
      <c r="F73" s="13"/>
      <c r="G73" s="11"/>
      <c r="H73" s="13"/>
      <c r="I73" s="11"/>
      <c r="J73" s="13"/>
      <c r="K73" s="14"/>
      <c r="L73" s="15"/>
      <c r="M73" s="15"/>
      <c r="N73" s="15"/>
      <c r="O73" s="15"/>
      <c r="P73" s="15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3">
      <c r="A74" s="10"/>
      <c r="B74" s="10"/>
      <c r="C74" s="11"/>
      <c r="D74" s="12"/>
      <c r="E74" s="11"/>
      <c r="F74" s="13"/>
      <c r="G74" s="11"/>
      <c r="H74" s="13"/>
      <c r="I74" s="11"/>
      <c r="J74" s="13"/>
      <c r="K74" s="14"/>
      <c r="L74" s="15"/>
      <c r="M74" s="15"/>
      <c r="N74" s="15"/>
      <c r="O74" s="15"/>
      <c r="P74" s="15"/>
      <c r="Q74" s="10" t="s">
        <v>146</v>
      </c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3">
      <c r="A75" s="10"/>
      <c r="B75" s="10"/>
      <c r="C75" s="11"/>
      <c r="D75" s="12"/>
      <c r="E75" s="11"/>
      <c r="F75" s="13"/>
      <c r="G75" s="11"/>
      <c r="H75" s="13"/>
      <c r="I75" s="11"/>
      <c r="J75" s="13"/>
      <c r="K75" s="14"/>
      <c r="L75" s="15"/>
      <c r="M75" s="15"/>
      <c r="N75" s="15"/>
      <c r="O75" s="15"/>
      <c r="P75" s="15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3">
      <c r="A76" s="10"/>
      <c r="B76" s="10"/>
      <c r="C76" s="11"/>
      <c r="D76" s="12"/>
      <c r="E76" s="11"/>
      <c r="F76" s="13"/>
      <c r="G76" s="11"/>
      <c r="H76" s="13"/>
      <c r="I76" s="11"/>
      <c r="J76" s="13"/>
      <c r="K76" s="14"/>
      <c r="L76" s="15"/>
      <c r="M76" s="15"/>
      <c r="N76" s="15"/>
      <c r="O76" s="15"/>
      <c r="P76" s="15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3">
      <c r="A77" s="10"/>
      <c r="B77" s="10"/>
      <c r="C77" s="11"/>
      <c r="D77" s="12"/>
      <c r="E77" s="11"/>
      <c r="F77" s="13"/>
      <c r="G77" s="11"/>
      <c r="H77" s="13"/>
      <c r="I77" s="11"/>
      <c r="J77" s="13"/>
      <c r="K77" s="14"/>
      <c r="L77" s="15"/>
      <c r="M77" s="15"/>
      <c r="N77" s="15"/>
      <c r="O77" s="15"/>
      <c r="P77" s="15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3">
      <c r="A78" s="10"/>
      <c r="B78" s="10"/>
      <c r="C78" s="11"/>
      <c r="D78" s="12"/>
      <c r="E78" s="11"/>
      <c r="F78" s="13"/>
      <c r="G78" s="11"/>
      <c r="H78" s="13"/>
      <c r="I78" s="11"/>
      <c r="J78" s="13"/>
      <c r="K78" s="14"/>
      <c r="L78" s="15"/>
      <c r="M78" s="15"/>
      <c r="N78" s="15"/>
      <c r="O78" s="15"/>
      <c r="P78" s="15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3">
      <c r="A79" s="10"/>
      <c r="B79" s="10"/>
      <c r="C79" s="11"/>
      <c r="D79" s="12"/>
      <c r="E79" s="11"/>
      <c r="F79" s="13"/>
      <c r="G79" s="11"/>
      <c r="H79" s="13"/>
      <c r="I79" s="11"/>
      <c r="J79" s="13"/>
      <c r="K79" s="14"/>
      <c r="L79" s="15"/>
      <c r="M79" s="15"/>
      <c r="N79" s="15"/>
      <c r="O79" s="15"/>
      <c r="P79" s="15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3">
      <c r="A80" s="10"/>
      <c r="B80" s="10"/>
      <c r="C80" s="11"/>
      <c r="D80" s="12"/>
      <c r="E80" s="11"/>
      <c r="F80" s="13"/>
      <c r="G80" s="11"/>
      <c r="H80" s="13"/>
      <c r="I80" s="11"/>
      <c r="J80" s="13"/>
      <c r="K80" s="14"/>
      <c r="L80" s="15"/>
      <c r="M80" s="15"/>
      <c r="N80" s="15"/>
      <c r="O80" s="15"/>
      <c r="P80" s="15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3">
      <c r="A81" s="10"/>
      <c r="B81" s="10"/>
      <c r="C81" s="11"/>
      <c r="D81" s="12"/>
      <c r="E81" s="11"/>
      <c r="F81" s="13"/>
      <c r="G81" s="11"/>
      <c r="H81" s="13"/>
      <c r="I81" s="11"/>
      <c r="J81" s="13"/>
      <c r="K81" s="14"/>
      <c r="L81" s="15"/>
      <c r="M81" s="15"/>
      <c r="N81" s="15"/>
      <c r="O81" s="15"/>
      <c r="P81" s="15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3">
      <c r="A82" s="10"/>
      <c r="B82" s="10"/>
      <c r="C82" s="11"/>
      <c r="D82" s="12"/>
      <c r="E82" s="11"/>
      <c r="F82" s="13"/>
      <c r="G82" s="11"/>
      <c r="H82" s="13"/>
      <c r="I82" s="11"/>
      <c r="J82" s="13"/>
      <c r="K82" s="14"/>
      <c r="L82" s="15"/>
      <c r="M82" s="15"/>
      <c r="N82" s="15"/>
      <c r="O82" s="15"/>
      <c r="P82" s="15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3">
      <c r="A83" s="10"/>
      <c r="B83" s="10"/>
      <c r="C83" s="11"/>
      <c r="D83" s="12"/>
      <c r="E83" s="11"/>
      <c r="F83" s="13"/>
      <c r="G83" s="11"/>
      <c r="H83" s="13"/>
      <c r="I83" s="11"/>
      <c r="J83" s="13"/>
      <c r="K83" s="14"/>
      <c r="L83" s="15"/>
      <c r="M83" s="15"/>
      <c r="N83" s="15"/>
      <c r="O83" s="15"/>
      <c r="P83" s="15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3">
      <c r="A84" s="10"/>
      <c r="B84" s="10"/>
      <c r="C84" s="11"/>
      <c r="D84" s="12"/>
      <c r="E84" s="11"/>
      <c r="F84" s="13"/>
      <c r="G84" s="11"/>
      <c r="H84" s="13"/>
      <c r="I84" s="11"/>
      <c r="J84" s="13"/>
      <c r="K84" s="14"/>
      <c r="L84" s="15"/>
      <c r="M84" s="15"/>
      <c r="N84" s="15"/>
      <c r="O84" s="15"/>
      <c r="P84" s="15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3">
      <c r="A85" s="10"/>
      <c r="B85" s="10"/>
      <c r="C85" s="11"/>
      <c r="D85" s="12"/>
      <c r="E85" s="11"/>
      <c r="F85" s="13"/>
      <c r="G85" s="11"/>
      <c r="H85" s="13"/>
      <c r="I85" s="11"/>
      <c r="J85" s="13"/>
      <c r="K85" s="14"/>
      <c r="L85" s="15"/>
      <c r="M85" s="15"/>
      <c r="N85" s="15"/>
      <c r="O85" s="15"/>
      <c r="P85" s="15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3">
      <c r="A86" s="10"/>
      <c r="B86" s="10"/>
      <c r="C86" s="11"/>
      <c r="D86" s="12"/>
      <c r="E86" s="11"/>
      <c r="F86" s="13"/>
      <c r="G86" s="11"/>
      <c r="H86" s="13"/>
      <c r="I86" s="11"/>
      <c r="J86" s="13"/>
      <c r="K86" s="14"/>
      <c r="L86" s="15"/>
      <c r="M86" s="15"/>
      <c r="N86" s="15"/>
      <c r="O86" s="15"/>
      <c r="P86" s="15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3">
      <c r="A87" s="10"/>
      <c r="B87" s="10"/>
      <c r="C87" s="11"/>
      <c r="D87" s="12"/>
      <c r="E87" s="11"/>
      <c r="F87" s="13"/>
      <c r="G87" s="11"/>
      <c r="H87" s="13"/>
      <c r="I87" s="11"/>
      <c r="J87" s="13"/>
      <c r="K87" s="14"/>
      <c r="L87" s="15"/>
      <c r="M87" s="15"/>
      <c r="N87" s="15"/>
      <c r="O87" s="15"/>
      <c r="P87" s="15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3">
      <c r="A88" s="10"/>
      <c r="B88" s="10"/>
      <c r="C88" s="11"/>
      <c r="D88" s="12"/>
      <c r="E88" s="11"/>
      <c r="F88" s="13"/>
      <c r="G88" s="11"/>
      <c r="H88" s="13"/>
      <c r="I88" s="11"/>
      <c r="J88" s="13"/>
      <c r="K88" s="14"/>
      <c r="L88" s="15"/>
      <c r="M88" s="15"/>
      <c r="N88" s="15"/>
      <c r="O88" s="15"/>
      <c r="P88" s="15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3">
      <c r="A89" s="10"/>
      <c r="B89" s="10"/>
      <c r="C89" s="11"/>
      <c r="D89" s="12"/>
      <c r="E89" s="11"/>
      <c r="F89" s="13"/>
      <c r="G89" s="11"/>
      <c r="H89" s="13"/>
      <c r="I89" s="11"/>
      <c r="J89" s="13"/>
      <c r="K89" s="14"/>
      <c r="L89" s="15"/>
      <c r="M89" s="15"/>
      <c r="N89" s="15"/>
      <c r="O89" s="15"/>
      <c r="P89" s="15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3">
      <c r="A90" s="10"/>
      <c r="B90" s="10"/>
      <c r="C90" s="11"/>
      <c r="D90" s="12"/>
      <c r="E90" s="11"/>
      <c r="F90" s="13"/>
      <c r="G90" s="11"/>
      <c r="H90" s="13"/>
      <c r="I90" s="11"/>
      <c r="J90" s="13"/>
      <c r="K90" s="14"/>
      <c r="L90" s="15"/>
      <c r="M90" s="15"/>
      <c r="N90" s="15"/>
      <c r="O90" s="15"/>
      <c r="P90" s="15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3">
      <c r="A91" s="10"/>
      <c r="B91" s="10"/>
      <c r="C91" s="11"/>
      <c r="D91" s="12"/>
      <c r="E91" s="11"/>
      <c r="F91" s="13"/>
      <c r="G91" s="11"/>
      <c r="H91" s="13"/>
      <c r="I91" s="11"/>
      <c r="J91" s="13"/>
      <c r="K91" s="14"/>
      <c r="L91" s="15"/>
      <c r="M91" s="15"/>
      <c r="N91" s="15"/>
      <c r="O91" s="15"/>
      <c r="P91" s="15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3">
      <c r="A92" s="10"/>
      <c r="B92" s="10"/>
      <c r="C92" s="11"/>
      <c r="D92" s="12"/>
      <c r="E92" s="11"/>
      <c r="F92" s="13"/>
      <c r="G92" s="11"/>
      <c r="H92" s="13"/>
      <c r="I92" s="11"/>
      <c r="J92" s="13"/>
      <c r="K92" s="14"/>
      <c r="L92" s="15"/>
      <c r="M92" s="15"/>
      <c r="N92" s="15"/>
      <c r="O92" s="15"/>
      <c r="P92" s="15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3">
      <c r="A93" s="10"/>
      <c r="B93" s="10"/>
      <c r="C93" s="11"/>
      <c r="D93" s="12"/>
      <c r="E93" s="11"/>
      <c r="F93" s="13"/>
      <c r="G93" s="11"/>
      <c r="H93" s="13"/>
      <c r="I93" s="11"/>
      <c r="J93" s="13"/>
      <c r="K93" s="14"/>
      <c r="L93" s="15"/>
      <c r="M93" s="15"/>
      <c r="N93" s="15"/>
      <c r="O93" s="15"/>
      <c r="P93" s="15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3">
      <c r="A94" s="10"/>
      <c r="B94" s="10"/>
      <c r="C94" s="11"/>
      <c r="D94" s="12"/>
      <c r="E94" s="11"/>
      <c r="F94" s="13"/>
      <c r="G94" s="11"/>
      <c r="H94" s="13"/>
      <c r="I94" s="11"/>
      <c r="J94" s="13"/>
      <c r="K94" s="14"/>
      <c r="L94" s="15"/>
      <c r="M94" s="15"/>
      <c r="N94" s="15"/>
      <c r="O94" s="15"/>
      <c r="P94" s="15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3">
      <c r="A95" s="10"/>
      <c r="B95" s="10"/>
      <c r="C95" s="11"/>
      <c r="D95" s="12"/>
      <c r="E95" s="11"/>
      <c r="F95" s="13"/>
      <c r="G95" s="11"/>
      <c r="H95" s="13"/>
      <c r="I95" s="11"/>
      <c r="J95" s="13"/>
      <c r="K95" s="14"/>
      <c r="L95" s="15"/>
      <c r="M95" s="15"/>
      <c r="N95" s="15"/>
      <c r="O95" s="15"/>
      <c r="P95" s="15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3">
      <c r="A96" s="10"/>
      <c r="B96" s="10"/>
      <c r="C96" s="11"/>
      <c r="D96" s="12"/>
      <c r="E96" s="11"/>
      <c r="F96" s="13"/>
      <c r="G96" s="11"/>
      <c r="H96" s="13"/>
      <c r="I96" s="11"/>
      <c r="J96" s="13"/>
      <c r="K96" s="14"/>
      <c r="L96" s="15"/>
      <c r="M96" s="15"/>
      <c r="N96" s="15"/>
      <c r="O96" s="15"/>
      <c r="P96" s="15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3">
      <c r="A97" s="10"/>
      <c r="B97" s="10"/>
      <c r="C97" s="11"/>
      <c r="D97" s="12"/>
      <c r="E97" s="11"/>
      <c r="F97" s="13"/>
      <c r="G97" s="11"/>
      <c r="H97" s="13"/>
      <c r="I97" s="11"/>
      <c r="J97" s="13"/>
      <c r="K97" s="14"/>
      <c r="L97" s="15"/>
      <c r="M97" s="15"/>
      <c r="N97" s="15"/>
      <c r="O97" s="15"/>
      <c r="P97" s="15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3">
      <c r="A98" s="10"/>
      <c r="B98" s="10"/>
      <c r="C98" s="11"/>
      <c r="D98" s="12"/>
      <c r="E98" s="11"/>
      <c r="F98" s="13"/>
      <c r="G98" s="11"/>
      <c r="H98" s="13"/>
      <c r="I98" s="11"/>
      <c r="J98" s="13"/>
      <c r="K98" s="14"/>
      <c r="L98" s="15"/>
      <c r="M98" s="15"/>
      <c r="N98" s="15"/>
      <c r="O98" s="15"/>
      <c r="P98" s="15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3">
      <c r="A99" s="10"/>
      <c r="B99" s="10"/>
      <c r="C99" s="11"/>
      <c r="D99" s="12"/>
      <c r="E99" s="11"/>
      <c r="F99" s="13"/>
      <c r="G99" s="11"/>
      <c r="H99" s="13"/>
      <c r="I99" s="11"/>
      <c r="J99" s="13"/>
      <c r="K99" s="14"/>
      <c r="L99" s="15"/>
      <c r="M99" s="15"/>
      <c r="N99" s="15"/>
      <c r="O99" s="15"/>
      <c r="P99" s="15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3">
      <c r="A100" s="10"/>
      <c r="B100" s="10"/>
      <c r="C100" s="11"/>
      <c r="D100" s="12"/>
      <c r="E100" s="11"/>
      <c r="F100" s="13"/>
      <c r="G100" s="11"/>
      <c r="H100" s="13"/>
      <c r="I100" s="11"/>
      <c r="J100" s="13"/>
      <c r="K100" s="14"/>
      <c r="L100" s="15"/>
      <c r="M100" s="15"/>
      <c r="N100" s="15"/>
      <c r="O100" s="15"/>
      <c r="P100" s="15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x14ac:dyDescent="0.3">
      <c r="A101" s="10"/>
      <c r="B101" s="10"/>
      <c r="C101" s="11"/>
      <c r="D101" s="12"/>
      <c r="E101" s="11"/>
      <c r="F101" s="13"/>
      <c r="G101" s="11"/>
      <c r="H101" s="13"/>
      <c r="I101" s="11"/>
      <c r="J101" s="13"/>
      <c r="K101" s="14"/>
      <c r="L101" s="15"/>
      <c r="M101" s="15"/>
      <c r="N101" s="15"/>
      <c r="O101" s="15"/>
      <c r="P101" s="15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</sheetData>
  <sheetProtection selectLockedCells="1"/>
  <mergeCells count="46">
    <mergeCell ref="B68:B70"/>
    <mergeCell ref="K12:K14"/>
    <mergeCell ref="K16:K18"/>
    <mergeCell ref="K20:K22"/>
    <mergeCell ref="K24:K26"/>
    <mergeCell ref="K28:K30"/>
    <mergeCell ref="K32:K34"/>
    <mergeCell ref="B44:B46"/>
    <mergeCell ref="B48:B50"/>
    <mergeCell ref="B52:B54"/>
    <mergeCell ref="B32:B34"/>
    <mergeCell ref="B36:B38"/>
    <mergeCell ref="B12:B14"/>
    <mergeCell ref="B16:B18"/>
    <mergeCell ref="B20:B22"/>
    <mergeCell ref="K64:K66"/>
    <mergeCell ref="K68:K70"/>
    <mergeCell ref="I10:J10"/>
    <mergeCell ref="G10:H10"/>
    <mergeCell ref="K36:K38"/>
    <mergeCell ref="K40:K42"/>
    <mergeCell ref="K44:K46"/>
    <mergeCell ref="K48:K50"/>
    <mergeCell ref="K52:K54"/>
    <mergeCell ref="K56:K58"/>
    <mergeCell ref="G55:I55"/>
    <mergeCell ref="C39:G39"/>
    <mergeCell ref="E10:F10"/>
    <mergeCell ref="B40:B42"/>
    <mergeCell ref="B64:B66"/>
    <mergeCell ref="E9:F9"/>
    <mergeCell ref="C9:D9"/>
    <mergeCell ref="C10:D10"/>
    <mergeCell ref="K60:K62"/>
    <mergeCell ref="C2:J2"/>
    <mergeCell ref="C3:J3"/>
    <mergeCell ref="B4:K5"/>
    <mergeCell ref="I9:J9"/>
    <mergeCell ref="G9:H9"/>
    <mergeCell ref="B6:K6"/>
    <mergeCell ref="B8:C8"/>
    <mergeCell ref="D8:I8"/>
    <mergeCell ref="B56:B58"/>
    <mergeCell ref="B60:B62"/>
    <mergeCell ref="B24:B26"/>
    <mergeCell ref="B28:B30"/>
  </mergeCells>
  <conditionalFormatting sqref="D24">
    <cfRule type="expression" dxfId="134" priority="213">
      <formula>D24=L24</formula>
    </cfRule>
  </conditionalFormatting>
  <conditionalFormatting sqref="D28">
    <cfRule type="expression" dxfId="133" priority="211">
      <formula>D28=L28</formula>
    </cfRule>
  </conditionalFormatting>
  <conditionalFormatting sqref="D29">
    <cfRule type="expression" dxfId="132" priority="210">
      <formula>D29=L29</formula>
    </cfRule>
  </conditionalFormatting>
  <conditionalFormatting sqref="F24">
    <cfRule type="expression" dxfId="131" priority="209">
      <formula>F24=M24</formula>
    </cfRule>
  </conditionalFormatting>
  <conditionalFormatting sqref="F25">
    <cfRule type="expression" dxfId="130" priority="205">
      <formula>F25=M25</formula>
    </cfRule>
  </conditionalFormatting>
  <conditionalFormatting sqref="F28">
    <cfRule type="expression" dxfId="129" priority="204">
      <formula>F28=M28</formula>
    </cfRule>
  </conditionalFormatting>
  <conditionalFormatting sqref="F32">
    <cfRule type="expression" dxfId="128" priority="203">
      <formula>F32=M32</formula>
    </cfRule>
  </conditionalFormatting>
  <conditionalFormatting sqref="F36">
    <cfRule type="expression" dxfId="127" priority="202">
      <formula>F36=M36</formula>
    </cfRule>
  </conditionalFormatting>
  <conditionalFormatting sqref="D32">
    <cfRule type="expression" dxfId="126" priority="201">
      <formula>D32=L32</formula>
    </cfRule>
  </conditionalFormatting>
  <conditionalFormatting sqref="D36">
    <cfRule type="expression" dxfId="125" priority="200">
      <formula>D36=L36</formula>
    </cfRule>
  </conditionalFormatting>
  <conditionalFormatting sqref="H24">
    <cfRule type="expression" dxfId="124" priority="199">
      <formula>H24=N24</formula>
    </cfRule>
  </conditionalFormatting>
  <conditionalFormatting sqref="H28">
    <cfRule type="expression" dxfId="123" priority="197">
      <formula>H28=N28</formula>
    </cfRule>
  </conditionalFormatting>
  <conditionalFormatting sqref="H32">
    <cfRule type="expression" dxfId="122" priority="195">
      <formula>H32=N32</formula>
    </cfRule>
  </conditionalFormatting>
  <conditionalFormatting sqref="H36">
    <cfRule type="expression" dxfId="121" priority="193">
      <formula>H36=N36</formula>
    </cfRule>
  </conditionalFormatting>
  <conditionalFormatting sqref="H37">
    <cfRule type="expression" dxfId="120" priority="192">
      <formula>H37=N37</formula>
    </cfRule>
  </conditionalFormatting>
  <conditionalFormatting sqref="J24">
    <cfRule type="expression" dxfId="119" priority="191">
      <formula>J24=O24</formula>
    </cfRule>
  </conditionalFormatting>
  <conditionalFormatting sqref="J28">
    <cfRule type="expression" dxfId="118" priority="190">
      <formula>J28=O28</formula>
    </cfRule>
  </conditionalFormatting>
  <conditionalFormatting sqref="J32">
    <cfRule type="expression" dxfId="117" priority="189">
      <formula>J32=O32</formula>
    </cfRule>
  </conditionalFormatting>
  <conditionalFormatting sqref="J36">
    <cfRule type="expression" dxfId="116" priority="188">
      <formula>J36=O36</formula>
    </cfRule>
  </conditionalFormatting>
  <conditionalFormatting sqref="H25">
    <cfRule type="expression" dxfId="115" priority="187">
      <formula>H25=N25</formula>
    </cfRule>
  </conditionalFormatting>
  <conditionalFormatting sqref="H29">
    <cfRule type="expression" dxfId="114" priority="185">
      <formula>H29=N29</formula>
    </cfRule>
  </conditionalFormatting>
  <conditionalFormatting sqref="H33">
    <cfRule type="expression" dxfId="113" priority="183">
      <formula>H33=N33</formula>
    </cfRule>
  </conditionalFormatting>
  <conditionalFormatting sqref="D61">
    <cfRule type="expression" dxfId="112" priority="156">
      <formula>D61=L61</formula>
    </cfRule>
  </conditionalFormatting>
  <conditionalFormatting sqref="F60">
    <cfRule type="expression" dxfId="111" priority="153">
      <formula>F60=M60</formula>
    </cfRule>
  </conditionalFormatting>
  <conditionalFormatting sqref="F64">
    <cfRule type="expression" dxfId="110" priority="152">
      <formula>F64=M64</formula>
    </cfRule>
  </conditionalFormatting>
  <conditionalFormatting sqref="F68">
    <cfRule type="expression" dxfId="109" priority="151">
      <formula>F68=M68</formula>
    </cfRule>
  </conditionalFormatting>
  <conditionalFormatting sqref="D64">
    <cfRule type="expression" dxfId="108" priority="150">
      <formula>D64=L64</formula>
    </cfRule>
  </conditionalFormatting>
  <conditionalFormatting sqref="D68">
    <cfRule type="expression" dxfId="107" priority="149">
      <formula>D68=L68</formula>
    </cfRule>
  </conditionalFormatting>
  <conditionalFormatting sqref="H69">
    <cfRule type="expression" dxfId="106" priority="144">
      <formula>H69=N69</formula>
    </cfRule>
  </conditionalFormatting>
  <conditionalFormatting sqref="J60">
    <cfRule type="expression" dxfId="105" priority="142">
      <formula>J60=O60</formula>
    </cfRule>
  </conditionalFormatting>
  <conditionalFormatting sqref="J64">
    <cfRule type="expression" dxfId="104" priority="141">
      <formula>J64=O64</formula>
    </cfRule>
  </conditionalFormatting>
  <conditionalFormatting sqref="J68">
    <cfRule type="expression" dxfId="103" priority="140">
      <formula>J68=O68</formula>
    </cfRule>
  </conditionalFormatting>
  <conditionalFormatting sqref="H61">
    <cfRule type="expression" dxfId="102" priority="138">
      <formula>H61=N61</formula>
    </cfRule>
  </conditionalFormatting>
  <conditionalFormatting sqref="H65">
    <cfRule type="expression" dxfId="101" priority="137">
      <formula>H65=N65</formula>
    </cfRule>
  </conditionalFormatting>
  <conditionalFormatting sqref="D48">
    <cfRule type="expression" dxfId="100" priority="104">
      <formula>D48=L48</formula>
    </cfRule>
  </conditionalFormatting>
  <conditionalFormatting sqref="D52">
    <cfRule type="expression" dxfId="99" priority="103">
      <formula>D52=L52</formula>
    </cfRule>
  </conditionalFormatting>
  <conditionalFormatting sqref="H41">
    <cfRule type="expression" dxfId="98" priority="93">
      <formula>H41=N41</formula>
    </cfRule>
  </conditionalFormatting>
  <conditionalFormatting sqref="J58">
    <cfRule type="expression" dxfId="97" priority="88">
      <formula>J58=O58</formula>
    </cfRule>
  </conditionalFormatting>
  <conditionalFormatting sqref="D40">
    <cfRule type="expression" dxfId="96" priority="113">
      <formula>D40=L40</formula>
    </cfRule>
  </conditionalFormatting>
  <conditionalFormatting sqref="D41">
    <cfRule type="expression" dxfId="95" priority="112">
      <formula>D41=L41</formula>
    </cfRule>
  </conditionalFormatting>
  <conditionalFormatting sqref="D44">
    <cfRule type="expression" dxfId="94" priority="111">
      <formula>D44=L44</formula>
    </cfRule>
  </conditionalFormatting>
  <conditionalFormatting sqref="D45">
    <cfRule type="expression" dxfId="93" priority="110">
      <formula>D45=L45</formula>
    </cfRule>
  </conditionalFormatting>
  <conditionalFormatting sqref="F56">
    <cfRule type="expression" dxfId="92" priority="108">
      <formula>F56=M56</formula>
    </cfRule>
  </conditionalFormatting>
  <conditionalFormatting sqref="J40">
    <cfRule type="expression" dxfId="91" priority="97">
      <formula>J40=O40</formula>
    </cfRule>
  </conditionalFormatting>
  <conditionalFormatting sqref="J44">
    <cfRule type="expression" dxfId="90" priority="96">
      <formula>J44=O44</formula>
    </cfRule>
  </conditionalFormatting>
  <conditionalFormatting sqref="J48">
    <cfRule type="expression" dxfId="89" priority="95">
      <formula>J48=O48</formula>
    </cfRule>
  </conditionalFormatting>
  <conditionalFormatting sqref="J52">
    <cfRule type="expression" dxfId="88" priority="94">
      <formula>J52=O52</formula>
    </cfRule>
  </conditionalFormatting>
  <conditionalFormatting sqref="D58">
    <cfRule type="expression" dxfId="87" priority="90">
      <formula>D58=L58</formula>
    </cfRule>
  </conditionalFormatting>
  <conditionalFormatting sqref="F58">
    <cfRule type="expression" dxfId="86" priority="89">
      <formula>F58=M58</formula>
    </cfRule>
  </conditionalFormatting>
  <conditionalFormatting sqref="H58">
    <cfRule type="expression" dxfId="85" priority="87">
      <formula>H58=N58</formula>
    </cfRule>
  </conditionalFormatting>
  <conditionalFormatting sqref="F41">
    <cfRule type="expression" dxfId="84" priority="85">
      <formula>F41=M41</formula>
    </cfRule>
  </conditionalFormatting>
  <conditionalFormatting sqref="F44">
    <cfRule type="expression" dxfId="83" priority="84">
      <formula>F44=M44</formula>
    </cfRule>
  </conditionalFormatting>
  <conditionalFormatting sqref="F48">
    <cfRule type="expression" dxfId="82" priority="83">
      <formula>F48=M48</formula>
    </cfRule>
  </conditionalFormatting>
  <conditionalFormatting sqref="F52">
    <cfRule type="expression" dxfId="81" priority="82">
      <formula>F52=M52</formula>
    </cfRule>
  </conditionalFormatting>
  <conditionalFormatting sqref="H45">
    <cfRule type="expression" dxfId="80" priority="81">
      <formula>H45=N45</formula>
    </cfRule>
  </conditionalFormatting>
  <conditionalFormatting sqref="H49">
    <cfRule type="expression" dxfId="79" priority="80">
      <formula>H49=N49</formula>
    </cfRule>
  </conditionalFormatting>
  <conditionalFormatting sqref="H53">
    <cfRule type="expression" dxfId="78" priority="79">
      <formula>H53=N53</formula>
    </cfRule>
  </conditionalFormatting>
  <conditionalFormatting sqref="F40">
    <cfRule type="expression" dxfId="77" priority="78">
      <formula>F40=M40</formula>
    </cfRule>
  </conditionalFormatting>
  <conditionalFormatting sqref="D25">
    <cfRule type="expression" dxfId="76" priority="77">
      <formula>D25=L25</formula>
    </cfRule>
  </conditionalFormatting>
  <conditionalFormatting sqref="D26">
    <cfRule type="expression" dxfId="75" priority="76">
      <formula>D26=L26</formula>
    </cfRule>
  </conditionalFormatting>
  <conditionalFormatting sqref="J25">
    <cfRule type="expression" dxfId="74" priority="75">
      <formula>J25=O25</formula>
    </cfRule>
  </conditionalFormatting>
  <conditionalFormatting sqref="J26">
    <cfRule type="expression" dxfId="73" priority="74">
      <formula>J26=O26</formula>
    </cfRule>
  </conditionalFormatting>
  <conditionalFormatting sqref="F26">
    <cfRule type="expression" dxfId="72" priority="73">
      <formula>F26=M26</formula>
    </cfRule>
  </conditionalFormatting>
  <conditionalFormatting sqref="H26">
    <cfRule type="expression" dxfId="71" priority="72">
      <formula>H26=N26</formula>
    </cfRule>
  </conditionalFormatting>
  <conditionalFormatting sqref="F29">
    <cfRule type="expression" dxfId="70" priority="71">
      <formula>F29=M29</formula>
    </cfRule>
  </conditionalFormatting>
  <conditionalFormatting sqref="F30">
    <cfRule type="expression" dxfId="69" priority="70">
      <formula>F30=M30</formula>
    </cfRule>
  </conditionalFormatting>
  <conditionalFormatting sqref="J29">
    <cfRule type="expression" dxfId="68" priority="69">
      <formula>J29=O29</formula>
    </cfRule>
  </conditionalFormatting>
  <conditionalFormatting sqref="J30">
    <cfRule type="expression" dxfId="67" priority="68">
      <formula>J30=O30</formula>
    </cfRule>
  </conditionalFormatting>
  <conditionalFormatting sqref="D30">
    <cfRule type="expression" dxfId="66" priority="67">
      <formula>D30=L30</formula>
    </cfRule>
  </conditionalFormatting>
  <conditionalFormatting sqref="H30">
    <cfRule type="expression" dxfId="65" priority="66">
      <formula>H30=N30</formula>
    </cfRule>
  </conditionalFormatting>
  <conditionalFormatting sqref="D33">
    <cfRule type="expression" dxfId="64" priority="65">
      <formula>D33=L33</formula>
    </cfRule>
  </conditionalFormatting>
  <conditionalFormatting sqref="D34">
    <cfRule type="expression" dxfId="63" priority="64">
      <formula>D34=L34</formula>
    </cfRule>
  </conditionalFormatting>
  <conditionalFormatting sqref="F33">
    <cfRule type="expression" dxfId="62" priority="63">
      <formula>F33=M33</formula>
    </cfRule>
  </conditionalFormatting>
  <conditionalFormatting sqref="F34">
    <cfRule type="expression" dxfId="61" priority="62">
      <formula>F34=M34</formula>
    </cfRule>
  </conditionalFormatting>
  <conditionalFormatting sqref="J33">
    <cfRule type="expression" dxfId="60" priority="61">
      <formula>J33=O33</formula>
    </cfRule>
  </conditionalFormatting>
  <conditionalFormatting sqref="J34">
    <cfRule type="expression" dxfId="59" priority="60">
      <formula>J34=O34</formula>
    </cfRule>
  </conditionalFormatting>
  <conditionalFormatting sqref="H34">
    <cfRule type="expression" dxfId="58" priority="59">
      <formula>H34=N34</formula>
    </cfRule>
  </conditionalFormatting>
  <conditionalFormatting sqref="D37">
    <cfRule type="expression" dxfId="57" priority="58">
      <formula>D37=L37</formula>
    </cfRule>
  </conditionalFormatting>
  <conditionalFormatting sqref="D38">
    <cfRule type="expression" dxfId="56" priority="57">
      <formula>D38=L38</formula>
    </cfRule>
  </conditionalFormatting>
  <conditionalFormatting sqref="F37">
    <cfRule type="expression" dxfId="55" priority="56">
      <formula>F37=M37</formula>
    </cfRule>
  </conditionalFormatting>
  <conditionalFormatting sqref="F38">
    <cfRule type="expression" dxfId="54" priority="55">
      <formula>F38=M38</formula>
    </cfRule>
  </conditionalFormatting>
  <conditionalFormatting sqref="J37">
    <cfRule type="expression" dxfId="53" priority="54">
      <formula>J37=O37</formula>
    </cfRule>
  </conditionalFormatting>
  <conditionalFormatting sqref="J38">
    <cfRule type="expression" dxfId="52" priority="53">
      <formula>J38=O38</formula>
    </cfRule>
  </conditionalFormatting>
  <conditionalFormatting sqref="H38">
    <cfRule type="expression" dxfId="51" priority="52">
      <formula>H38=N38</formula>
    </cfRule>
  </conditionalFormatting>
  <conditionalFormatting sqref="J41">
    <cfRule type="expression" dxfId="50" priority="51">
      <formula>J41=O41</formula>
    </cfRule>
  </conditionalFormatting>
  <conditionalFormatting sqref="J42">
    <cfRule type="expression" dxfId="49" priority="50">
      <formula>J42=O42</formula>
    </cfRule>
  </conditionalFormatting>
  <conditionalFormatting sqref="J56">
    <cfRule type="expression" dxfId="48" priority="49">
      <formula>J56=O56</formula>
    </cfRule>
  </conditionalFormatting>
  <conditionalFormatting sqref="J57">
    <cfRule type="expression" dxfId="47" priority="48">
      <formula>J57=O57</formula>
    </cfRule>
  </conditionalFormatting>
  <conditionalFormatting sqref="D42">
    <cfRule type="expression" dxfId="46" priority="47">
      <formula>D42=L42</formula>
    </cfRule>
  </conditionalFormatting>
  <conditionalFormatting sqref="D56">
    <cfRule type="expression" dxfId="45" priority="46">
      <formula>D56=L56</formula>
    </cfRule>
  </conditionalFormatting>
  <conditionalFormatting sqref="D57">
    <cfRule type="expression" dxfId="44" priority="45">
      <formula>D57=L57</formula>
    </cfRule>
  </conditionalFormatting>
  <conditionalFormatting sqref="F42">
    <cfRule type="expression" dxfId="43" priority="44">
      <formula>F42=M42</formula>
    </cfRule>
  </conditionalFormatting>
  <conditionalFormatting sqref="H57">
    <cfRule type="expression" dxfId="42" priority="43">
      <formula>H57=N57</formula>
    </cfRule>
  </conditionalFormatting>
  <conditionalFormatting sqref="H42">
    <cfRule type="expression" dxfId="41" priority="42">
      <formula>H42=N42</formula>
    </cfRule>
  </conditionalFormatting>
  <conditionalFormatting sqref="F45">
    <cfRule type="expression" dxfId="40" priority="41">
      <formula>F45=M45</formula>
    </cfRule>
  </conditionalFormatting>
  <conditionalFormatting sqref="F46">
    <cfRule type="expression" dxfId="39" priority="40">
      <formula>F46=M46</formula>
    </cfRule>
  </conditionalFormatting>
  <conditionalFormatting sqref="J45">
    <cfRule type="expression" dxfId="38" priority="39">
      <formula>J45=O45</formula>
    </cfRule>
  </conditionalFormatting>
  <conditionalFormatting sqref="J46">
    <cfRule type="expression" dxfId="37" priority="38">
      <formula>J46=O46</formula>
    </cfRule>
  </conditionalFormatting>
  <conditionalFormatting sqref="D46">
    <cfRule type="expression" dxfId="36" priority="37">
      <formula>D46=L46</formula>
    </cfRule>
  </conditionalFormatting>
  <conditionalFormatting sqref="H46">
    <cfRule type="expression" dxfId="35" priority="36">
      <formula>H46=N46</formula>
    </cfRule>
  </conditionalFormatting>
  <conditionalFormatting sqref="D49">
    <cfRule type="expression" dxfId="34" priority="35">
      <formula>D49=L49</formula>
    </cfRule>
  </conditionalFormatting>
  <conditionalFormatting sqref="D50">
    <cfRule type="expression" dxfId="33" priority="34">
      <formula>D50=L50</formula>
    </cfRule>
  </conditionalFormatting>
  <conditionalFormatting sqref="F49">
    <cfRule type="expression" dxfId="32" priority="33">
      <formula>F49=M49</formula>
    </cfRule>
  </conditionalFormatting>
  <conditionalFormatting sqref="F50">
    <cfRule type="expression" dxfId="31" priority="32">
      <formula>F50=M50</formula>
    </cfRule>
  </conditionalFormatting>
  <conditionalFormatting sqref="J49">
    <cfRule type="expression" dxfId="30" priority="31">
      <formula>J49=O49</formula>
    </cfRule>
  </conditionalFormatting>
  <conditionalFormatting sqref="J50">
    <cfRule type="expression" dxfId="29" priority="30">
      <formula>J50=O50</formula>
    </cfRule>
  </conditionalFormatting>
  <conditionalFormatting sqref="H50">
    <cfRule type="expression" dxfId="28" priority="29">
      <formula>H50=N50</formula>
    </cfRule>
  </conditionalFormatting>
  <conditionalFormatting sqref="D53">
    <cfRule type="expression" dxfId="27" priority="28">
      <formula>D53=L53</formula>
    </cfRule>
  </conditionalFormatting>
  <conditionalFormatting sqref="D54">
    <cfRule type="expression" dxfId="26" priority="27">
      <formula>D54=L54</formula>
    </cfRule>
  </conditionalFormatting>
  <conditionalFormatting sqref="F53">
    <cfRule type="expression" dxfId="25" priority="26">
      <formula>F53=M53</formula>
    </cfRule>
  </conditionalFormatting>
  <conditionalFormatting sqref="F54">
    <cfRule type="expression" dxfId="24" priority="25">
      <formula>F54=M54</formula>
    </cfRule>
  </conditionalFormatting>
  <conditionalFormatting sqref="J53">
    <cfRule type="expression" dxfId="23" priority="24">
      <formula>J53=O53</formula>
    </cfRule>
  </conditionalFormatting>
  <conditionalFormatting sqref="J54">
    <cfRule type="expression" dxfId="22" priority="23">
      <formula>J54=O54</formula>
    </cfRule>
  </conditionalFormatting>
  <conditionalFormatting sqref="H54">
    <cfRule type="expression" dxfId="21" priority="22">
      <formula>H54=N54</formula>
    </cfRule>
  </conditionalFormatting>
  <conditionalFormatting sqref="F57">
    <cfRule type="expression" dxfId="20" priority="21">
      <formula>F57=M57</formula>
    </cfRule>
  </conditionalFormatting>
  <conditionalFormatting sqref="F61">
    <cfRule type="expression" dxfId="19" priority="20">
      <formula>F61=M61</formula>
    </cfRule>
  </conditionalFormatting>
  <conditionalFormatting sqref="F62">
    <cfRule type="expression" dxfId="18" priority="19">
      <formula>F62=M62</formula>
    </cfRule>
  </conditionalFormatting>
  <conditionalFormatting sqref="J61">
    <cfRule type="expression" dxfId="17" priority="18">
      <formula>J61=O61</formula>
    </cfRule>
  </conditionalFormatting>
  <conditionalFormatting sqref="J62">
    <cfRule type="expression" dxfId="16" priority="17">
      <formula>J62=O62</formula>
    </cfRule>
  </conditionalFormatting>
  <conditionalFormatting sqref="D62">
    <cfRule type="expression" dxfId="15" priority="16">
      <formula>D62=L62</formula>
    </cfRule>
  </conditionalFormatting>
  <conditionalFormatting sqref="H62">
    <cfRule type="expression" dxfId="14" priority="15">
      <formula>H62=N62</formula>
    </cfRule>
  </conditionalFormatting>
  <conditionalFormatting sqref="D65">
    <cfRule type="expression" dxfId="13" priority="14">
      <formula>D65=L65</formula>
    </cfRule>
  </conditionalFormatting>
  <conditionalFormatting sqref="D66">
    <cfRule type="expression" dxfId="12" priority="13">
      <formula>D66=L66</formula>
    </cfRule>
  </conditionalFormatting>
  <conditionalFormatting sqref="F65">
    <cfRule type="expression" dxfId="11" priority="12">
      <formula>F65=M65</formula>
    </cfRule>
  </conditionalFormatting>
  <conditionalFormatting sqref="F66">
    <cfRule type="expression" dxfId="10" priority="11">
      <formula>F66=M66</formula>
    </cfRule>
  </conditionalFormatting>
  <conditionalFormatting sqref="J65">
    <cfRule type="expression" dxfId="9" priority="10">
      <formula>J65=O65</formula>
    </cfRule>
  </conditionalFormatting>
  <conditionalFormatting sqref="J66">
    <cfRule type="expression" dxfId="8" priority="9">
      <formula>J66=O66</formula>
    </cfRule>
  </conditionalFormatting>
  <conditionalFormatting sqref="H66">
    <cfRule type="expression" dxfId="7" priority="8">
      <formula>H66=N66</formula>
    </cfRule>
  </conditionalFormatting>
  <conditionalFormatting sqref="D69">
    <cfRule type="expression" dxfId="6" priority="7">
      <formula>D69=L69</formula>
    </cfRule>
  </conditionalFormatting>
  <conditionalFormatting sqref="D70">
    <cfRule type="expression" dxfId="5" priority="6">
      <formula>D70=L70</formula>
    </cfRule>
  </conditionalFormatting>
  <conditionalFormatting sqref="F69">
    <cfRule type="expression" dxfId="4" priority="5">
      <formula>F69=M69</formula>
    </cfRule>
  </conditionalFormatting>
  <conditionalFormatting sqref="F70">
    <cfRule type="expression" dxfId="3" priority="4">
      <formula>F70=M70</formula>
    </cfRule>
  </conditionalFormatting>
  <conditionalFormatting sqref="J69">
    <cfRule type="expression" dxfId="2" priority="3">
      <formula>J69=O69</formula>
    </cfRule>
  </conditionalFormatting>
  <conditionalFormatting sqref="J70">
    <cfRule type="expression" dxfId="1" priority="2">
      <formula>J70=O70</formula>
    </cfRule>
  </conditionalFormatting>
  <conditionalFormatting sqref="H70">
    <cfRule type="expression" dxfId="0" priority="1">
      <formula>H70=N70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RegIrregTenses</vt:lpstr>
      <vt:lpstr>A1x21Z</vt:lpstr>
      <vt:lpstr>A1xz21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2019-08-02T21:12:59Z</dcterms:created>
  <dcterms:modified xsi:type="dcterms:W3CDTF">2020-01-31T00:09:54Z</dcterms:modified>
</cp:coreProperties>
</file>