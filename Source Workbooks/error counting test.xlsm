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13_ncr:1_{5067B19A-5BF8-4F7F-84E4-B4132958F3AE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error counting" sheetId="4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7" i="4" l="1"/>
  <c r="J35" i="4"/>
  <c r="J33" i="4"/>
  <c r="J26" i="4"/>
  <c r="J17" i="4"/>
  <c r="N3" i="4"/>
  <c r="H36" i="4"/>
  <c r="I16" i="4"/>
  <c r="I39" i="4"/>
  <c r="I19" i="4"/>
  <c r="H41" i="4"/>
  <c r="H11" i="4"/>
  <c r="I11" i="4"/>
  <c r="I14" i="4"/>
  <c r="I8" i="4"/>
  <c r="H30" i="4"/>
  <c r="H18" i="4"/>
  <c r="I40" i="4"/>
  <c r="H31" i="4"/>
  <c r="H19" i="4"/>
  <c r="H20" i="4"/>
  <c r="H40" i="4"/>
  <c r="H22" i="4"/>
  <c r="H27" i="4"/>
  <c r="I30" i="4"/>
  <c r="I28" i="4"/>
  <c r="I9" i="4"/>
  <c r="H34" i="4"/>
  <c r="I23" i="4"/>
  <c r="H39" i="4"/>
  <c r="H9" i="4"/>
  <c r="I18" i="4"/>
  <c r="I22" i="4"/>
  <c r="H23" i="4"/>
  <c r="H14" i="4"/>
  <c r="I15" i="4"/>
  <c r="I20" i="4"/>
  <c r="I31" i="4"/>
  <c r="H12" i="4"/>
  <c r="H8" i="4"/>
  <c r="I34" i="4"/>
  <c r="I41" i="4"/>
  <c r="I21" i="4"/>
  <c r="H24" i="4"/>
  <c r="I24" i="4"/>
  <c r="I13" i="4"/>
  <c r="I29" i="4"/>
  <c r="H28" i="4"/>
  <c r="I10" i="4"/>
  <c r="I38" i="4"/>
  <c r="H29" i="4"/>
  <c r="I6" i="4"/>
  <c r="H21" i="4"/>
  <c r="H16" i="4"/>
  <c r="H32" i="4"/>
  <c r="H13" i="4"/>
  <c r="H10" i="4"/>
  <c r="I27" i="4"/>
  <c r="I12" i="4"/>
  <c r="H15" i="4"/>
  <c r="I36" i="4"/>
  <c r="H25" i="4"/>
  <c r="I7" i="4"/>
  <c r="H6" i="4"/>
  <c r="I25" i="4"/>
  <c r="I32" i="4"/>
  <c r="H7" i="4"/>
  <c r="H38" i="4"/>
  <c r="M31" i="4" l="1"/>
  <c r="L3" i="4"/>
  <c r="M33" i="4"/>
  <c r="L35" i="4"/>
  <c r="L36" i="4"/>
  <c r="L37" i="4"/>
  <c r="L38" i="4"/>
  <c r="M3" i="4"/>
  <c r="L6" i="4"/>
  <c r="L9" i="4"/>
  <c r="L11" i="4"/>
  <c r="L12" i="4"/>
  <c r="L13" i="4"/>
  <c r="M35" i="4"/>
  <c r="M36" i="4"/>
  <c r="M37" i="4"/>
  <c r="M38" i="4"/>
  <c r="M4" i="4"/>
  <c r="M5" i="4"/>
  <c r="M6" i="4"/>
  <c r="M7" i="4"/>
  <c r="M8" i="4"/>
  <c r="M9" i="4"/>
  <c r="M10" i="4"/>
  <c r="M11" i="4"/>
  <c r="M12" i="4"/>
  <c r="M13" i="4"/>
  <c r="L15" i="4"/>
  <c r="L16" i="4"/>
  <c r="L17" i="4"/>
  <c r="L18" i="4"/>
  <c r="L19" i="4"/>
  <c r="L20" i="4"/>
  <c r="L21" i="4"/>
  <c r="L22" i="4"/>
  <c r="L4" i="4"/>
  <c r="J7" i="4" s="1"/>
  <c r="K4" i="4" s="1"/>
  <c r="L8" i="4"/>
  <c r="L26" i="4"/>
  <c r="L5" i="4"/>
  <c r="L7" i="4"/>
  <c r="L10" i="4"/>
  <c r="M15" i="4"/>
  <c r="M16" i="4"/>
  <c r="M17" i="4"/>
  <c r="M18" i="4"/>
  <c r="M19" i="4"/>
  <c r="M20" i="4"/>
  <c r="M21" i="4"/>
  <c r="M22" i="4"/>
  <c r="L24" i="4"/>
  <c r="L25" i="4"/>
  <c r="L27" i="4"/>
  <c r="L28" i="4"/>
  <c r="L29" i="4"/>
  <c r="M24" i="4"/>
  <c r="M25" i="4"/>
  <c r="M26" i="4"/>
  <c r="M27" i="4"/>
  <c r="M28" i="4"/>
  <c r="M29" i="4"/>
  <c r="L31" i="4"/>
  <c r="J34" i="4" s="1"/>
  <c r="K31" i="4" s="1"/>
  <c r="L33" i="4"/>
  <c r="J10" i="4" l="1"/>
  <c r="K7" i="4" s="1"/>
  <c r="J39" i="4"/>
  <c r="K36" i="4" s="1"/>
  <c r="J27" i="4"/>
  <c r="K24" i="4" s="1"/>
  <c r="J29" i="4"/>
  <c r="K26" i="4" s="1"/>
  <c r="J40" i="4"/>
  <c r="K37" i="4" s="1"/>
  <c r="J36" i="4"/>
  <c r="K33" i="4" s="1"/>
  <c r="J22" i="4"/>
  <c r="K19" i="4" s="1"/>
  <c r="J32" i="4"/>
  <c r="K29" i="4" s="1"/>
  <c r="J30" i="4"/>
  <c r="K27" i="4" s="1"/>
  <c r="J11" i="4"/>
  <c r="K8" i="4" s="1"/>
  <c r="J21" i="4"/>
  <c r="K18" i="4" s="1"/>
  <c r="J16" i="4"/>
  <c r="K13" i="4" s="1"/>
  <c r="J41" i="4"/>
  <c r="K38" i="4" s="1"/>
  <c r="J6" i="4"/>
  <c r="K3" i="4" s="1"/>
  <c r="J15" i="4"/>
  <c r="K12" i="4" s="1"/>
  <c r="J13" i="4"/>
  <c r="K10" i="4" s="1"/>
  <c r="J19" i="4"/>
  <c r="K16" i="4" s="1"/>
  <c r="J14" i="4"/>
  <c r="K11" i="4" s="1"/>
  <c r="J24" i="4"/>
  <c r="K21" i="4" s="1"/>
  <c r="J18" i="4"/>
  <c r="K15" i="4" s="1"/>
  <c r="J12" i="4"/>
  <c r="K9" i="4" s="1"/>
  <c r="J38" i="4"/>
  <c r="K35" i="4" s="1"/>
  <c r="J20" i="4"/>
  <c r="K17" i="4" s="1"/>
  <c r="J31" i="4"/>
  <c r="K28" i="4" s="1"/>
  <c r="J25" i="4"/>
  <c r="K22" i="4" s="1"/>
  <c r="J28" i="4"/>
  <c r="K25" i="4" s="1"/>
  <c r="J8" i="4"/>
  <c r="K5" i="4" s="1"/>
  <c r="J23" i="4"/>
  <c r="K20" i="4" s="1"/>
  <c r="J9" i="4"/>
  <c r="K6" i="4" s="1"/>
</calcChain>
</file>

<file path=xl/sharedStrings.xml><?xml version="1.0" encoding="utf-8"?>
<sst xmlns="http://schemas.openxmlformats.org/spreadsheetml/2006/main" count="125" uniqueCount="64">
  <si>
    <t>pan</t>
  </si>
  <si>
    <t>#end</t>
  </si>
  <si>
    <t>pane</t>
  </si>
  <si>
    <t>app</t>
  </si>
  <si>
    <t>ape</t>
  </si>
  <si>
    <t>ate</t>
  </si>
  <si>
    <t>at</t>
  </si>
  <si>
    <t>nape</t>
  </si>
  <si>
    <t>nap</t>
  </si>
  <si>
    <t>bane</t>
  </si>
  <si>
    <t>ban</t>
  </si>
  <si>
    <t>dam</t>
  </si>
  <si>
    <t>dame</t>
  </si>
  <si>
    <t>mane</t>
  </si>
  <si>
    <t>man</t>
  </si>
  <si>
    <t>ad</t>
  </si>
  <si>
    <t>ade</t>
  </si>
  <si>
    <t>tap</t>
  </si>
  <si>
    <t>tape</t>
  </si>
  <si>
    <t>mad</t>
  </si>
  <si>
    <t>made</t>
  </si>
  <si>
    <t>hat</t>
  </si>
  <si>
    <t>hate</t>
  </si>
  <si>
    <t>bit</t>
  </si>
  <si>
    <t>bite</t>
  </si>
  <si>
    <t>pip</t>
  </si>
  <si>
    <t>pipe</t>
  </si>
  <si>
    <t>pine</t>
  </si>
  <si>
    <t>pin</t>
  </si>
  <si>
    <t>jibe</t>
  </si>
  <si>
    <t>jib</t>
  </si>
  <si>
    <t>bid</t>
  </si>
  <si>
    <t>bide</t>
  </si>
  <si>
    <t>dine</t>
  </si>
  <si>
    <t>din</t>
  </si>
  <si>
    <t>dim</t>
  </si>
  <si>
    <t>dime</t>
  </si>
  <si>
    <t>hide</t>
  </si>
  <si>
    <t>hid</t>
  </si>
  <si>
    <t>dot</t>
  </si>
  <si>
    <t>dote</t>
  </si>
  <si>
    <t>odd</t>
  </si>
  <si>
    <t>ode</t>
  </si>
  <si>
    <t>hop</t>
  </si>
  <si>
    <t>hope</t>
  </si>
  <si>
    <t>note</t>
  </si>
  <si>
    <t>not</t>
  </si>
  <si>
    <t>node</t>
  </si>
  <si>
    <t>nod</t>
  </si>
  <si>
    <t>tote</t>
  </si>
  <si>
    <t>tot</t>
  </si>
  <si>
    <t>mutt</t>
  </si>
  <si>
    <t>mute</t>
  </si>
  <si>
    <t>tub</t>
  </si>
  <si>
    <t>tube</t>
  </si>
  <si>
    <t>meet</t>
  </si>
  <si>
    <t>met</t>
  </si>
  <si>
    <t>beet</t>
  </si>
  <si>
    <t>bet</t>
  </si>
  <si>
    <t>ten</t>
  </si>
  <si>
    <t>teen</t>
  </si>
  <si>
    <t>pep</t>
  </si>
  <si>
    <t>peep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</si>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</sst>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rgb="FF000000"/>
      <name val="Times New Roman"/>
      <family val="1"/>
    </font>
    <font>
      <sz val="18"/>
      <color theme="0"/>
      <name val="Calibri"/>
      <family val="2"/>
      <scheme val="minor"/>
    </font>
    <font>
      <sz val="18"/>
      <color rgb="FF000000"/>
      <name val="Times New Roman"/>
      <family val="1"/>
    </font>
    <font>
      <sz val="24"/>
      <color theme="1"/>
      <name val="Calibri"/>
      <family val="2"/>
      <scheme val="minor"/>
    </font>
    <font>
      <sz val="18"/>
      <color theme="1"/>
      <name val="Times New Roman"/>
      <family val="1"/>
    </font>
    <font>
      <sz val="24"/>
      <color rgb="FFFF0000"/>
      <name val="Times New Roman"/>
      <family val="1"/>
    </font>
    <font>
      <sz val="8"/>
      <color rgb="FFFF0000"/>
      <name val="Calibri"/>
      <family val="2"/>
      <scheme val="minor"/>
    </font>
    <font>
      <sz val="8"/>
      <color rgb="FFFF000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4" fillId="0" borderId="0" xfId="0" applyFont="1" applyAlignment="1">
      <alignment vertical="center" wrapText="1"/>
    </xf>
    <xf numFmtId="0" fontId="5" fillId="0" borderId="0" xfId="0" applyFont="1"/>
    <xf numFmtId="0" fontId="7" fillId="0" borderId="0" xfId="0" applyFont="1"/>
    <xf numFmtId="0" fontId="6" fillId="0" borderId="0" xfId="0" applyFont="1" applyAlignment="1">
      <alignment horizontal="right" vertical="center" wrapText="1"/>
    </xf>
    <xf numFmtId="0" fontId="3" fillId="0" borderId="0" xfId="0" applyFont="1" applyAlignment="1">
      <alignment vertical="center"/>
    </xf>
    <xf numFmtId="0" fontId="8" fillId="0" borderId="0" xfId="0" quotePrefix="1" applyFont="1" applyAlignment="1">
      <alignment horizontal="left" vertical="center" wrapText="1"/>
    </xf>
    <xf numFmtId="0" fontId="9" fillId="0" borderId="0" xfId="0" applyFont="1" applyAlignment="1">
      <alignment vertical="center" wrapText="1"/>
    </xf>
    <xf numFmtId="0" fontId="10" fillId="0" borderId="0" xfId="0" applyFont="1"/>
    <xf numFmtId="0" fontId="11" fillId="0" borderId="0" xfId="0" applyFont="1" applyAlignment="1">
      <alignment vertical="center" wrapText="1"/>
    </xf>
  </cellXfs>
  <cellStyles count="1">
    <cellStyle name="Normal" xfId="0" builtinId="0"/>
  </cellStyles>
  <dxfs count="5"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  <dxf>
      <fill>
        <patternFill>
          <bgColor rgb="FFFFC000"/>
        </patternFill>
      </fill>
    </dxf>
    <dxf>
      <font>
        <color theme="0" tint="-0.499984740745262"/>
      </font>
      <fill>
        <patternFill patternType="mediumGray">
          <fgColor theme="0" tint="-0.499984740745262"/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AB036-2606-4D54-A2C0-9B7C6C4659B8}">
  <sheetPr codeName="Sheet4"/>
  <dimension ref="C1:O44"/>
  <sheetViews>
    <sheetView tabSelected="1" topLeftCell="I1" workbookViewId="0">
      <selection activeCell="N5" sqref="N5"/>
    </sheetView>
  </sheetViews>
  <sheetFormatPr defaultRowHeight="31.2" x14ac:dyDescent="0.6"/>
  <cols>
    <col min="3" max="3" width="3.77734375" style="1" customWidth="1"/>
    <col min="4" max="4" width="3.88671875" style="1" customWidth="1"/>
    <col min="5" max="5" width="16.88671875" style="1" customWidth="1"/>
    <col min="6" max="6" width="5.33203125" style="7" customWidth="1"/>
    <col min="7" max="7" width="3.88671875" style="7" customWidth="1"/>
    <col min="8" max="9" width="14.109375" style="5" customWidth="1"/>
    <col min="10" max="10" width="10.77734375" style="5" customWidth="1"/>
    <col min="11" max="11" width="9.33203125" style="1" bestFit="1" customWidth="1"/>
  </cols>
  <sheetData>
    <row r="1" spans="3:15" x14ac:dyDescent="0.6">
      <c r="L1" s="1"/>
      <c r="M1" s="1"/>
    </row>
    <row r="2" spans="3:15" x14ac:dyDescent="0.6">
      <c r="L2" s="1"/>
      <c r="M2" s="1"/>
    </row>
    <row r="3" spans="3:15" x14ac:dyDescent="0.6">
      <c r="K3" s="1">
        <f t="shared" ref="K3:K13" si="0">IF(J6="YES",1,0)</f>
        <v>1</v>
      </c>
      <c r="L3" s="1">
        <f t="shared" ref="L3:L13" si="1">IF(E6=H6,1,0)</f>
        <v>0</v>
      </c>
      <c r="M3" s="1">
        <f t="shared" ref="M3:M13" si="2">IF(E6=I6,1,0)</f>
        <v>1</v>
      </c>
      <c r="N3" t="e">
        <f>IF(#REF!="GOOD",1,0)</f>
        <v>#REF!</v>
      </c>
    </row>
    <row r="4" spans="3:15" x14ac:dyDescent="0.6">
      <c r="K4" s="1">
        <f t="shared" si="0"/>
        <v>1</v>
      </c>
      <c r="L4" s="1">
        <f t="shared" si="1"/>
        <v>0</v>
      </c>
      <c r="M4" s="1">
        <f t="shared" si="2"/>
        <v>1</v>
      </c>
    </row>
    <row r="5" spans="3:15" x14ac:dyDescent="0.6">
      <c r="K5" s="1">
        <f t="shared" si="0"/>
        <v>1</v>
      </c>
      <c r="L5" s="1">
        <f t="shared" si="1"/>
        <v>1</v>
      </c>
      <c r="M5" s="1">
        <f t="shared" si="2"/>
        <v>0</v>
      </c>
    </row>
    <row r="6" spans="3:15" ht="30" customHeight="1" x14ac:dyDescent="0.6">
      <c r="C6" s="10" t="s">
        <v>2</v>
      </c>
      <c r="D6" s="10" t="s">
        <v>0</v>
      </c>
      <c r="E6" s="9" t="s">
        <v>0</v>
      </c>
      <c r="F6" s="7">
        <v>1</v>
      </c>
      <c r="G6" s="7" t="s">
        <v>63</v>
      </c>
      <c r="H6" s="5" t="str">
        <f>[1]!wwsCheckBox(C6,1,FALSE)</f>
        <v>pane</v>
      </c>
      <c r="I6" s="5" t="str">
        <f>[1]!wwsCheckBox(D6,1,FALSE)</f>
        <v>pan</v>
      </c>
      <c r="J6" s="5" t="str">
        <f t="shared" ref="J6:J41" si="3">IF(L3+M3=1,"YES","")</f>
        <v>YES</v>
      </c>
      <c r="K6" s="4">
        <f t="shared" si="0"/>
        <v>1</v>
      </c>
      <c r="L6" s="1">
        <f t="shared" si="1"/>
        <v>0</v>
      </c>
      <c r="M6" s="1">
        <f t="shared" si="2"/>
        <v>1</v>
      </c>
      <c r="N6" s="1"/>
      <c r="O6" s="2"/>
    </row>
    <row r="7" spans="3:15" ht="30" customHeight="1" x14ac:dyDescent="0.6">
      <c r="C7" s="10" t="s">
        <v>3</v>
      </c>
      <c r="D7" s="10" t="s">
        <v>4</v>
      </c>
      <c r="E7" s="9" t="s">
        <v>4</v>
      </c>
      <c r="F7" s="7">
        <v>2</v>
      </c>
      <c r="G7" s="7" t="s">
        <v>63</v>
      </c>
      <c r="H7" s="5" t="str">
        <f>[1]!wwsCheckBox(C7,2,FALSE)</f>
        <v>app</v>
      </c>
      <c r="I7" s="5" t="str">
        <f>[1]!wwsCheckBox(D7,2,FALSE)</f>
        <v>ape</v>
      </c>
      <c r="J7" s="5" t="str">
        <f t="shared" si="3"/>
        <v>YES</v>
      </c>
      <c r="K7" s="4">
        <f t="shared" si="0"/>
        <v>1</v>
      </c>
      <c r="L7" s="1">
        <f t="shared" si="1"/>
        <v>1</v>
      </c>
      <c r="M7" s="1">
        <f t="shared" si="2"/>
        <v>0</v>
      </c>
    </row>
    <row r="8" spans="3:15" ht="30" customHeight="1" x14ac:dyDescent="0.6">
      <c r="C8" s="10" t="s">
        <v>5</v>
      </c>
      <c r="D8" s="10" t="s">
        <v>6</v>
      </c>
      <c r="E8" s="9" t="s">
        <v>5</v>
      </c>
      <c r="F8" s="7">
        <v>3</v>
      </c>
      <c r="G8" s="7" t="s">
        <v>63</v>
      </c>
      <c r="H8" s="5" t="str">
        <f>[1]!wwsCheckBox(C8,3,FALSE)</f>
        <v>ate</v>
      </c>
      <c r="I8" s="5" t="str">
        <f>[1]!wwsCheckBox(D8,3,FALSE)</f>
        <v>at</v>
      </c>
      <c r="J8" s="5" t="str">
        <f t="shared" si="3"/>
        <v>YES</v>
      </c>
      <c r="K8" s="4">
        <f t="shared" si="0"/>
        <v>1</v>
      </c>
      <c r="L8" s="1">
        <f t="shared" si="1"/>
        <v>1</v>
      </c>
      <c r="M8" s="1">
        <f t="shared" si="2"/>
        <v>0</v>
      </c>
    </row>
    <row r="9" spans="3:15" ht="30" customHeight="1" x14ac:dyDescent="0.6">
      <c r="C9" s="11" t="s">
        <v>7</v>
      </c>
      <c r="D9" s="11" t="s">
        <v>8</v>
      </c>
      <c r="E9" s="9" t="s">
        <v>8</v>
      </c>
      <c r="F9" s="6">
        <v>4</v>
      </c>
      <c r="G9" s="8" t="s">
        <v>63</v>
      </c>
      <c r="H9" s="3" t="str">
        <f>[1]!wwsCheckBox(C9,4,FALSE)</f>
        <v>nape</v>
      </c>
      <c r="I9" s="3" t="str">
        <f>[1]!wwsCheckBox(D9,4,FALSE)</f>
        <v>nap</v>
      </c>
      <c r="J9" s="5" t="str">
        <f t="shared" si="3"/>
        <v>YES</v>
      </c>
      <c r="K9" s="4">
        <f t="shared" si="0"/>
        <v>1</v>
      </c>
      <c r="L9" s="1">
        <f t="shared" si="1"/>
        <v>1</v>
      </c>
      <c r="M9" s="1">
        <f t="shared" si="2"/>
        <v>0</v>
      </c>
    </row>
    <row r="10" spans="3:15" ht="30" customHeight="1" x14ac:dyDescent="0.6">
      <c r="C10" s="11" t="s">
        <v>9</v>
      </c>
      <c r="D10" s="11" t="s">
        <v>10</v>
      </c>
      <c r="E10" s="9" t="s">
        <v>9</v>
      </c>
      <c r="F10" s="6">
        <v>5</v>
      </c>
      <c r="G10" s="8" t="s">
        <v>63</v>
      </c>
      <c r="H10" s="3" t="str">
        <f>[1]!wwsCheckBox(C10,5,FALSE)</f>
        <v>bane</v>
      </c>
      <c r="I10" s="3" t="str">
        <f>[1]!wwsCheckBox(D10,5,FALSE)</f>
        <v>ban</v>
      </c>
      <c r="J10" s="5" t="str">
        <f t="shared" si="3"/>
        <v>YES</v>
      </c>
      <c r="K10" s="4">
        <f t="shared" si="0"/>
        <v>1</v>
      </c>
      <c r="L10" s="1">
        <f t="shared" si="1"/>
        <v>1</v>
      </c>
      <c r="M10" s="1">
        <f t="shared" si="2"/>
        <v>0</v>
      </c>
    </row>
    <row r="11" spans="3:15" ht="30" customHeight="1" x14ac:dyDescent="0.6">
      <c r="C11" s="11" t="s">
        <v>11</v>
      </c>
      <c r="D11" s="11" t="s">
        <v>12</v>
      </c>
      <c r="E11" s="9" t="s">
        <v>11</v>
      </c>
      <c r="F11" s="6">
        <v>6</v>
      </c>
      <c r="G11" s="8" t="s">
        <v>63</v>
      </c>
      <c r="H11" s="3" t="str">
        <f>[1]!wwsCheckBox(C11,6,FALSE)</f>
        <v>dam</v>
      </c>
      <c r="I11" s="3" t="str">
        <f>[1]!wwsCheckBox(D11,6,FALSE)</f>
        <v>dame</v>
      </c>
      <c r="J11" s="5" t="str">
        <f t="shared" si="3"/>
        <v>YES</v>
      </c>
      <c r="K11" s="4">
        <f t="shared" si="0"/>
        <v>1</v>
      </c>
      <c r="L11" s="1">
        <f t="shared" si="1"/>
        <v>1</v>
      </c>
      <c r="M11" s="1">
        <f t="shared" si="2"/>
        <v>0</v>
      </c>
    </row>
    <row r="12" spans="3:15" ht="30" customHeight="1" x14ac:dyDescent="0.6">
      <c r="C12" s="11" t="s">
        <v>13</v>
      </c>
      <c r="D12" s="11" t="s">
        <v>14</v>
      </c>
      <c r="E12" s="9" t="s">
        <v>13</v>
      </c>
      <c r="F12" s="6">
        <v>7</v>
      </c>
      <c r="G12" s="8" t="s">
        <v>63</v>
      </c>
      <c r="H12" s="3" t="str">
        <f>[1]!wwsCheckBox(C12,7,FALSE)</f>
        <v>mane</v>
      </c>
      <c r="I12" s="3" t="str">
        <f>[1]!wwsCheckBox(D12,7,FALSE)</f>
        <v>man</v>
      </c>
      <c r="J12" s="5" t="str">
        <f t="shared" si="3"/>
        <v>YES</v>
      </c>
      <c r="K12" s="4">
        <f t="shared" si="0"/>
        <v>1</v>
      </c>
      <c r="L12" s="1">
        <f t="shared" si="1"/>
        <v>1</v>
      </c>
      <c r="M12" s="1">
        <f t="shared" si="2"/>
        <v>0</v>
      </c>
    </row>
    <row r="13" spans="3:15" ht="30" customHeight="1" x14ac:dyDescent="0.6">
      <c r="C13" s="11" t="s">
        <v>15</v>
      </c>
      <c r="D13" s="11" t="s">
        <v>16</v>
      </c>
      <c r="E13" s="9" t="s">
        <v>15</v>
      </c>
      <c r="F13" s="6">
        <v>8</v>
      </c>
      <c r="G13" s="8" t="s">
        <v>63</v>
      </c>
      <c r="H13" s="3" t="str">
        <f>[1]!wwsCheckBox(C13,8,FALSE)</f>
        <v>ad</v>
      </c>
      <c r="I13" s="3" t="str">
        <f>[1]!wwsCheckBox(D13,8,FALSE)</f>
        <v>ade</v>
      </c>
      <c r="J13" s="5" t="str">
        <f t="shared" si="3"/>
        <v>YES</v>
      </c>
      <c r="K13" s="4">
        <f t="shared" si="0"/>
        <v>1</v>
      </c>
      <c r="L13" s="1">
        <f t="shared" si="1"/>
        <v>0</v>
      </c>
      <c r="M13" s="1">
        <f t="shared" si="2"/>
        <v>1</v>
      </c>
    </row>
    <row r="14" spans="3:15" ht="30" customHeight="1" x14ac:dyDescent="0.6">
      <c r="C14" s="11" t="s">
        <v>17</v>
      </c>
      <c r="D14" s="11" t="s">
        <v>18</v>
      </c>
      <c r="E14" s="9" t="s">
        <v>17</v>
      </c>
      <c r="F14" s="6">
        <v>9</v>
      </c>
      <c r="G14" s="8" t="s">
        <v>63</v>
      </c>
      <c r="H14" s="3" t="str">
        <f>[1]!wwsCheckBox(C14,9,FALSE)</f>
        <v>tap</v>
      </c>
      <c r="I14" s="3" t="str">
        <f>[1]!wwsCheckBox(D14,9,FALSE)</f>
        <v>tape</v>
      </c>
      <c r="J14" s="5" t="str">
        <f t="shared" si="3"/>
        <v>YES</v>
      </c>
      <c r="K14" s="4"/>
      <c r="L14" s="1"/>
      <c r="M14" s="1"/>
    </row>
    <row r="15" spans="3:15" ht="30" customHeight="1" x14ac:dyDescent="0.6">
      <c r="C15" s="11" t="s">
        <v>19</v>
      </c>
      <c r="D15" s="11" t="s">
        <v>20</v>
      </c>
      <c r="E15" s="9" t="s">
        <v>19</v>
      </c>
      <c r="F15" s="6">
        <v>10</v>
      </c>
      <c r="G15" s="8" t="s">
        <v>63</v>
      </c>
      <c r="H15" s="3" t="str">
        <f>[1]!wwsCheckBox(C15,10,FALSE)</f>
        <v>mad</v>
      </c>
      <c r="I15" s="3" t="str">
        <f>[1]!wwsCheckBox(D15,10,FALSE)</f>
        <v>made</v>
      </c>
      <c r="J15" s="5" t="str">
        <f t="shared" si="3"/>
        <v>YES</v>
      </c>
      <c r="K15" s="4">
        <f t="shared" ref="K15:K22" si="4">IF(J18="YES",1,0)</f>
        <v>1</v>
      </c>
      <c r="L15" s="1">
        <f t="shared" ref="L15:L22" si="5">IF(E18=H18,1,0)</f>
        <v>1</v>
      </c>
      <c r="M15" s="1">
        <f t="shared" ref="M15:M22" si="6">IF(E18=I18,1,0)</f>
        <v>0</v>
      </c>
    </row>
    <row r="16" spans="3:15" ht="30" customHeight="1" x14ac:dyDescent="0.6">
      <c r="C16" s="11" t="s">
        <v>21</v>
      </c>
      <c r="D16" s="11" t="s">
        <v>22</v>
      </c>
      <c r="E16" s="9" t="s">
        <v>22</v>
      </c>
      <c r="F16" s="6">
        <v>11</v>
      </c>
      <c r="G16" s="8" t="s">
        <v>63</v>
      </c>
      <c r="H16" s="3" t="str">
        <f>[1]!wwsCheckBox(C16,11,FALSE)</f>
        <v>hat</v>
      </c>
      <c r="I16" s="3" t="str">
        <f>[1]!wwsCheckBox(D16,11,FALSE)</f>
        <v>hate</v>
      </c>
      <c r="J16" s="5" t="str">
        <f t="shared" si="3"/>
        <v>YES</v>
      </c>
      <c r="K16" s="4">
        <f t="shared" si="4"/>
        <v>1</v>
      </c>
      <c r="L16" s="1">
        <f t="shared" si="5"/>
        <v>0</v>
      </c>
      <c r="M16" s="1">
        <f t="shared" si="6"/>
        <v>1</v>
      </c>
    </row>
    <row r="17" spans="3:13" ht="12.6" customHeight="1" x14ac:dyDescent="0.6">
      <c r="C17" s="11"/>
      <c r="D17" s="11"/>
      <c r="E17" s="9"/>
      <c r="F17" s="6"/>
      <c r="G17" s="8"/>
      <c r="H17" s="3"/>
      <c r="I17" s="3"/>
      <c r="J17" s="5" t="str">
        <f t="shared" si="3"/>
        <v/>
      </c>
      <c r="K17" s="4">
        <f t="shared" si="4"/>
        <v>1</v>
      </c>
      <c r="L17" s="1">
        <f t="shared" si="5"/>
        <v>0</v>
      </c>
      <c r="M17" s="1">
        <f t="shared" si="6"/>
        <v>1</v>
      </c>
    </row>
    <row r="18" spans="3:13" ht="30" customHeight="1" x14ac:dyDescent="0.6">
      <c r="C18" s="11" t="s">
        <v>23</v>
      </c>
      <c r="D18" s="11" t="s">
        <v>24</v>
      </c>
      <c r="E18" s="9" t="s">
        <v>23</v>
      </c>
      <c r="F18" s="6">
        <v>12</v>
      </c>
      <c r="G18" s="8" t="s">
        <v>63</v>
      </c>
      <c r="H18" s="3" t="str">
        <f>[1]!wwsCheckBox(C18,13,FALSE)</f>
        <v>bit</v>
      </c>
      <c r="I18" s="3" t="str">
        <f>[1]!wwsCheckBox(D18,13,FALSE)</f>
        <v>bite</v>
      </c>
      <c r="J18" s="5" t="str">
        <f t="shared" si="3"/>
        <v>YES</v>
      </c>
      <c r="K18" s="4">
        <f t="shared" si="4"/>
        <v>1</v>
      </c>
      <c r="L18" s="1">
        <f t="shared" si="5"/>
        <v>1</v>
      </c>
      <c r="M18" s="1">
        <f t="shared" si="6"/>
        <v>0</v>
      </c>
    </row>
    <row r="19" spans="3:13" ht="30" customHeight="1" x14ac:dyDescent="0.6">
      <c r="C19" s="11" t="s">
        <v>25</v>
      </c>
      <c r="D19" s="11" t="s">
        <v>26</v>
      </c>
      <c r="E19" s="9" t="s">
        <v>26</v>
      </c>
      <c r="F19" s="6">
        <v>13</v>
      </c>
      <c r="G19" s="8" t="s">
        <v>63</v>
      </c>
      <c r="H19" s="3" t="str">
        <f>[1]!wwsCheckBox(C19,14,FALSE)</f>
        <v>pip</v>
      </c>
      <c r="I19" s="3" t="str">
        <f>[1]!wwsCheckBox(D19,14,FALSE)</f>
        <v>pipe</v>
      </c>
      <c r="J19" s="5" t="str">
        <f t="shared" si="3"/>
        <v>YES</v>
      </c>
      <c r="K19" s="4">
        <f t="shared" si="4"/>
        <v>1</v>
      </c>
      <c r="L19" s="1">
        <f t="shared" si="5"/>
        <v>0</v>
      </c>
      <c r="M19" s="1">
        <f t="shared" si="6"/>
        <v>1</v>
      </c>
    </row>
    <row r="20" spans="3:13" ht="30" customHeight="1" x14ac:dyDescent="0.6">
      <c r="C20" s="11" t="s">
        <v>27</v>
      </c>
      <c r="D20" s="11" t="s">
        <v>28</v>
      </c>
      <c r="E20" s="9" t="s">
        <v>28</v>
      </c>
      <c r="F20" s="6">
        <v>14</v>
      </c>
      <c r="G20" s="8" t="s">
        <v>63</v>
      </c>
      <c r="H20" s="3" t="str">
        <f>[1]!wwsCheckBox(C20,15,FALSE)</f>
        <v>pine</v>
      </c>
      <c r="I20" s="3" t="str">
        <f>[1]!wwsCheckBox(D20,15,FALSE)</f>
        <v>pin</v>
      </c>
      <c r="J20" s="5" t="str">
        <f t="shared" si="3"/>
        <v>YES</v>
      </c>
      <c r="K20" s="4">
        <f t="shared" si="4"/>
        <v>1</v>
      </c>
      <c r="L20" s="1">
        <f t="shared" si="5"/>
        <v>0</v>
      </c>
      <c r="M20" s="1">
        <f t="shared" si="6"/>
        <v>1</v>
      </c>
    </row>
    <row r="21" spans="3:13" ht="30" customHeight="1" x14ac:dyDescent="0.6">
      <c r="C21" s="11" t="s">
        <v>29</v>
      </c>
      <c r="D21" s="11" t="s">
        <v>30</v>
      </c>
      <c r="E21" s="9" t="s">
        <v>29</v>
      </c>
      <c r="F21" s="6">
        <v>15</v>
      </c>
      <c r="G21" s="8" t="s">
        <v>63</v>
      </c>
      <c r="H21" s="3" t="str">
        <f>[1]!wwsCheckBox(C21,16,FALSE)</f>
        <v>jibe</v>
      </c>
      <c r="I21" s="3" t="str">
        <f>[1]!wwsCheckBox(D21,16,FALSE)</f>
        <v>jib</v>
      </c>
      <c r="J21" s="5" t="str">
        <f t="shared" si="3"/>
        <v>YES</v>
      </c>
      <c r="K21" s="4">
        <f t="shared" si="4"/>
        <v>1</v>
      </c>
      <c r="L21" s="1">
        <f t="shared" si="5"/>
        <v>1</v>
      </c>
      <c r="M21" s="1">
        <f t="shared" si="6"/>
        <v>0</v>
      </c>
    </row>
    <row r="22" spans="3:13" ht="30" customHeight="1" x14ac:dyDescent="0.6">
      <c r="C22" s="11" t="s">
        <v>31</v>
      </c>
      <c r="D22" s="11" t="s">
        <v>32</v>
      </c>
      <c r="E22" s="9" t="s">
        <v>32</v>
      </c>
      <c r="F22" s="6">
        <v>16</v>
      </c>
      <c r="G22" s="8" t="s">
        <v>63</v>
      </c>
      <c r="H22" s="3" t="str">
        <f>[1]!wwsCheckBox(C22,17,FALSE)</f>
        <v>bid</v>
      </c>
      <c r="I22" s="3" t="str">
        <f>[1]!wwsCheckBox(D22,17,FALSE)</f>
        <v>bide</v>
      </c>
      <c r="J22" s="5" t="str">
        <f t="shared" si="3"/>
        <v>YES</v>
      </c>
      <c r="K22" s="4">
        <f t="shared" si="4"/>
        <v>1</v>
      </c>
      <c r="L22" s="1">
        <f t="shared" si="5"/>
        <v>1</v>
      </c>
      <c r="M22" s="1">
        <f t="shared" si="6"/>
        <v>0</v>
      </c>
    </row>
    <row r="23" spans="3:13" ht="30" customHeight="1" x14ac:dyDescent="0.6">
      <c r="C23" s="11" t="s">
        <v>33</v>
      </c>
      <c r="D23" s="11" t="s">
        <v>34</v>
      </c>
      <c r="E23" s="9" t="s">
        <v>34</v>
      </c>
      <c r="F23" s="6">
        <v>17</v>
      </c>
      <c r="G23" s="8" t="s">
        <v>63</v>
      </c>
      <c r="H23" s="3" t="str">
        <f>[1]!wwsCheckBox(C23,18,FALSE)</f>
        <v>dine</v>
      </c>
      <c r="I23" s="3" t="str">
        <f>[1]!wwsCheckBox(D23,18,FALSE)</f>
        <v>din</v>
      </c>
      <c r="J23" s="5" t="str">
        <f t="shared" si="3"/>
        <v>YES</v>
      </c>
      <c r="K23" s="4"/>
      <c r="L23" s="1"/>
      <c r="M23" s="1"/>
    </row>
    <row r="24" spans="3:13" ht="30" customHeight="1" x14ac:dyDescent="0.6">
      <c r="C24" s="11" t="s">
        <v>35</v>
      </c>
      <c r="D24" s="11" t="s">
        <v>36</v>
      </c>
      <c r="E24" s="9" t="s">
        <v>35</v>
      </c>
      <c r="F24" s="6">
        <v>18</v>
      </c>
      <c r="G24" s="8" t="s">
        <v>63</v>
      </c>
      <c r="H24" s="3" t="str">
        <f>[1]!wwsCheckBox(C24,19,FALSE)</f>
        <v>dim</v>
      </c>
      <c r="I24" s="3" t="str">
        <f>[1]!wwsCheckBox(D24,19,FALSE)</f>
        <v>dime</v>
      </c>
      <c r="J24" s="5" t="str">
        <f t="shared" si="3"/>
        <v>YES</v>
      </c>
      <c r="K24" s="4">
        <f t="shared" ref="K24:K29" si="7">IF(J27="YES",1,0)</f>
        <v>1</v>
      </c>
      <c r="L24" s="1">
        <f t="shared" ref="L24:L29" si="8">IF(E27=H27,1,0)</f>
        <v>0</v>
      </c>
      <c r="M24" s="1">
        <f t="shared" ref="M24:M29" si="9">IF(E27=I27,1,0)</f>
        <v>1</v>
      </c>
    </row>
    <row r="25" spans="3:13" ht="30" customHeight="1" x14ac:dyDescent="0.6">
      <c r="C25" s="11" t="s">
        <v>37</v>
      </c>
      <c r="D25" s="11" t="s">
        <v>38</v>
      </c>
      <c r="E25" s="9" t="s">
        <v>37</v>
      </c>
      <c r="F25" s="6">
        <v>19</v>
      </c>
      <c r="G25" s="8" t="s">
        <v>63</v>
      </c>
      <c r="H25" s="3" t="str">
        <f>[1]!wwsCheckBox(C25,20,FALSE)</f>
        <v>hide</v>
      </c>
      <c r="I25" s="3" t="str">
        <f>[1]!wwsCheckBox(D25,20,FALSE)</f>
        <v>hid</v>
      </c>
      <c r="J25" s="5" t="str">
        <f t="shared" si="3"/>
        <v>YES</v>
      </c>
      <c r="K25" s="4">
        <f t="shared" si="7"/>
        <v>1</v>
      </c>
      <c r="L25" s="1">
        <f t="shared" si="8"/>
        <v>1</v>
      </c>
      <c r="M25" s="1">
        <f t="shared" si="9"/>
        <v>0</v>
      </c>
    </row>
    <row r="26" spans="3:13" ht="12.6" customHeight="1" x14ac:dyDescent="0.6">
      <c r="C26" s="11"/>
      <c r="D26" s="11"/>
      <c r="E26" s="9"/>
      <c r="F26" s="6"/>
      <c r="G26" s="8"/>
      <c r="H26" s="3"/>
      <c r="I26" s="3"/>
      <c r="J26" s="5" t="str">
        <f t="shared" si="3"/>
        <v/>
      </c>
      <c r="K26" s="4">
        <f t="shared" si="7"/>
        <v>1</v>
      </c>
      <c r="L26" s="1">
        <f t="shared" si="8"/>
        <v>0</v>
      </c>
      <c r="M26" s="1">
        <f t="shared" si="9"/>
        <v>1</v>
      </c>
    </row>
    <row r="27" spans="3:13" ht="30" customHeight="1" x14ac:dyDescent="0.6">
      <c r="C27" s="11" t="s">
        <v>39</v>
      </c>
      <c r="D27" s="11" t="s">
        <v>40</v>
      </c>
      <c r="E27" s="9" t="s">
        <v>40</v>
      </c>
      <c r="F27" s="6">
        <v>20</v>
      </c>
      <c r="G27" s="8" t="s">
        <v>63</v>
      </c>
      <c r="H27" s="3" t="str">
        <f>[1]!wwsCheckBox(C27,21,FALSE)</f>
        <v>dot</v>
      </c>
      <c r="I27" s="3" t="str">
        <f>[1]!wwsCheckBox(D27,21,FALSE)</f>
        <v>dote</v>
      </c>
      <c r="J27" s="5" t="str">
        <f t="shared" si="3"/>
        <v>YES</v>
      </c>
      <c r="K27" s="4">
        <f t="shared" si="7"/>
        <v>1</v>
      </c>
      <c r="L27" s="1">
        <f t="shared" si="8"/>
        <v>0</v>
      </c>
      <c r="M27" s="1">
        <f t="shared" si="9"/>
        <v>1</v>
      </c>
    </row>
    <row r="28" spans="3:13" ht="30" customHeight="1" x14ac:dyDescent="0.6">
      <c r="C28" s="11" t="s">
        <v>41</v>
      </c>
      <c r="D28" s="11" t="s">
        <v>42</v>
      </c>
      <c r="E28" s="9" t="s">
        <v>41</v>
      </c>
      <c r="F28" s="6">
        <v>21</v>
      </c>
      <c r="G28" s="8" t="s">
        <v>63</v>
      </c>
      <c r="H28" s="3" t="str">
        <f>[1]!wwsCheckBox(C28,22,FALSE)</f>
        <v>odd</v>
      </c>
      <c r="I28" s="3" t="str">
        <f>[1]!wwsCheckBox(D28,22,FALSE)</f>
        <v>ode</v>
      </c>
      <c r="J28" s="5" t="str">
        <f t="shared" si="3"/>
        <v>YES</v>
      </c>
      <c r="K28" s="4">
        <f t="shared" si="7"/>
        <v>1</v>
      </c>
      <c r="L28" s="1">
        <f t="shared" si="8"/>
        <v>1</v>
      </c>
      <c r="M28" s="1">
        <f t="shared" si="9"/>
        <v>0</v>
      </c>
    </row>
    <row r="29" spans="3:13" ht="30" customHeight="1" x14ac:dyDescent="0.6">
      <c r="C29" s="11" t="s">
        <v>43</v>
      </c>
      <c r="D29" s="11" t="s">
        <v>44</v>
      </c>
      <c r="E29" s="9" t="s">
        <v>44</v>
      </c>
      <c r="F29" s="6">
        <v>22</v>
      </c>
      <c r="G29" s="8" t="s">
        <v>63</v>
      </c>
      <c r="H29" s="3" t="str">
        <f>[1]!wwsCheckBox(C29,23,FALSE)</f>
        <v>hop</v>
      </c>
      <c r="I29" s="3" t="str">
        <f>[1]!wwsCheckBox(D29,23,FALSE)</f>
        <v>hope</v>
      </c>
      <c r="J29" s="5" t="str">
        <f t="shared" si="3"/>
        <v>YES</v>
      </c>
      <c r="K29" s="4">
        <f t="shared" si="7"/>
        <v>1</v>
      </c>
      <c r="L29" s="1">
        <f t="shared" si="8"/>
        <v>0</v>
      </c>
      <c r="M29" s="1">
        <f t="shared" si="9"/>
        <v>1</v>
      </c>
    </row>
    <row r="30" spans="3:13" ht="30" customHeight="1" x14ac:dyDescent="0.6">
      <c r="C30" s="11" t="s">
        <v>45</v>
      </c>
      <c r="D30" s="11" t="s">
        <v>46</v>
      </c>
      <c r="E30" s="9" t="s">
        <v>46</v>
      </c>
      <c r="F30" s="6">
        <v>23</v>
      </c>
      <c r="G30" s="8" t="s">
        <v>63</v>
      </c>
      <c r="H30" s="3" t="str">
        <f>[1]!wwsCheckBox(C30,24,FALSE)</f>
        <v>note</v>
      </c>
      <c r="I30" s="3" t="str">
        <f>[1]!wwsCheckBox(D30,24,FALSE)</f>
        <v>not</v>
      </c>
      <c r="J30" s="5" t="str">
        <f t="shared" si="3"/>
        <v>YES</v>
      </c>
      <c r="K30" s="4"/>
      <c r="L30" s="1"/>
      <c r="M30" s="1"/>
    </row>
    <row r="31" spans="3:13" ht="30" customHeight="1" x14ac:dyDescent="0.6">
      <c r="C31" s="11" t="s">
        <v>47</v>
      </c>
      <c r="D31" s="11" t="s">
        <v>48</v>
      </c>
      <c r="E31" s="9" t="s">
        <v>47</v>
      </c>
      <c r="F31" s="6">
        <v>24</v>
      </c>
      <c r="G31" s="8" t="s">
        <v>63</v>
      </c>
      <c r="H31" s="3" t="str">
        <f>[1]!wwsCheckBox(C31,25,FALSE)</f>
        <v>node</v>
      </c>
      <c r="I31" s="3" t="str">
        <f>[1]!wwsCheckBox(D31,25,FALSE)</f>
        <v>nod</v>
      </c>
      <c r="J31" s="5" t="str">
        <f t="shared" si="3"/>
        <v>YES</v>
      </c>
      <c r="K31" s="4">
        <f>IF(J34="YES",1,0)</f>
        <v>1</v>
      </c>
      <c r="L31" s="1">
        <f>IF(E34=H34,1,0)</f>
        <v>0</v>
      </c>
      <c r="M31" s="1">
        <f>IF(E34=I34,1,0)</f>
        <v>1</v>
      </c>
    </row>
    <row r="32" spans="3:13" ht="30" customHeight="1" x14ac:dyDescent="0.6">
      <c r="C32" s="11" t="s">
        <v>49</v>
      </c>
      <c r="D32" s="11" t="s">
        <v>50</v>
      </c>
      <c r="E32" s="9" t="s">
        <v>50</v>
      </c>
      <c r="F32" s="6">
        <v>25</v>
      </c>
      <c r="G32" s="8" t="s">
        <v>63</v>
      </c>
      <c r="H32" s="3" t="str">
        <f>[1]!wwsCheckBox(C32,26,FALSE)</f>
        <v>tote</v>
      </c>
      <c r="I32" s="3" t="str">
        <f>[1]!wwsCheckBox(D32,26,FALSE)</f>
        <v>tot</v>
      </c>
      <c r="J32" s="5" t="str">
        <f t="shared" si="3"/>
        <v>YES</v>
      </c>
      <c r="K32" s="4"/>
      <c r="L32" s="1"/>
      <c r="M32" s="1"/>
    </row>
    <row r="33" spans="3:14" ht="12.6" customHeight="1" x14ac:dyDescent="0.6">
      <c r="C33" s="11"/>
      <c r="D33" s="11"/>
      <c r="E33" s="9"/>
      <c r="F33" s="6"/>
      <c r="G33" s="8"/>
      <c r="H33" s="3"/>
      <c r="I33" s="3"/>
      <c r="J33" s="5" t="str">
        <f t="shared" si="3"/>
        <v/>
      </c>
      <c r="K33" s="4">
        <f>IF(J36="YES",1,0)</f>
        <v>1</v>
      </c>
      <c r="L33" s="1">
        <f>IF(E36=H36,1,0)</f>
        <v>0</v>
      </c>
      <c r="M33" s="1">
        <f>IF(E36=I36,1,0)</f>
        <v>1</v>
      </c>
    </row>
    <row r="34" spans="3:14" ht="30" customHeight="1" x14ac:dyDescent="0.6">
      <c r="C34" s="11" t="s">
        <v>51</v>
      </c>
      <c r="D34" s="11" t="s">
        <v>52</v>
      </c>
      <c r="E34" s="9" t="s">
        <v>52</v>
      </c>
      <c r="F34" s="6">
        <v>26</v>
      </c>
      <c r="G34" s="8" t="s">
        <v>63</v>
      </c>
      <c r="H34" s="3" t="str">
        <f>[1]!wwsCheckBox(C34,28,FALSE)</f>
        <v>mutt</v>
      </c>
      <c r="I34" s="3" t="str">
        <f>[1]!wwsCheckBox(D34,28,FALSE)</f>
        <v>mute</v>
      </c>
      <c r="J34" s="5" t="str">
        <f t="shared" si="3"/>
        <v>YES</v>
      </c>
      <c r="K34" s="4"/>
      <c r="L34" s="1"/>
      <c r="M34" s="1"/>
    </row>
    <row r="35" spans="3:14" ht="12.6" customHeight="1" x14ac:dyDescent="0.6">
      <c r="C35" s="11"/>
      <c r="D35" s="11"/>
      <c r="E35" s="9"/>
      <c r="F35" s="6"/>
      <c r="G35" s="8"/>
      <c r="H35" s="3"/>
      <c r="I35" s="3"/>
      <c r="J35" s="5" t="str">
        <f t="shared" si="3"/>
        <v/>
      </c>
      <c r="K35" s="4">
        <f>IF(J38="YES",1,0)</f>
        <v>1</v>
      </c>
      <c r="L35" s="1">
        <f>IF(E38=H38,1,0)</f>
        <v>0</v>
      </c>
      <c r="M35" s="1">
        <f>IF(E38=I38,1,0)</f>
        <v>1</v>
      </c>
    </row>
    <row r="36" spans="3:14" ht="30" customHeight="1" x14ac:dyDescent="0.6">
      <c r="C36" s="11" t="s">
        <v>53</v>
      </c>
      <c r="D36" s="11" t="s">
        <v>54</v>
      </c>
      <c r="E36" s="9" t="s">
        <v>54</v>
      </c>
      <c r="F36" s="6">
        <v>27</v>
      </c>
      <c r="G36" s="8" t="s">
        <v>63</v>
      </c>
      <c r="H36" s="3" t="str">
        <f>[1]!wwsCheckBox(C36,30,FALSE)</f>
        <v>tub</v>
      </c>
      <c r="I36" s="3" t="str">
        <f>[1]!wwsCheckBox(D36,30,FALSE)</f>
        <v>tube</v>
      </c>
      <c r="J36" s="5" t="str">
        <f t="shared" si="3"/>
        <v>YES</v>
      </c>
      <c r="K36" s="4">
        <f>IF(J39="YES",1,0)</f>
        <v>1</v>
      </c>
      <c r="L36" s="1">
        <f>IF(E39=H39,1,0)</f>
        <v>1</v>
      </c>
      <c r="M36" s="1">
        <f>IF(E39=I39,1,0)</f>
        <v>0</v>
      </c>
    </row>
    <row r="37" spans="3:14" ht="12.6" customHeight="1" x14ac:dyDescent="0.6">
      <c r="C37" s="11"/>
      <c r="D37" s="11"/>
      <c r="E37" s="9"/>
      <c r="F37" s="6"/>
      <c r="G37" s="8"/>
      <c r="H37" s="3"/>
      <c r="I37" s="3"/>
      <c r="J37" s="5" t="str">
        <f t="shared" si="3"/>
        <v/>
      </c>
      <c r="K37" s="4">
        <f>IF(J40="YES",1,0)</f>
        <v>1</v>
      </c>
      <c r="L37" s="1">
        <f>IF(E40=H40,1,0)</f>
        <v>0</v>
      </c>
      <c r="M37" s="1">
        <f>IF(E40=I40,1,0)</f>
        <v>1</v>
      </c>
    </row>
    <row r="38" spans="3:14" ht="30.6" customHeight="1" x14ac:dyDescent="0.6">
      <c r="C38" s="11" t="s">
        <v>55</v>
      </c>
      <c r="D38" s="11" t="s">
        <v>56</v>
      </c>
      <c r="E38" s="9" t="s">
        <v>56</v>
      </c>
      <c r="F38" s="6">
        <v>28</v>
      </c>
      <c r="G38" s="8" t="s">
        <v>63</v>
      </c>
      <c r="H38" s="3" t="str">
        <f>[1]!wwsCheckBox(C38,31,FALSE)</f>
        <v>meet</v>
      </c>
      <c r="I38" s="3" t="str">
        <f>[1]!wwsCheckBox(D38,31,FALSE)</f>
        <v>met</v>
      </c>
      <c r="J38" s="5" t="str">
        <f t="shared" si="3"/>
        <v>YES</v>
      </c>
      <c r="K38" s="4">
        <f>IF(J41="YES",1,0)</f>
        <v>1</v>
      </c>
      <c r="L38" s="1">
        <f>IF(E41=H41,1,0)</f>
        <v>1</v>
      </c>
      <c r="M38" s="1">
        <f>IF(E41=I41,1,0)</f>
        <v>0</v>
      </c>
    </row>
    <row r="39" spans="3:14" ht="30.6" customHeight="1" x14ac:dyDescent="0.6">
      <c r="C39" s="11" t="s">
        <v>57</v>
      </c>
      <c r="D39" s="11" t="s">
        <v>58</v>
      </c>
      <c r="E39" s="9" t="s">
        <v>57</v>
      </c>
      <c r="F39" s="6">
        <v>29</v>
      </c>
      <c r="G39" s="8" t="s">
        <v>63</v>
      </c>
      <c r="H39" s="3" t="str">
        <f>[1]!wwsCheckBox(C39,32,FALSE)</f>
        <v>beet</v>
      </c>
      <c r="I39" s="3" t="str">
        <f>[1]!wwsCheckBox(D39,32,FALSE)</f>
        <v>bet</v>
      </c>
      <c r="J39" s="5" t="str">
        <f t="shared" si="3"/>
        <v>YES</v>
      </c>
      <c r="K39" s="4"/>
      <c r="L39" s="1"/>
      <c r="M39" s="1"/>
      <c r="N39" t="s">
        <v>1</v>
      </c>
    </row>
    <row r="40" spans="3:14" x14ac:dyDescent="0.6">
      <c r="C40" s="11" t="s">
        <v>59</v>
      </c>
      <c r="D40" s="11" t="s">
        <v>60</v>
      </c>
      <c r="E40" s="9" t="s">
        <v>60</v>
      </c>
      <c r="F40" s="6">
        <v>30</v>
      </c>
      <c r="G40" s="8" t="s">
        <v>63</v>
      </c>
      <c r="H40" s="3" t="str">
        <f>[1]!wwsCheckBox(C40,33,FALSE)</f>
        <v>ten</v>
      </c>
      <c r="I40" s="3" t="str">
        <f>[1]!wwsCheckBox(D40,33,FALSE)</f>
        <v>teen</v>
      </c>
      <c r="J40" s="5" t="str">
        <f t="shared" si="3"/>
        <v>YES</v>
      </c>
      <c r="K40" s="4"/>
    </row>
    <row r="41" spans="3:14" x14ac:dyDescent="0.6">
      <c r="C41" s="11" t="s">
        <v>61</v>
      </c>
      <c r="D41" s="11" t="s">
        <v>62</v>
      </c>
      <c r="E41" s="9" t="s">
        <v>61</v>
      </c>
      <c r="F41" s="6">
        <v>31</v>
      </c>
      <c r="G41" s="8" t="s">
        <v>63</v>
      </c>
      <c r="H41" s="3" t="str">
        <f>[1]!wwsCheckBox(C41,34,FALSE)</f>
        <v>pep</v>
      </c>
      <c r="I41" s="3" t="str">
        <f>[1]!wwsCheckBox(D41,34,FALSE)</f>
        <v>peep</v>
      </c>
      <c r="J41" s="5" t="str">
        <f t="shared" si="3"/>
        <v>YES</v>
      </c>
      <c r="K41" s="4"/>
    </row>
    <row r="42" spans="3:14" x14ac:dyDescent="0.6">
      <c r="C42" s="11"/>
      <c r="D42" s="11"/>
    </row>
    <row r="43" spans="3:14" x14ac:dyDescent="0.6">
      <c r="C43" s="11"/>
      <c r="D43" s="11"/>
    </row>
    <row r="44" spans="3:14" x14ac:dyDescent="0.6">
      <c r="C44" s="11"/>
      <c r="D44" s="11"/>
    </row>
  </sheetData>
  <conditionalFormatting sqref="G9">
    <cfRule type="expression" dxfId="4" priority="14">
      <formula>"$B$6=5"</formula>
    </cfRule>
  </conditionalFormatting>
  <conditionalFormatting sqref="B5:B6 C8:D9">
    <cfRule type="cellIs" dxfId="3" priority="9" operator="equal">
      <formula>5</formula>
    </cfRule>
  </conditionalFormatting>
  <conditionalFormatting sqref="H9:I9">
    <cfRule type="expression" dxfId="2" priority="7">
      <formula>"$B$6=5"</formula>
    </cfRule>
  </conditionalFormatting>
  <conditionalFormatting sqref="G8">
    <cfRule type="expression" dxfId="1" priority="3">
      <formula>"$B$6=5"</formula>
    </cfRule>
  </conditionalFormatting>
  <conditionalFormatting sqref="H8:I8">
    <cfRule type="expression" dxfId="0" priority="1">
      <formula>"$B$6=5"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error counting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2019-08-30T19:01:28Z</dcterms:created>
  <dcterms:modified xsi:type="dcterms:W3CDTF">2019-09-24T21:32:23Z</dcterms:modified>
</cp:coreProperties>
</file>