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EAEA3CFA-F714-4CEA-B683-5B3D0C172D59}" xr6:coauthVersionLast="45" xr6:coauthVersionMax="45" xr10:uidLastSave="{00000000-0000-0000-0000-000000000000}"/>
  <bookViews>
    <workbookView xWindow="-108" yWindow="-108" windowWidth="23256" windowHeight="12576" tabRatio="612" xr2:uid="{00000000-000D-0000-FFFF-FFFF00000000}"/>
  </bookViews>
  <sheets>
    <sheet name="BGMD_fillin" sheetId="7" r:id="rId1"/>
    <sheet name="BGMD_3-choice" sheetId="9" r:id="rId2"/>
    <sheet name="BGMD choice assess" sheetId="11" r:id="rId3"/>
    <sheet name="Sheet1" sheetId="13" r:id="rId4"/>
    <sheet name="BGMD fillin assess" sheetId="12" r:id="rId5"/>
    <sheet name="BGMDmaster" sheetId="10" r:id="rId6"/>
  </sheets>
  <externalReferences>
    <externalReference r:id="rId7"/>
  </externalReferences>
  <definedNames>
    <definedName name="_xlnm.Print_Area" localSheetId="1">'BGMD_3-choice'!$B$1:$Q$36</definedName>
    <definedName name="_xlnm.Print_Area" localSheetId="5">BGMDmaster!$A$1:$H$42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2" l="1"/>
  <c r="G24" i="12"/>
  <c r="G23" i="12"/>
  <c r="G22" i="12"/>
  <c r="G21" i="12"/>
  <c r="G20" i="12"/>
  <c r="G18" i="12"/>
  <c r="C18" i="12"/>
  <c r="C19" i="12" s="1"/>
  <c r="C20" i="12" s="1"/>
  <c r="C21" i="12" s="1"/>
  <c r="C22" i="12" s="1"/>
  <c r="C23" i="12" s="1"/>
  <c r="C24" i="12" s="1"/>
  <c r="C25" i="12" s="1"/>
  <c r="B19" i="11"/>
  <c r="B18" i="11"/>
  <c r="B17" i="11"/>
  <c r="B16" i="11"/>
  <c r="B15" i="11"/>
  <c r="D4" i="1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B4" i="11"/>
  <c r="E37" i="7"/>
  <c r="E42" i="7"/>
  <c r="E36" i="7"/>
  <c r="E41" i="7"/>
  <c r="E35" i="7"/>
  <c r="E40" i="7"/>
  <c r="E34" i="7"/>
  <c r="E39" i="7"/>
  <c r="E38" i="7"/>
  <c r="E29" i="7"/>
  <c r="E23" i="7"/>
  <c r="E17" i="7"/>
  <c r="E11" i="7"/>
  <c r="E28" i="7"/>
  <c r="E22" i="7"/>
  <c r="E16" i="7"/>
  <c r="E10" i="7"/>
  <c r="E33" i="7"/>
  <c r="E27" i="7"/>
  <c r="E21" i="7"/>
  <c r="E15" i="7"/>
  <c r="E32" i="7"/>
  <c r="E26" i="7"/>
  <c r="E20" i="7"/>
  <c r="E14" i="7"/>
  <c r="E31" i="7"/>
  <c r="E25" i="7"/>
  <c r="E19" i="7"/>
  <c r="E13" i="7"/>
  <c r="E30" i="7"/>
  <c r="E24" i="7"/>
  <c r="E18" i="7"/>
  <c r="E12" i="7"/>
  <c r="C37" i="7"/>
  <c r="F23" i="11"/>
  <c r="D1" i="10"/>
  <c r="F20" i="11"/>
  <c r="L8" i="11"/>
  <c r="C25" i="7"/>
  <c r="F21" i="11"/>
  <c r="J7" i="9"/>
  <c r="L12" i="11"/>
  <c r="M7" i="9"/>
  <c r="L13" i="11"/>
  <c r="F10" i="11"/>
  <c r="I12" i="11"/>
  <c r="L14" i="11"/>
  <c r="F22" i="11"/>
  <c r="L7" i="11"/>
  <c r="I10" i="11"/>
  <c r="L20" i="11"/>
  <c r="I9" i="11"/>
  <c r="F11" i="11"/>
  <c r="I13" i="11"/>
  <c r="I23" i="11"/>
  <c r="D1" i="9"/>
  <c r="F9" i="11"/>
  <c r="L21" i="11"/>
  <c r="I14" i="11"/>
  <c r="L22" i="11"/>
  <c r="I11" i="11"/>
  <c r="B6" i="11" l="1"/>
  <c r="B5" i="11"/>
  <c r="B23" i="11"/>
  <c r="B10" i="11"/>
  <c r="B21" i="11"/>
  <c r="B9" i="11"/>
  <c r="B20" i="11"/>
  <c r="B8" i="11"/>
  <c r="B14" i="11"/>
  <c r="B7" i="11"/>
  <c r="B13" i="11"/>
  <c r="B12" i="11"/>
  <c r="B11" i="11"/>
  <c r="B22" i="11"/>
  <c r="H8" i="10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A23" i="11" l="1"/>
  <c r="C3" i="11" s="1"/>
  <c r="F9" i="7"/>
  <c r="I9" i="7" s="1"/>
  <c r="E7" i="9"/>
  <c r="E9" i="9" s="1"/>
  <c r="E11" i="9" s="1"/>
  <c r="E13" i="9" s="1"/>
  <c r="E15" i="9" s="1"/>
  <c r="E17" i="9" s="1"/>
  <c r="E19" i="9" s="1"/>
  <c r="E21" i="9" s="1"/>
  <c r="E23" i="9" s="1"/>
  <c r="E25" i="9" s="1"/>
  <c r="E27" i="9" s="1"/>
  <c r="E29" i="9" s="1"/>
  <c r="E31" i="9" s="1"/>
  <c r="E33" i="9" s="1"/>
  <c r="E35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J15" i="9"/>
  <c r="C38" i="7"/>
  <c r="G25" i="9"/>
  <c r="G15" i="9"/>
  <c r="C30" i="7"/>
  <c r="G9" i="9"/>
  <c r="G13" i="9"/>
  <c r="M35" i="9"/>
  <c r="C17" i="7"/>
  <c r="C35" i="7"/>
  <c r="G31" i="9"/>
  <c r="G33" i="9"/>
  <c r="C27" i="7"/>
  <c r="J9" i="9"/>
  <c r="C13" i="7"/>
  <c r="C21" i="7"/>
  <c r="C18" i="7"/>
  <c r="J31" i="9"/>
  <c r="M23" i="9"/>
  <c r="J35" i="9"/>
  <c r="C41" i="7"/>
  <c r="M19" i="9"/>
  <c r="C29" i="7"/>
  <c r="M9" i="9"/>
  <c r="J25" i="9"/>
  <c r="C16" i="7"/>
  <c r="C36" i="7"/>
  <c r="C33" i="7"/>
  <c r="J19" i="9"/>
  <c r="C11" i="7"/>
  <c r="M17" i="9"/>
  <c r="C19" i="7"/>
  <c r="C26" i="7"/>
  <c r="J17" i="9"/>
  <c r="G21" i="9"/>
  <c r="C22" i="7"/>
  <c r="J27" i="9"/>
  <c r="J29" i="9"/>
  <c r="J23" i="9"/>
  <c r="J11" i="9"/>
  <c r="M33" i="9"/>
  <c r="G17" i="9"/>
  <c r="G35" i="9"/>
  <c r="C12" i="7"/>
  <c r="M13" i="9"/>
  <c r="C42" i="7"/>
  <c r="C40" i="7"/>
  <c r="C23" i="7"/>
  <c r="G19" i="9"/>
  <c r="M25" i="9"/>
  <c r="C28" i="7"/>
  <c r="C20" i="7"/>
  <c r="M21" i="9"/>
  <c r="C34" i="7"/>
  <c r="M29" i="9"/>
  <c r="M15" i="9"/>
  <c r="M31" i="9"/>
  <c r="J13" i="9"/>
  <c r="C32" i="7"/>
  <c r="C39" i="7"/>
  <c r="C15" i="7"/>
  <c r="G27" i="9"/>
  <c r="J33" i="9"/>
  <c r="G29" i="9"/>
  <c r="G11" i="9"/>
  <c r="G23" i="9"/>
  <c r="C31" i="7"/>
  <c r="C10" i="7"/>
  <c r="M11" i="9"/>
  <c r="C14" i="7"/>
  <c r="J21" i="9"/>
  <c r="M27" i="9"/>
  <c r="C24" i="7"/>
  <c r="F42" i="7" l="1"/>
  <c r="I42" i="7" s="1"/>
  <c r="F41" i="7"/>
  <c r="I41" i="7" s="1"/>
  <c r="F40" i="7"/>
  <c r="I40" i="7" s="1"/>
  <c r="F39" i="7"/>
  <c r="I39" i="7" s="1"/>
  <c r="F38" i="7"/>
  <c r="I38" i="7" s="1"/>
  <c r="F37" i="7"/>
  <c r="I37" i="7" s="1"/>
  <c r="F36" i="7"/>
  <c r="I36" i="7" s="1"/>
  <c r="F35" i="7"/>
  <c r="I35" i="7" s="1"/>
  <c r="F34" i="7"/>
  <c r="I34" i="7" s="1"/>
  <c r="F33" i="7"/>
  <c r="I33" i="7" s="1"/>
  <c r="F32" i="7"/>
  <c r="I32" i="7" s="1"/>
  <c r="F31" i="7"/>
  <c r="I31" i="7" s="1"/>
  <c r="F30" i="7"/>
  <c r="I30" i="7" s="1"/>
  <c r="F29" i="7"/>
  <c r="I29" i="7" s="1"/>
  <c r="F28" i="7"/>
  <c r="I28" i="7" s="1"/>
  <c r="F27" i="7"/>
  <c r="I27" i="7" s="1"/>
  <c r="F26" i="7"/>
  <c r="I26" i="7" s="1"/>
  <c r="F25" i="7"/>
  <c r="I25" i="7" s="1"/>
  <c r="F24" i="7"/>
  <c r="I24" i="7" s="1"/>
  <c r="F23" i="7"/>
  <c r="I23" i="7" s="1"/>
  <c r="F22" i="7"/>
  <c r="I22" i="7" s="1"/>
  <c r="F21" i="7"/>
  <c r="I21" i="7" s="1"/>
  <c r="F20" i="7"/>
  <c r="I20" i="7" s="1"/>
  <c r="F19" i="7"/>
  <c r="I19" i="7" s="1"/>
  <c r="F18" i="7"/>
  <c r="I18" i="7" s="1"/>
  <c r="F17" i="7"/>
  <c r="I17" i="7" s="1"/>
  <c r="F16" i="7"/>
  <c r="I16" i="7" s="1"/>
  <c r="F15" i="7"/>
  <c r="I15" i="7" s="1"/>
  <c r="F14" i="7"/>
  <c r="I14" i="7" s="1"/>
  <c r="F13" i="7"/>
  <c r="I13" i="7" s="1"/>
  <c r="F12" i="7"/>
  <c r="I12" i="7" s="1"/>
  <c r="F11" i="7"/>
  <c r="I11" i="7" s="1"/>
  <c r="F10" i="7"/>
  <c r="I10" i="7" s="1"/>
  <c r="C7" i="9"/>
  <c r="C11" i="9"/>
  <c r="C15" i="9"/>
  <c r="C17" i="9"/>
  <c r="C19" i="9"/>
  <c r="C21" i="9"/>
  <c r="C23" i="9"/>
  <c r="C25" i="9"/>
  <c r="C27" i="9"/>
  <c r="C29" i="9"/>
  <c r="C31" i="9"/>
  <c r="C33" i="9"/>
  <c r="C35" i="9"/>
  <c r="C9" i="9"/>
  <c r="C13" i="9"/>
  <c r="B35" i="9" l="1"/>
  <c r="H43" i="7"/>
</calcChain>
</file>

<file path=xl/sharedStrings.xml><?xml version="1.0" encoding="utf-8"?>
<sst xmlns="http://schemas.openxmlformats.org/spreadsheetml/2006/main" count="420" uniqueCount="102">
  <si>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</si>
  <si>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</si>
  <si>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</si>
  <si>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</si>
  <si>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</si>
  <si>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</si>
  <si>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</si>
  <si>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</si>
  <si>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</si>
  <si>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</si>
  <si>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</si>
  <si>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</si>
  <si>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</si>
  <si>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</si>
  <si>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</si>
  <si>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</si>
  <si>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</si>
  <si>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</si>
  <si>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</si>
  <si>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</si>
  <si>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</si>
  <si>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</si>
  <si>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</si>
  <si>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</si>
  <si>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</si>
  <si>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</si>
  <si>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</si>
  <si>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</si>
  <si>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</si>
  <si>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</si>
  <si>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</si>
  <si>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</si>
  <si>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</si>
  <si>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</si>
  <si>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</si>
  <si>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</si>
  <si>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</si>
  <si>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</si>
  <si>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</si>
  <si>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</si>
  <si>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</si>
  <si>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</si>
  <si>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</si>
  <si>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</si>
  <si>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</si>
  <si>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</si>
  <si>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</si>
  <si>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</si>
  <si>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</si>
  <si>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</si>
  <si>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</si>
  <si>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</si>
  <si>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</si>
  <si>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</si>
  <si>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</si>
  <si>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</si>
  <si>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</si>
  <si>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dem</t>
  </si>
  <si>
    <t>beg</t>
  </si>
  <si>
    <t>did</t>
  </si>
  <si>
    <t>mum</t>
  </si>
  <si>
    <t>bid</t>
  </si>
  <si>
    <t>gig</t>
  </si>
  <si>
    <t>bib</t>
  </si>
  <si>
    <t>dim</t>
  </si>
  <si>
    <t>bob</t>
  </si>
  <si>
    <t>mod</t>
  </si>
  <si>
    <t>gob</t>
  </si>
  <si>
    <t>mob</t>
  </si>
  <si>
    <t>gum</t>
  </si>
  <si>
    <t>mug</t>
  </si>
  <si>
    <t>dud</t>
  </si>
  <si>
    <t>bum</t>
  </si>
  <si>
    <t>bub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</si>
  <si>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</si>
  <si>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</si>
  <si>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</si>
  <si>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</si>
  <si>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</si>
  <si>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</si>
  <si>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BGMD fill-in</t>
  </si>
  <si>
    <t>BGMD 3-choice</t>
  </si>
  <si>
    <t>3-letter words for BGMD exercises -- ESL4, Stan Levin</t>
  </si>
  <si>
    <t>Teacher list:</t>
  </si>
  <si>
    <t>here</t>
  </si>
  <si>
    <t>sum</t>
  </si>
  <si>
    <t>rum</t>
  </si>
  <si>
    <t>cud</t>
  </si>
  <si>
    <t>mid</t>
  </si>
  <si>
    <t>Student:</t>
  </si>
  <si>
    <t>Galina</t>
  </si>
  <si>
    <t>m</t>
  </si>
  <si>
    <t>d</t>
  </si>
  <si>
    <t>wwsSetup=("useHTTPS",TRUE)</t>
  </si>
  <si>
    <t>Consonant fill-in with B,G,M,D</t>
  </si>
  <si>
    <t>ESLatHoward  7/30/2020</t>
  </si>
  <si>
    <t>wwsSetup=("HTTPS",TRUE)</t>
  </si>
  <si>
    <t>wwsSetup("=HTTPS",TRUE)</t>
  </si>
  <si>
    <t>Howard Area Community Center -- ESL 9/8/20</t>
  </si>
  <si>
    <t>Teacher list</t>
  </si>
  <si>
    <t xml:space="preserve">Mark 'y' next to the word you hear, </t>
  </si>
  <si>
    <t>then TAB to the next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</si>
</sst>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1"/>
      <name val="Bodoni MT"/>
      <family val="1"/>
    </font>
    <font>
      <sz val="18"/>
      <color theme="1"/>
      <name val="Bodoni MT"/>
      <family val="1"/>
    </font>
    <font>
      <sz val="16"/>
      <color theme="0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76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20" fillId="2" borderId="0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1" fontId="1" fillId="0" borderId="0" xfId="0" applyNumberFormat="1" applyFont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24" fillId="0" borderId="1" xfId="0" applyFont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left"/>
      <protection locked="0"/>
    </xf>
    <xf numFmtId="9" fontId="19" fillId="0" borderId="0" xfId="2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9" fontId="1" fillId="2" borderId="0" xfId="2" applyFont="1" applyFill="1" applyAlignment="1" applyProtection="1">
      <alignment horizontal="right"/>
    </xf>
    <xf numFmtId="0" fontId="31" fillId="0" borderId="0" xfId="0" applyFont="1"/>
    <xf numFmtId="0" fontId="5" fillId="0" borderId="0" xfId="0" applyFont="1"/>
    <xf numFmtId="0" fontId="32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13" fillId="0" borderId="0" xfId="0" applyFont="1" applyAlignment="1" applyProtection="1"/>
    <xf numFmtId="0" fontId="3" fillId="0" borderId="0" xfId="0" applyFont="1" applyAlignment="1" applyProtection="1">
      <alignment horizontal="left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/>
    <xf numFmtId="0" fontId="9" fillId="0" borderId="2" xfId="1" applyBorder="1" applyAlignment="1" applyProtection="1">
      <alignment horizontal="left"/>
      <protection locked="0"/>
    </xf>
    <xf numFmtId="0" fontId="9" fillId="0" borderId="0" xfId="1" applyBorder="1" applyProtection="1">
      <protection locked="0"/>
    </xf>
    <xf numFmtId="0" fontId="2" fillId="0" borderId="0" xfId="0" applyFont="1" applyBorder="1"/>
    <xf numFmtId="0" fontId="0" fillId="0" borderId="0" xfId="0" applyBorder="1" applyAlignment="1">
      <alignment horizontal="left"/>
    </xf>
    <xf numFmtId="0" fontId="20" fillId="0" borderId="0" xfId="0" applyFont="1" applyBorder="1" applyProtection="1"/>
    <xf numFmtId="0" fontId="0" fillId="0" borderId="0" xfId="0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0" fontId="0" fillId="0" borderId="0" xfId="0" applyBorder="1" applyProtection="1"/>
    <xf numFmtId="0" fontId="0" fillId="2" borderId="0" xfId="0" applyFill="1" applyBorder="1" applyAlignment="1" applyProtection="1">
      <alignment horizontal="center"/>
    </xf>
    <xf numFmtId="0" fontId="0" fillId="2" borderId="0" xfId="0" applyFill="1" applyBorder="1" applyProtection="1"/>
    <xf numFmtId="0" fontId="2" fillId="0" borderId="0" xfId="0" applyFont="1" applyBorder="1" applyProtection="1"/>
    <xf numFmtId="0" fontId="5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9" fillId="0" borderId="0" xfId="1" applyBorder="1" applyAlignment="1" applyProtection="1">
      <alignment horizontal="left"/>
    </xf>
    <xf numFmtId="1" fontId="11" fillId="0" borderId="0" xfId="0" applyNumberFormat="1" applyFont="1" applyBorder="1" applyAlignment="1" applyProtection="1">
      <alignment horizontal="center"/>
    </xf>
    <xf numFmtId="0" fontId="11" fillId="0" borderId="0" xfId="0" applyFont="1" applyBorder="1" applyProtection="1"/>
    <xf numFmtId="0" fontId="10" fillId="0" borderId="0" xfId="0" applyFont="1" applyBorder="1" applyAlignment="1" applyProtection="1">
      <alignment horizontal="left"/>
    </xf>
    <xf numFmtId="0" fontId="10" fillId="0" borderId="0" xfId="0" applyFont="1" applyBorder="1" applyProtection="1"/>
    <xf numFmtId="0" fontId="0" fillId="0" borderId="0" xfId="0" applyBorder="1" applyAlignment="1" applyProtection="1">
      <alignment horizontal="center"/>
    </xf>
    <xf numFmtId="0" fontId="11" fillId="0" borderId="0" xfId="0" applyFont="1" applyBorder="1" applyAlignment="1" applyProtection="1">
      <alignment horizontal="right"/>
    </xf>
    <xf numFmtId="0" fontId="18" fillId="0" borderId="0" xfId="0" applyFont="1" applyBorder="1" applyAlignment="1" applyProtection="1">
      <alignment horizontal="center"/>
    </xf>
    <xf numFmtId="0" fontId="25" fillId="0" borderId="0" xfId="0" applyFont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1" fontId="0" fillId="0" borderId="0" xfId="0" applyNumberFormat="1" applyFont="1" applyBorder="1" applyAlignment="1">
      <alignment horizontal="center"/>
    </xf>
    <xf numFmtId="9" fontId="8" fillId="0" borderId="0" xfId="2" applyFont="1" applyBorder="1" applyAlignment="1">
      <alignment horizontal="center"/>
    </xf>
    <xf numFmtId="1" fontId="5" fillId="0" borderId="0" xfId="0" applyNumberFormat="1" applyFont="1" applyBorder="1" applyAlignment="1" applyProtection="1">
      <alignment horizontal="center"/>
    </xf>
    <xf numFmtId="0" fontId="5" fillId="0" borderId="0" xfId="0" applyFont="1" applyBorder="1" applyProtection="1"/>
    <xf numFmtId="0" fontId="5" fillId="0" borderId="0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 applyProtection="1">
      <alignment horizontal="center"/>
    </xf>
    <xf numFmtId="0" fontId="35" fillId="5" borderId="3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1" fillId="3" borderId="4" xfId="0" applyFont="1" applyFill="1" applyBorder="1" applyAlignment="1" applyProtection="1">
      <alignment horizontal="center"/>
      <protection locked="0"/>
    </xf>
    <xf numFmtId="0" fontId="24" fillId="0" borderId="5" xfId="0" applyFont="1" applyBorder="1" applyAlignment="1">
      <alignment horizontal="center" vertical="center" wrapText="1"/>
    </xf>
    <xf numFmtId="0" fontId="1" fillId="3" borderId="5" xfId="0" applyFont="1" applyFill="1" applyBorder="1" applyAlignment="1" applyProtection="1">
      <alignment horizontal="center"/>
      <protection locked="0"/>
    </xf>
    <xf numFmtId="0" fontId="24" fillId="2" borderId="6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 applyProtection="1">
      <alignment horizontal="center"/>
      <protection locked="0"/>
    </xf>
    <xf numFmtId="0" fontId="7" fillId="2" borderId="7" xfId="0" applyFont="1" applyFill="1" applyBorder="1" applyAlignment="1" applyProtection="1">
      <alignment horizontal="left"/>
    </xf>
    <xf numFmtId="1" fontId="1" fillId="0" borderId="0" xfId="0" applyNumberFormat="1" applyFont="1" applyBorder="1" applyAlignment="1" applyProtection="1">
      <alignment wrapText="1"/>
    </xf>
    <xf numFmtId="0" fontId="0" fillId="2" borderId="0" xfId="0" applyFill="1" applyBorder="1" applyAlignment="1" applyProtection="1">
      <alignment wrapText="1"/>
    </xf>
    <xf numFmtId="0" fontId="5" fillId="0" borderId="0" xfId="0" applyFont="1" applyBorder="1" applyAlignment="1" applyProtection="1">
      <alignment horizontal="left" wrapText="1"/>
    </xf>
    <xf numFmtId="1" fontId="1" fillId="0" borderId="0" xfId="0" applyNumberFormat="1" applyFont="1" applyBorder="1" applyAlignment="1" applyProtection="1">
      <alignment horizontal="center" vertical="top" wrapText="1"/>
    </xf>
    <xf numFmtId="1" fontId="1" fillId="0" borderId="0" xfId="0" applyNumberFormat="1" applyFont="1" applyAlignment="1" applyProtection="1">
      <alignment horizontal="right"/>
    </xf>
    <xf numFmtId="1" fontId="34" fillId="0" borderId="0" xfId="0" applyNumberFormat="1" applyFont="1" applyAlignment="1">
      <alignment horizontal="left"/>
    </xf>
    <xf numFmtId="1" fontId="33" fillId="0" borderId="0" xfId="0" quotePrefix="1" applyNumberFormat="1" applyFont="1" applyAlignment="1">
      <alignment horizontal="right" vertical="center"/>
    </xf>
    <xf numFmtId="0" fontId="3" fillId="0" borderId="0" xfId="0" applyFont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1" fontId="1" fillId="0" borderId="0" xfId="0" applyNumberFormat="1" applyFont="1" applyBorder="1" applyAlignment="1" applyProtection="1">
      <alignment horizontal="left" vertical="top" wrapText="1"/>
    </xf>
    <xf numFmtId="1" fontId="1" fillId="0" borderId="0" xfId="0" applyNumberFormat="1" applyFont="1" applyBorder="1" applyAlignment="1" applyProtection="1">
      <alignment horizontal="center" vertical="top" wrapText="1"/>
    </xf>
    <xf numFmtId="1" fontId="1" fillId="0" borderId="0" xfId="0" applyNumberFormat="1" applyFont="1" applyAlignment="1" applyProtection="1">
      <alignment horizontal="center"/>
    </xf>
    <xf numFmtId="0" fontId="1" fillId="3" borderId="0" xfId="0" applyFont="1" applyFill="1" applyAlignment="1">
      <alignment horizontal="right"/>
    </xf>
    <xf numFmtId="0" fontId="1" fillId="0" borderId="0" xfId="0" applyFont="1" applyAlignment="1">
      <alignment horizontal="center"/>
    </xf>
    <xf numFmtId="0" fontId="13" fillId="0" borderId="0" xfId="0" applyFont="1" applyAlignment="1" applyProtection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907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C0C0C0"/>
      <color rgb="FFEAEAEA"/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BGMDmaster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MD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V51"/>
  <sheetViews>
    <sheetView showGridLines="0" tabSelected="1" topLeftCell="A27" workbookViewId="0">
      <selection activeCell="F36" sqref="F36"/>
    </sheetView>
  </sheetViews>
  <sheetFormatPr defaultRowHeight="21" x14ac:dyDescent="0.4"/>
  <cols>
    <col min="1" max="1" width="12.77734375" customWidth="1"/>
    <col min="2" max="2" width="7" style="16" customWidth="1"/>
    <col min="3" max="3" width="3.44140625" customWidth="1"/>
    <col min="4" max="4" width="3.33203125" customWidth="1"/>
    <col min="5" max="5" width="3" customWidth="1"/>
    <col min="6" max="7" width="15.5546875" style="57" customWidth="1"/>
    <col min="8" max="8" width="16.44140625" style="41" customWidth="1"/>
    <col min="9" max="9" width="5.77734375" style="38" customWidth="1"/>
    <col min="10" max="10" width="3.44140625" style="19" customWidth="1"/>
    <col min="11" max="11" width="9.109375" style="20" customWidth="1"/>
    <col min="12" max="12" width="3.44140625" style="10" customWidth="1"/>
    <col min="13" max="13" width="3.44140625" style="19" customWidth="1"/>
    <col min="14" max="14" width="9.109375" style="14" customWidth="1"/>
    <col min="15" max="15" width="6.77734375" customWidth="1"/>
    <col min="16" max="16" width="10.21875" style="10" customWidth="1"/>
    <col min="17" max="17" width="8.88671875" style="13"/>
  </cols>
  <sheetData>
    <row r="1" spans="1:22" ht="23.4" x14ac:dyDescent="0.45">
      <c r="A1" s="38" t="s">
        <v>93</v>
      </c>
      <c r="B1" s="164" t="s">
        <v>94</v>
      </c>
      <c r="C1" s="164"/>
      <c r="D1" s="164"/>
      <c r="E1" s="164"/>
      <c r="F1" s="164"/>
      <c r="G1" s="164"/>
      <c r="H1" s="94" t="s">
        <v>83</v>
      </c>
      <c r="I1" s="118" t="s">
        <v>84</v>
      </c>
    </row>
    <row r="2" spans="1:22" x14ac:dyDescent="0.4">
      <c r="B2" s="165" t="s">
        <v>95</v>
      </c>
      <c r="C2" s="165"/>
      <c r="D2" s="165"/>
      <c r="E2" s="165"/>
      <c r="F2" s="165"/>
    </row>
    <row r="3" spans="1:22" s="21" customFormat="1" ht="21" customHeight="1" x14ac:dyDescent="0.4">
      <c r="A3" s="59"/>
      <c r="B3" s="60"/>
      <c r="D3" s="61"/>
      <c r="E3" s="62" t="s">
        <v>1</v>
      </c>
      <c r="F3" s="63"/>
      <c r="G3" s="63"/>
      <c r="H3" s="41"/>
      <c r="I3" s="76"/>
      <c r="J3" s="66"/>
      <c r="K3" s="67"/>
      <c r="L3" s="65"/>
      <c r="P3" s="64"/>
      <c r="Q3" s="64"/>
      <c r="R3" s="29" t="s">
        <v>46</v>
      </c>
      <c r="S3" s="64"/>
      <c r="T3" s="64"/>
    </row>
    <row r="4" spans="1:22" s="22" customFormat="1" ht="21" customHeight="1" x14ac:dyDescent="0.45">
      <c r="A4" s="95"/>
      <c r="B4" s="166" t="s">
        <v>78</v>
      </c>
      <c r="C4" s="166"/>
      <c r="D4" s="166"/>
      <c r="E4" s="166"/>
      <c r="F4" s="166"/>
      <c r="G4" s="166"/>
      <c r="H4" s="166"/>
      <c r="I4" s="166"/>
      <c r="J4" s="114"/>
      <c r="K4" s="114"/>
      <c r="L4" s="68"/>
      <c r="M4" s="69"/>
      <c r="N4" s="68"/>
      <c r="O4" s="68"/>
      <c r="P4" s="68"/>
      <c r="Q4" s="70"/>
      <c r="R4" s="71"/>
      <c r="S4" s="71"/>
      <c r="T4" s="71"/>
    </row>
    <row r="5" spans="1:22" s="23" customFormat="1" ht="21" customHeight="1" x14ac:dyDescent="0.35">
      <c r="A5" s="72"/>
      <c r="J5" s="117"/>
      <c r="K5" s="117"/>
      <c r="L5" s="117"/>
      <c r="M5" s="117"/>
      <c r="N5" s="117"/>
      <c r="O5" s="72"/>
      <c r="P5" s="6"/>
      <c r="Q5" s="74"/>
      <c r="R5" s="72"/>
      <c r="S5" s="72"/>
      <c r="T5" s="72"/>
    </row>
    <row r="6" spans="1:22" x14ac:dyDescent="0.4">
      <c r="A6" s="1"/>
      <c r="B6" s="15"/>
      <c r="C6" s="3"/>
      <c r="D6" s="3"/>
      <c r="E6" s="3"/>
      <c r="F6" s="56"/>
      <c r="G6" s="56"/>
      <c r="I6" s="4"/>
      <c r="J6" s="17"/>
      <c r="K6" s="37"/>
      <c r="L6" s="5"/>
      <c r="M6" s="17"/>
      <c r="N6" s="36"/>
      <c r="O6" s="7"/>
      <c r="P6" s="5"/>
      <c r="Q6" s="11"/>
      <c r="R6" s="2"/>
      <c r="S6" s="2"/>
      <c r="T6" s="2"/>
    </row>
    <row r="7" spans="1:22" x14ac:dyDescent="0.4">
      <c r="A7" s="163" t="s">
        <v>0</v>
      </c>
      <c r="B7" s="163"/>
      <c r="C7" s="163"/>
      <c r="D7" s="163"/>
      <c r="E7" s="163"/>
      <c r="F7" s="56"/>
      <c r="G7" s="56"/>
      <c r="H7" s="76"/>
      <c r="I7" s="4"/>
      <c r="J7" s="17"/>
      <c r="K7" s="37"/>
      <c r="L7" s="5"/>
      <c r="M7" s="17"/>
      <c r="N7" s="1"/>
      <c r="O7" s="2"/>
      <c r="P7" s="5"/>
      <c r="Q7" s="11"/>
      <c r="R7" s="2"/>
      <c r="S7" s="2"/>
      <c r="T7" s="2"/>
    </row>
    <row r="8" spans="1:22" x14ac:dyDescent="0.4">
      <c r="A8" s="75"/>
      <c r="B8" s="49"/>
      <c r="C8" s="75"/>
      <c r="D8" s="75"/>
      <c r="E8" s="75"/>
      <c r="F8" s="56"/>
      <c r="G8" s="56"/>
      <c r="I8" s="4"/>
      <c r="J8" s="17"/>
      <c r="K8" s="37"/>
      <c r="L8" s="5"/>
      <c r="M8" s="17"/>
      <c r="N8" s="1"/>
      <c r="O8" s="2"/>
      <c r="P8" s="5"/>
      <c r="Q8" s="11"/>
      <c r="R8" s="2"/>
      <c r="S8" s="2"/>
      <c r="T8" s="2"/>
    </row>
    <row r="9" spans="1:22" x14ac:dyDescent="0.4">
      <c r="A9" s="48"/>
      <c r="B9" s="49" t="str">
        <f>CONCATENATE(B8+1,".")</f>
        <v>1.</v>
      </c>
      <c r="C9" s="55" t="s">
        <v>4</v>
      </c>
      <c r="D9" s="27" t="s">
        <v>3</v>
      </c>
      <c r="E9" s="55" t="s">
        <v>2</v>
      </c>
      <c r="F9" s="54" t="str">
        <f>IF(CONCATENATE(C9,D9,E9)=H9,$E$3,"")</f>
        <v>√</v>
      </c>
      <c r="G9" s="54"/>
      <c r="H9" s="32" t="s">
        <v>49</v>
      </c>
      <c r="I9" s="31">
        <f>IF(F9=$E$3,1,0)</f>
        <v>1</v>
      </c>
      <c r="J9" s="34"/>
      <c r="K9" s="32"/>
      <c r="L9" s="41"/>
      <c r="M9" s="34"/>
      <c r="N9" s="32"/>
      <c r="O9" s="41"/>
      <c r="P9" s="9"/>
      <c r="Q9" s="28"/>
      <c r="R9" s="2"/>
      <c r="S9" s="18" t="s">
        <v>5</v>
      </c>
      <c r="T9" s="18" t="s">
        <v>6</v>
      </c>
      <c r="U9" s="18" t="s">
        <v>5</v>
      </c>
      <c r="V9" s="12" t="s">
        <v>33</v>
      </c>
    </row>
    <row r="10" spans="1:22" x14ac:dyDescent="0.4">
      <c r="A10" s="48"/>
      <c r="B10" s="49" t="str">
        <f t="shared" ref="B10:B42" si="0">CONCATENATE(B9+1,".")</f>
        <v>2.</v>
      </c>
      <c r="C10" s="58" t="str">
        <f>[1]!wwsInput()</f>
        <v/>
      </c>
      <c r="D10" s="27" t="s">
        <v>3</v>
      </c>
      <c r="E10" s="58" t="str">
        <f>[1]!wwsInput()</f>
        <v/>
      </c>
      <c r="F10" s="54" t="str">
        <f t="shared" ref="F10:F42" si="1">IF(CONCATENATE(C10,D10,E10)=H10,$E$3,"")</f>
        <v/>
      </c>
      <c r="G10" s="54"/>
      <c r="H10" s="32" t="s">
        <v>30</v>
      </c>
      <c r="I10" s="31">
        <f t="shared" ref="I10:I42" si="2">IF(F10=$E$3,1,0)</f>
        <v>0</v>
      </c>
      <c r="J10" s="34"/>
      <c r="K10" s="32"/>
      <c r="L10" s="41"/>
      <c r="M10" s="34"/>
      <c r="N10" s="32"/>
      <c r="O10" s="41"/>
      <c r="P10" s="9"/>
      <c r="Q10" s="28"/>
      <c r="R10" s="2"/>
      <c r="S10" s="18" t="s">
        <v>7</v>
      </c>
      <c r="T10" s="18" t="s">
        <v>8</v>
      </c>
      <c r="U10" s="18" t="s">
        <v>9</v>
      </c>
      <c r="V10" s="12" t="s">
        <v>25</v>
      </c>
    </row>
    <row r="11" spans="1:22" x14ac:dyDescent="0.4">
      <c r="A11" s="48"/>
      <c r="B11" s="49" t="str">
        <f t="shared" si="0"/>
        <v>3.</v>
      </c>
      <c r="C11" s="58" t="str">
        <f>[1]!wwsInput()</f>
        <v/>
      </c>
      <c r="D11" s="27" t="s">
        <v>3</v>
      </c>
      <c r="E11" s="58" t="str">
        <f>[1]!wwsInput()</f>
        <v/>
      </c>
      <c r="F11" s="54" t="str">
        <f t="shared" si="1"/>
        <v/>
      </c>
      <c r="G11" s="54"/>
      <c r="H11" s="32" t="s">
        <v>50</v>
      </c>
      <c r="I11" s="31">
        <f t="shared" si="2"/>
        <v>0</v>
      </c>
      <c r="J11" s="34"/>
      <c r="K11" s="32"/>
      <c r="L11" s="41"/>
      <c r="M11" s="34"/>
      <c r="N11" s="32"/>
      <c r="O11" s="41"/>
      <c r="P11" s="9"/>
      <c r="Q11" s="28"/>
      <c r="R11" s="2"/>
      <c r="S11" s="18" t="s">
        <v>9</v>
      </c>
      <c r="T11" s="18" t="s">
        <v>10</v>
      </c>
      <c r="U11" s="18" t="s">
        <v>7</v>
      </c>
      <c r="V11" s="12" t="s">
        <v>13</v>
      </c>
    </row>
    <row r="12" spans="1:22" x14ac:dyDescent="0.4">
      <c r="A12" s="48"/>
      <c r="B12" s="49" t="str">
        <f t="shared" si="0"/>
        <v>4.</v>
      </c>
      <c r="C12" s="58" t="str">
        <f>[1]!wwsInput()</f>
        <v/>
      </c>
      <c r="D12" s="27" t="s">
        <v>3</v>
      </c>
      <c r="E12" s="58" t="str">
        <f>[1]!wwsInput()</f>
        <v/>
      </c>
      <c r="F12" s="54" t="str">
        <f t="shared" si="1"/>
        <v/>
      </c>
      <c r="G12" s="54"/>
      <c r="H12" s="32" t="s">
        <v>5</v>
      </c>
      <c r="I12" s="31">
        <f t="shared" si="2"/>
        <v>0</v>
      </c>
      <c r="J12" s="34"/>
      <c r="K12" s="32"/>
      <c r="L12" s="41"/>
      <c r="M12" s="34"/>
      <c r="N12" s="32"/>
      <c r="O12" s="41"/>
      <c r="P12" s="9"/>
      <c r="Q12" s="28"/>
      <c r="R12" s="2"/>
      <c r="S12" s="18" t="s">
        <v>11</v>
      </c>
      <c r="T12" s="18" t="s">
        <v>12</v>
      </c>
      <c r="U12" s="18" t="s">
        <v>11</v>
      </c>
      <c r="V12" s="12" t="s">
        <v>8</v>
      </c>
    </row>
    <row r="13" spans="1:22" x14ac:dyDescent="0.4">
      <c r="A13" s="48"/>
      <c r="B13" s="49" t="str">
        <f t="shared" si="0"/>
        <v>5.</v>
      </c>
      <c r="C13" s="58" t="str">
        <f>[1]!wwsInput()</f>
        <v/>
      </c>
      <c r="D13" s="27" t="s">
        <v>3</v>
      </c>
      <c r="E13" s="58" t="str">
        <f>[1]!wwsInput()</f>
        <v/>
      </c>
      <c r="F13" s="54" t="str">
        <f t="shared" si="1"/>
        <v/>
      </c>
      <c r="G13" s="54"/>
      <c r="H13" s="32" t="s">
        <v>51</v>
      </c>
      <c r="I13" s="31">
        <f t="shared" si="2"/>
        <v>0</v>
      </c>
      <c r="J13" s="34"/>
      <c r="K13" s="32"/>
      <c r="L13" s="41"/>
      <c r="M13" s="34"/>
      <c r="N13" s="32"/>
      <c r="O13" s="41"/>
      <c r="P13" s="9"/>
      <c r="Q13" s="28"/>
      <c r="R13" s="2"/>
      <c r="S13" s="18" t="s">
        <v>13</v>
      </c>
      <c r="T13" s="18" t="s">
        <v>14</v>
      </c>
      <c r="U13" s="18" t="s">
        <v>26</v>
      </c>
      <c r="V13" s="12" t="s">
        <v>18</v>
      </c>
    </row>
    <row r="14" spans="1:22" x14ac:dyDescent="0.4">
      <c r="A14" s="1"/>
      <c r="B14" s="15" t="str">
        <f t="shared" si="0"/>
        <v>6.</v>
      </c>
      <c r="C14" s="58" t="str">
        <f>[1]!wwsInput()</f>
        <v/>
      </c>
      <c r="D14" s="27" t="s">
        <v>3</v>
      </c>
      <c r="E14" s="58" t="str">
        <f>[1]!wwsInput()</f>
        <v/>
      </c>
      <c r="F14" s="54" t="str">
        <f t="shared" si="1"/>
        <v/>
      </c>
      <c r="G14" s="54"/>
      <c r="H14" s="32" t="s">
        <v>52</v>
      </c>
      <c r="I14" s="31">
        <f t="shared" si="2"/>
        <v>0</v>
      </c>
      <c r="J14" s="34"/>
      <c r="K14" s="32"/>
      <c r="L14" s="41"/>
      <c r="M14" s="34"/>
      <c r="N14" s="32"/>
      <c r="O14" s="41"/>
      <c r="P14" s="9"/>
      <c r="Q14" s="28"/>
      <c r="R14" s="2"/>
      <c r="S14" s="18" t="s">
        <v>15</v>
      </c>
      <c r="T14" s="18" t="s">
        <v>16</v>
      </c>
      <c r="U14" s="18" t="s">
        <v>22</v>
      </c>
      <c r="V14" s="12" t="s">
        <v>31</v>
      </c>
    </row>
    <row r="15" spans="1:22" x14ac:dyDescent="0.4">
      <c r="A15" s="1"/>
      <c r="B15" s="15" t="str">
        <f t="shared" si="0"/>
        <v>7.</v>
      </c>
      <c r="C15" s="58" t="str">
        <f>[1]!wwsInput()</f>
        <v/>
      </c>
      <c r="D15" s="27" t="s">
        <v>3</v>
      </c>
      <c r="E15" s="58" t="str">
        <f>[1]!wwsInput()</f>
        <v/>
      </c>
      <c r="F15" s="54" t="str">
        <f t="shared" si="1"/>
        <v/>
      </c>
      <c r="G15" s="54"/>
      <c r="H15" s="32" t="s">
        <v>53</v>
      </c>
      <c r="I15" s="31">
        <f t="shared" si="2"/>
        <v>0</v>
      </c>
      <c r="J15" s="34"/>
      <c r="K15" s="32"/>
      <c r="L15" s="41"/>
      <c r="M15" s="34"/>
      <c r="N15" s="32"/>
      <c r="O15" s="41"/>
      <c r="P15" s="9"/>
      <c r="Q15" s="28"/>
      <c r="R15" s="2"/>
      <c r="S15" s="18" t="s">
        <v>17</v>
      </c>
      <c r="T15" s="18" t="s">
        <v>18</v>
      </c>
      <c r="U15" s="18" t="s">
        <v>20</v>
      </c>
      <c r="V15" s="12" t="s">
        <v>10</v>
      </c>
    </row>
    <row r="16" spans="1:22" x14ac:dyDescent="0.4">
      <c r="A16" s="1"/>
      <c r="B16" s="15" t="str">
        <f t="shared" si="0"/>
        <v>8.</v>
      </c>
      <c r="C16" s="58" t="str">
        <f>[1]!wwsInput()</f>
        <v/>
      </c>
      <c r="D16" s="27" t="s">
        <v>3</v>
      </c>
      <c r="E16" s="58" t="str">
        <f>[1]!wwsInput()</f>
        <v/>
      </c>
      <c r="F16" s="54" t="str">
        <f t="shared" si="1"/>
        <v/>
      </c>
      <c r="G16" s="54"/>
      <c r="H16" s="32" t="s">
        <v>54</v>
      </c>
      <c r="I16" s="31">
        <f t="shared" si="2"/>
        <v>0</v>
      </c>
      <c r="J16" s="34"/>
      <c r="K16" s="32"/>
      <c r="L16" s="41"/>
      <c r="M16" s="34"/>
      <c r="N16" s="32"/>
      <c r="O16" s="41"/>
      <c r="P16" s="9"/>
      <c r="Q16" s="28"/>
      <c r="R16" s="2"/>
      <c r="S16" s="18" t="s">
        <v>19</v>
      </c>
      <c r="T16" s="18" t="s">
        <v>20</v>
      </c>
      <c r="U16" s="18" t="s">
        <v>24</v>
      </c>
      <c r="V16" s="12" t="s">
        <v>21</v>
      </c>
    </row>
    <row r="17" spans="1:22" x14ac:dyDescent="0.4">
      <c r="A17" s="1"/>
      <c r="B17" s="15" t="str">
        <f t="shared" si="0"/>
        <v>9.</v>
      </c>
      <c r="C17" s="58" t="str">
        <f>[1]!wwsInput()</f>
        <v/>
      </c>
      <c r="D17" s="27" t="s">
        <v>3</v>
      </c>
      <c r="E17" s="58" t="str">
        <f>[1]!wwsInput()</f>
        <v/>
      </c>
      <c r="F17" s="54" t="str">
        <f t="shared" si="1"/>
        <v/>
      </c>
      <c r="G17" s="54"/>
      <c r="H17" s="32" t="s">
        <v>55</v>
      </c>
      <c r="I17" s="31">
        <f t="shared" si="2"/>
        <v>0</v>
      </c>
      <c r="J17" s="34"/>
      <c r="K17" s="32"/>
      <c r="L17" s="41"/>
      <c r="M17" s="34"/>
      <c r="N17" s="32"/>
      <c r="O17" s="41"/>
      <c r="P17" s="9"/>
      <c r="Q17" s="28"/>
      <c r="R17" s="2"/>
      <c r="S17" s="18" t="s">
        <v>20</v>
      </c>
      <c r="T17" s="18" t="s">
        <v>21</v>
      </c>
      <c r="U17" s="18" t="s">
        <v>17</v>
      </c>
      <c r="V17" s="12" t="s">
        <v>35</v>
      </c>
    </row>
    <row r="18" spans="1:22" x14ac:dyDescent="0.4">
      <c r="A18" s="1"/>
      <c r="B18" s="15" t="str">
        <f t="shared" si="0"/>
        <v>10.</v>
      </c>
      <c r="C18" s="58" t="str">
        <f>[1]!wwsInput()</f>
        <v/>
      </c>
      <c r="D18" s="27" t="s">
        <v>76</v>
      </c>
      <c r="E18" s="58" t="str">
        <f>[1]!wwsInput()</f>
        <v/>
      </c>
      <c r="F18" s="54" t="str">
        <f t="shared" si="1"/>
        <v/>
      </c>
      <c r="G18" s="54"/>
      <c r="H18" s="32" t="s">
        <v>56</v>
      </c>
      <c r="I18" s="31">
        <f t="shared" si="2"/>
        <v>0</v>
      </c>
      <c r="J18" s="34"/>
      <c r="K18" s="32"/>
      <c r="L18" s="41"/>
      <c r="M18" s="34"/>
      <c r="N18" s="32"/>
      <c r="O18" s="41"/>
      <c r="P18" s="9"/>
      <c r="Q18" s="28"/>
      <c r="R18" s="2"/>
      <c r="S18" s="18" t="s">
        <v>22</v>
      </c>
      <c r="T18" s="18" t="s">
        <v>23</v>
      </c>
      <c r="U18" s="18" t="s">
        <v>15</v>
      </c>
      <c r="V18" s="12" t="s">
        <v>40</v>
      </c>
    </row>
    <row r="19" spans="1:22" x14ac:dyDescent="0.4">
      <c r="A19" s="1"/>
      <c r="B19" s="15" t="str">
        <f t="shared" si="0"/>
        <v>11.</v>
      </c>
      <c r="C19" s="58" t="str">
        <f>[1]!wwsInput()</f>
        <v/>
      </c>
      <c r="D19" s="27" t="s">
        <v>76</v>
      </c>
      <c r="E19" s="58" t="str">
        <f>[1]!wwsInput()</f>
        <v/>
      </c>
      <c r="F19" s="54" t="str">
        <f t="shared" si="1"/>
        <v/>
      </c>
      <c r="G19" s="54"/>
      <c r="H19" s="32" t="s">
        <v>57</v>
      </c>
      <c r="I19" s="31">
        <f t="shared" si="2"/>
        <v>0</v>
      </c>
      <c r="J19" s="34"/>
      <c r="K19" s="32"/>
      <c r="L19" s="41"/>
      <c r="M19" s="34"/>
      <c r="N19" s="32"/>
      <c r="O19" s="41"/>
      <c r="P19" s="9"/>
      <c r="Q19" s="28"/>
      <c r="R19" s="2"/>
      <c r="S19" s="18" t="s">
        <v>24</v>
      </c>
      <c r="T19" s="18" t="s">
        <v>25</v>
      </c>
      <c r="U19" s="18" t="s">
        <v>19</v>
      </c>
      <c r="V19" s="12" t="s">
        <v>8</v>
      </c>
    </row>
    <row r="20" spans="1:22" x14ac:dyDescent="0.4">
      <c r="A20" s="1"/>
      <c r="B20" s="15" t="str">
        <f t="shared" si="0"/>
        <v>12.</v>
      </c>
      <c r="C20" s="58" t="str">
        <f>[1]!wwsInput()</f>
        <v/>
      </c>
      <c r="D20" s="27" t="s">
        <v>76</v>
      </c>
      <c r="E20" s="58" t="str">
        <f>[1]!wwsInput()</f>
        <v/>
      </c>
      <c r="F20" s="54" t="str">
        <f t="shared" si="1"/>
        <v/>
      </c>
      <c r="G20" s="54"/>
      <c r="H20" s="32" t="s">
        <v>58</v>
      </c>
      <c r="I20" s="31">
        <f t="shared" si="2"/>
        <v>0</v>
      </c>
      <c r="J20" s="34"/>
      <c r="K20" s="32"/>
      <c r="L20" s="41"/>
      <c r="M20" s="34"/>
      <c r="N20" s="32"/>
      <c r="O20" s="41"/>
      <c r="P20" s="9"/>
      <c r="Q20" s="28"/>
      <c r="R20" s="2"/>
      <c r="S20" s="18" t="s">
        <v>26</v>
      </c>
      <c r="T20" s="18" t="s">
        <v>27</v>
      </c>
      <c r="U20" s="18" t="s">
        <v>13</v>
      </c>
      <c r="V20" s="12" t="s">
        <v>26</v>
      </c>
    </row>
    <row r="21" spans="1:22" x14ac:dyDescent="0.4">
      <c r="A21" s="1"/>
      <c r="B21" s="15" t="str">
        <f t="shared" si="0"/>
        <v>13.</v>
      </c>
      <c r="C21" s="58" t="str">
        <f>[1]!wwsInput()</f>
        <v/>
      </c>
      <c r="D21" s="27" t="s">
        <v>41</v>
      </c>
      <c r="E21" s="58" t="str">
        <f>[1]!wwsInput()</f>
        <v/>
      </c>
      <c r="F21" s="54" t="str">
        <f t="shared" si="1"/>
        <v/>
      </c>
      <c r="G21" s="54"/>
      <c r="H21" s="32" t="s">
        <v>59</v>
      </c>
      <c r="I21" s="31">
        <f t="shared" si="2"/>
        <v>0</v>
      </c>
      <c r="J21" s="34"/>
      <c r="K21" s="32"/>
      <c r="L21" s="41"/>
      <c r="M21" s="34"/>
      <c r="N21" s="32"/>
      <c r="O21" s="41"/>
      <c r="P21" s="9"/>
      <c r="Q21" s="28"/>
      <c r="R21" s="2"/>
      <c r="S21" s="18" t="s">
        <v>28</v>
      </c>
      <c r="T21" s="18" t="s">
        <v>29</v>
      </c>
      <c r="U21" s="18" t="s">
        <v>36</v>
      </c>
      <c r="V21" s="12" t="s">
        <v>12</v>
      </c>
    </row>
    <row r="22" spans="1:22" x14ac:dyDescent="0.4">
      <c r="A22" s="1"/>
      <c r="B22" s="15" t="str">
        <f t="shared" si="0"/>
        <v>14.</v>
      </c>
      <c r="C22" s="58" t="str">
        <f>[1]!wwsInput()</f>
        <v/>
      </c>
      <c r="D22" s="27" t="s">
        <v>42</v>
      </c>
      <c r="E22" s="58" t="str">
        <f>[1]!wwsInput()</f>
        <v/>
      </c>
      <c r="F22" s="54" t="str">
        <f t="shared" si="1"/>
        <v/>
      </c>
      <c r="G22" s="54"/>
      <c r="H22" s="32" t="s">
        <v>60</v>
      </c>
      <c r="I22" s="31">
        <f t="shared" si="2"/>
        <v>0</v>
      </c>
      <c r="J22" s="34"/>
      <c r="K22" s="32"/>
      <c r="L22" s="41"/>
      <c r="M22" s="34"/>
      <c r="N22" s="32"/>
      <c r="O22" s="41"/>
      <c r="P22" s="9"/>
      <c r="Q22" s="28"/>
      <c r="R22" s="2"/>
      <c r="S22" s="18" t="s">
        <v>30</v>
      </c>
      <c r="T22" s="18" t="s">
        <v>31</v>
      </c>
      <c r="U22" s="18" t="s">
        <v>37</v>
      </c>
      <c r="V22" s="12" t="s">
        <v>16</v>
      </c>
    </row>
    <row r="23" spans="1:22" x14ac:dyDescent="0.4">
      <c r="A23" s="1"/>
      <c r="B23" s="15" t="str">
        <f t="shared" si="0"/>
        <v>15.</v>
      </c>
      <c r="C23" s="58" t="str">
        <f>[1]!wwsInput()</f>
        <v/>
      </c>
      <c r="D23" s="27" t="s">
        <v>41</v>
      </c>
      <c r="E23" s="58" t="str">
        <f>[1]!wwsInput()</f>
        <v/>
      </c>
      <c r="F23" s="54" t="str">
        <f t="shared" si="1"/>
        <v/>
      </c>
      <c r="G23" s="54"/>
      <c r="H23" s="32" t="s">
        <v>61</v>
      </c>
      <c r="I23" s="31">
        <f t="shared" si="2"/>
        <v>0</v>
      </c>
      <c r="J23" s="34"/>
      <c r="K23" s="32"/>
      <c r="L23" s="41"/>
      <c r="M23" s="34"/>
      <c r="N23" s="32"/>
      <c r="O23" s="41"/>
      <c r="P23" s="9"/>
      <c r="Q23" s="28"/>
      <c r="R23" s="2"/>
      <c r="S23" s="18" t="s">
        <v>32</v>
      </c>
      <c r="T23" s="18" t="s">
        <v>33</v>
      </c>
      <c r="U23" s="18" t="s">
        <v>30</v>
      </c>
      <c r="V23" s="12" t="s">
        <v>23</v>
      </c>
    </row>
    <row r="24" spans="1:22" x14ac:dyDescent="0.4">
      <c r="A24" s="1"/>
      <c r="B24" s="15" t="str">
        <f t="shared" si="0"/>
        <v>16.</v>
      </c>
      <c r="C24" s="58" t="str">
        <f>[1]!wwsInput()</f>
        <v/>
      </c>
      <c r="D24" s="27" t="s">
        <v>41</v>
      </c>
      <c r="E24" s="58" t="str">
        <f>[1]!wwsInput()</f>
        <v/>
      </c>
      <c r="F24" s="54" t="str">
        <f t="shared" si="1"/>
        <v/>
      </c>
      <c r="G24" s="54"/>
      <c r="H24" s="32" t="s">
        <v>62</v>
      </c>
      <c r="I24" s="31">
        <f t="shared" si="2"/>
        <v>0</v>
      </c>
      <c r="J24" s="34"/>
      <c r="K24" s="32"/>
      <c r="L24" s="41"/>
      <c r="M24" s="34"/>
      <c r="N24" s="32"/>
      <c r="O24" s="41"/>
      <c r="P24" s="9"/>
      <c r="Q24" s="28"/>
      <c r="R24" s="2"/>
      <c r="S24" s="18" t="s">
        <v>34</v>
      </c>
      <c r="T24" s="18" t="s">
        <v>35</v>
      </c>
      <c r="U24" s="18" t="s">
        <v>28</v>
      </c>
      <c r="V24" s="12" t="s">
        <v>21</v>
      </c>
    </row>
    <row r="25" spans="1:22" x14ac:dyDescent="0.4">
      <c r="A25" s="1"/>
      <c r="B25" s="15" t="str">
        <f t="shared" si="0"/>
        <v>17.</v>
      </c>
      <c r="C25" s="58" t="str">
        <f>[1]!wwsInput()</f>
        <v/>
      </c>
      <c r="D25" s="27" t="s">
        <v>41</v>
      </c>
      <c r="E25" s="58" t="str">
        <f>[1]!wwsInput()</f>
        <v/>
      </c>
      <c r="F25" s="54" t="str">
        <f t="shared" si="1"/>
        <v/>
      </c>
      <c r="G25" s="54"/>
      <c r="H25" s="32" t="s">
        <v>31</v>
      </c>
      <c r="I25" s="31">
        <f t="shared" si="2"/>
        <v>0</v>
      </c>
      <c r="J25" s="34"/>
      <c r="K25" s="32"/>
      <c r="L25" s="41"/>
      <c r="M25" s="34"/>
      <c r="N25" s="32"/>
      <c r="O25" s="41"/>
      <c r="P25" s="9"/>
      <c r="Q25" s="28"/>
      <c r="R25" s="2"/>
      <c r="S25" s="18" t="s">
        <v>36</v>
      </c>
      <c r="T25" s="18" t="s">
        <v>13</v>
      </c>
      <c r="U25" s="18" t="s">
        <v>39</v>
      </c>
      <c r="V25" s="12" t="s">
        <v>27</v>
      </c>
    </row>
    <row r="26" spans="1:22" x14ac:dyDescent="0.4">
      <c r="A26" s="1"/>
      <c r="B26" s="15" t="str">
        <f t="shared" si="0"/>
        <v>18.</v>
      </c>
      <c r="C26" s="58" t="str">
        <f>[1]!wwsInput()</f>
        <v/>
      </c>
      <c r="D26" s="27" t="s">
        <v>41</v>
      </c>
      <c r="E26" s="58" t="str">
        <f>[1]!wwsInput()</f>
        <v/>
      </c>
      <c r="F26" s="54" t="str">
        <f t="shared" si="1"/>
        <v/>
      </c>
      <c r="G26" s="54"/>
      <c r="H26" s="32" t="s">
        <v>63</v>
      </c>
      <c r="I26" s="31">
        <f t="shared" si="2"/>
        <v>0</v>
      </c>
      <c r="J26" s="34"/>
      <c r="K26" s="32"/>
      <c r="L26" s="41"/>
      <c r="M26" s="34"/>
      <c r="N26" s="32"/>
      <c r="O26" s="41"/>
      <c r="P26" s="9"/>
      <c r="Q26" s="28"/>
      <c r="R26" s="2"/>
      <c r="S26" s="18" t="s">
        <v>37</v>
      </c>
      <c r="T26" s="18" t="s">
        <v>26</v>
      </c>
      <c r="U26" s="18" t="s">
        <v>38</v>
      </c>
      <c r="V26" s="12" t="s">
        <v>13</v>
      </c>
    </row>
    <row r="27" spans="1:22" x14ac:dyDescent="0.4">
      <c r="A27" s="1"/>
      <c r="B27" s="15" t="str">
        <f t="shared" si="0"/>
        <v>19.</v>
      </c>
      <c r="C27" s="58" t="str">
        <f>[1]!wwsInput()</f>
        <v/>
      </c>
      <c r="D27" s="27" t="s">
        <v>41</v>
      </c>
      <c r="E27" s="58" t="str">
        <f>[1]!wwsInput()</f>
        <v/>
      </c>
      <c r="F27" s="54" t="str">
        <f t="shared" si="1"/>
        <v/>
      </c>
      <c r="G27" s="54"/>
      <c r="H27" s="32" t="s">
        <v>64</v>
      </c>
      <c r="I27" s="31">
        <f t="shared" si="2"/>
        <v>0</v>
      </c>
      <c r="J27" s="34"/>
      <c r="K27" s="32"/>
      <c r="L27" s="41"/>
      <c r="M27" s="34"/>
      <c r="N27" s="32"/>
      <c r="O27" s="41"/>
      <c r="P27" s="9"/>
      <c r="Q27" s="28"/>
      <c r="R27" s="2"/>
      <c r="S27" s="18" t="s">
        <v>38</v>
      </c>
      <c r="T27" s="18" t="s">
        <v>8</v>
      </c>
      <c r="U27" s="18" t="s">
        <v>34</v>
      </c>
      <c r="V27" s="12" t="s">
        <v>20</v>
      </c>
    </row>
    <row r="28" spans="1:22" x14ac:dyDescent="0.4">
      <c r="A28" s="1"/>
      <c r="B28" s="15" t="str">
        <f t="shared" si="0"/>
        <v>20.</v>
      </c>
      <c r="C28" s="58" t="str">
        <f>[1]!wwsInput()</f>
        <v/>
      </c>
      <c r="D28" s="27" t="s">
        <v>41</v>
      </c>
      <c r="E28" s="58" t="str">
        <f>[1]!wwsInput()</f>
        <v/>
      </c>
      <c r="F28" s="54" t="str">
        <f t="shared" si="1"/>
        <v/>
      </c>
      <c r="G28" s="54"/>
      <c r="H28" s="32" t="s">
        <v>48</v>
      </c>
      <c r="I28" s="31">
        <f t="shared" si="2"/>
        <v>0</v>
      </c>
      <c r="J28" s="34"/>
      <c r="K28" s="32"/>
      <c r="L28" s="41"/>
      <c r="M28" s="34"/>
      <c r="N28" s="32"/>
      <c r="O28" s="41"/>
      <c r="P28" s="9"/>
      <c r="Q28" s="28"/>
      <c r="R28" s="2"/>
      <c r="S28" s="18" t="s">
        <v>39</v>
      </c>
      <c r="T28" s="18"/>
      <c r="U28" s="18" t="s">
        <v>32</v>
      </c>
      <c r="V28" s="12" t="s">
        <v>29</v>
      </c>
    </row>
    <row r="29" spans="1:22" x14ac:dyDescent="0.4">
      <c r="A29" s="2"/>
      <c r="B29" s="15" t="str">
        <f t="shared" si="0"/>
        <v>21.</v>
      </c>
      <c r="C29" s="58" t="str">
        <f>[1]!wwsInput()</f>
        <v/>
      </c>
      <c r="D29" s="27" t="s">
        <v>77</v>
      </c>
      <c r="E29" s="58" t="str">
        <f>[1]!wwsInput()</f>
        <v/>
      </c>
      <c r="F29" s="54" t="str">
        <f t="shared" si="1"/>
        <v/>
      </c>
      <c r="G29" s="54"/>
      <c r="H29" s="32" t="s">
        <v>65</v>
      </c>
      <c r="I29" s="31">
        <f t="shared" si="2"/>
        <v>0</v>
      </c>
      <c r="J29" s="17"/>
      <c r="K29" s="37"/>
      <c r="L29" s="5"/>
      <c r="M29" s="17"/>
      <c r="N29" s="1"/>
      <c r="O29" s="2"/>
      <c r="P29" s="5"/>
      <c r="Q29" s="11"/>
      <c r="R29" s="2"/>
      <c r="S29" s="2"/>
      <c r="T29" s="2"/>
    </row>
    <row r="30" spans="1:22" x14ac:dyDescent="0.4">
      <c r="A30" s="2"/>
      <c r="B30" s="15" t="str">
        <f t="shared" si="0"/>
        <v>22.</v>
      </c>
      <c r="C30" s="58" t="str">
        <f>[1]!wwsInput()</f>
        <v/>
      </c>
      <c r="D30" s="27" t="s">
        <v>77</v>
      </c>
      <c r="E30" s="58" t="str">
        <f>[1]!wwsInput()</f>
        <v/>
      </c>
      <c r="F30" s="54" t="str">
        <f t="shared" si="1"/>
        <v/>
      </c>
      <c r="G30" s="54"/>
      <c r="H30" s="32" t="s">
        <v>66</v>
      </c>
      <c r="I30" s="31">
        <f t="shared" si="2"/>
        <v>0</v>
      </c>
      <c r="J30" s="17"/>
      <c r="K30" s="37"/>
      <c r="L30" s="5"/>
      <c r="M30" s="17"/>
      <c r="N30" s="1"/>
      <c r="O30" s="2"/>
      <c r="P30" s="5"/>
      <c r="Q30" s="11"/>
      <c r="R30" s="2"/>
      <c r="S30" s="2"/>
      <c r="T30" s="2"/>
    </row>
    <row r="31" spans="1:22" x14ac:dyDescent="0.4">
      <c r="A31" s="2"/>
      <c r="B31" s="15" t="str">
        <f t="shared" si="0"/>
        <v>23.</v>
      </c>
      <c r="C31" s="58" t="str">
        <f>[1]!wwsInput()</f>
        <v/>
      </c>
      <c r="D31" s="27" t="s">
        <v>77</v>
      </c>
      <c r="E31" s="58" t="str">
        <f>[1]!wwsInput()</f>
        <v/>
      </c>
      <c r="F31" s="54" t="str">
        <f t="shared" si="1"/>
        <v/>
      </c>
      <c r="G31" s="54"/>
      <c r="H31" s="32" t="s">
        <v>67</v>
      </c>
      <c r="I31" s="31">
        <f t="shared" si="2"/>
        <v>0</v>
      </c>
      <c r="J31" s="17"/>
      <c r="K31" s="37"/>
      <c r="L31" s="5"/>
      <c r="M31" s="17"/>
      <c r="N31" s="1"/>
      <c r="O31" s="2"/>
      <c r="P31" s="5"/>
      <c r="Q31" s="11"/>
      <c r="R31" s="2"/>
      <c r="S31" s="2"/>
      <c r="T31" s="2"/>
    </row>
    <row r="32" spans="1:22" x14ac:dyDescent="0.4">
      <c r="A32" s="2"/>
      <c r="B32" s="15" t="str">
        <f t="shared" si="0"/>
        <v>24.</v>
      </c>
      <c r="C32" s="58" t="str">
        <f>[1]!wwsInput()</f>
        <v/>
      </c>
      <c r="D32" s="27" t="s">
        <v>77</v>
      </c>
      <c r="E32" s="58" t="str">
        <f>[1]!wwsInput()</f>
        <v/>
      </c>
      <c r="F32" s="54" t="str">
        <f t="shared" si="1"/>
        <v/>
      </c>
      <c r="G32" s="54"/>
      <c r="H32" s="32" t="s">
        <v>68</v>
      </c>
      <c r="I32" s="31">
        <f t="shared" si="2"/>
        <v>0</v>
      </c>
      <c r="J32" s="17"/>
      <c r="K32" s="37"/>
      <c r="L32" s="5"/>
      <c r="M32" s="17"/>
      <c r="N32" s="1"/>
      <c r="O32" s="2"/>
      <c r="P32" s="5"/>
      <c r="Q32" s="11"/>
      <c r="R32" s="2"/>
      <c r="S32" s="2"/>
      <c r="T32" s="2"/>
    </row>
    <row r="33" spans="1:20" x14ac:dyDescent="0.4">
      <c r="A33" s="2"/>
      <c r="B33" s="15" t="str">
        <f t="shared" si="0"/>
        <v>25.</v>
      </c>
      <c r="C33" s="58" t="str">
        <f>[1]!wwsInput()</f>
        <v/>
      </c>
      <c r="D33" s="27" t="s">
        <v>42</v>
      </c>
      <c r="E33" s="58" t="str">
        <f>[1]!wwsInput()</f>
        <v/>
      </c>
      <c r="F33" s="54" t="str">
        <f t="shared" si="1"/>
        <v/>
      </c>
      <c r="G33" s="54"/>
      <c r="H33" s="32" t="s">
        <v>69</v>
      </c>
      <c r="I33" s="31">
        <f t="shared" si="2"/>
        <v>0</v>
      </c>
      <c r="J33" s="17"/>
      <c r="K33" s="37"/>
      <c r="L33" s="5"/>
      <c r="M33" s="17"/>
      <c r="N33" s="1"/>
      <c r="O33" s="2"/>
      <c r="P33" s="5"/>
      <c r="Q33" s="11"/>
      <c r="R33" s="2"/>
      <c r="S33" s="2"/>
      <c r="T33" s="2"/>
    </row>
    <row r="34" spans="1:20" x14ac:dyDescent="0.4">
      <c r="A34" s="2"/>
      <c r="B34" s="15" t="str">
        <f t="shared" si="0"/>
        <v>26.</v>
      </c>
      <c r="C34" s="58" t="str">
        <f>[1]!wwsInput()</f>
        <v/>
      </c>
      <c r="D34" s="27" t="s">
        <v>42</v>
      </c>
      <c r="E34" s="58" t="str">
        <f>[1]!wwsInput()</f>
        <v/>
      </c>
      <c r="F34" s="54" t="str">
        <f t="shared" si="1"/>
        <v/>
      </c>
      <c r="G34" s="54"/>
      <c r="H34" s="32" t="s">
        <v>70</v>
      </c>
      <c r="I34" s="31">
        <f t="shared" si="2"/>
        <v>0</v>
      </c>
      <c r="J34" s="17"/>
      <c r="K34" s="37"/>
      <c r="L34" s="5"/>
      <c r="M34" s="17"/>
      <c r="N34" s="1"/>
      <c r="O34" s="2"/>
      <c r="P34" s="5"/>
      <c r="Q34" s="11"/>
      <c r="R34" s="2"/>
      <c r="S34" s="2"/>
      <c r="T34" s="2"/>
    </row>
    <row r="35" spans="1:20" x14ac:dyDescent="0.4">
      <c r="A35" s="2"/>
      <c r="B35" s="15" t="str">
        <f t="shared" si="0"/>
        <v>27.</v>
      </c>
      <c r="C35" s="58" t="str">
        <f>[1]!wwsInput()</f>
        <v/>
      </c>
      <c r="D35" s="27" t="s">
        <v>42</v>
      </c>
      <c r="E35" s="58" t="str">
        <f>[1]!wwsInput()</f>
        <v/>
      </c>
      <c r="F35" s="54" t="str">
        <f t="shared" si="1"/>
        <v/>
      </c>
      <c r="G35" s="54"/>
      <c r="H35" s="32" t="s">
        <v>71</v>
      </c>
      <c r="I35" s="31">
        <f t="shared" si="2"/>
        <v>0</v>
      </c>
      <c r="J35" s="17"/>
      <c r="K35" s="37"/>
      <c r="L35" s="5"/>
      <c r="M35" s="17"/>
      <c r="N35" s="1"/>
      <c r="O35" s="2"/>
      <c r="P35" s="5"/>
      <c r="Q35" s="11"/>
      <c r="R35" s="2"/>
      <c r="S35" s="2"/>
      <c r="T35" s="2"/>
    </row>
    <row r="36" spans="1:20" x14ac:dyDescent="0.4">
      <c r="A36" s="2"/>
      <c r="B36" s="15" t="str">
        <f t="shared" si="0"/>
        <v>28.</v>
      </c>
      <c r="C36" s="58" t="str">
        <f>[1]!wwsInput()</f>
        <v/>
      </c>
      <c r="D36" s="27" t="s">
        <v>42</v>
      </c>
      <c r="E36" s="58" t="str">
        <f>[1]!wwsInput()</f>
        <v/>
      </c>
      <c r="F36" s="54" t="str">
        <f t="shared" si="1"/>
        <v/>
      </c>
      <c r="G36" s="54"/>
      <c r="H36" s="32" t="s">
        <v>72</v>
      </c>
      <c r="I36" s="31">
        <f t="shared" si="2"/>
        <v>0</v>
      </c>
      <c r="J36" s="17"/>
      <c r="K36" s="37"/>
      <c r="L36" s="5"/>
      <c r="M36" s="17"/>
      <c r="N36" s="1"/>
      <c r="O36" s="2"/>
      <c r="P36" s="5"/>
      <c r="Q36" s="11"/>
      <c r="R36" s="2"/>
      <c r="S36" s="2"/>
      <c r="T36" s="2"/>
    </row>
    <row r="37" spans="1:20" x14ac:dyDescent="0.4">
      <c r="A37" s="2"/>
      <c r="B37" s="15" t="str">
        <f t="shared" si="0"/>
        <v>29.</v>
      </c>
      <c r="C37" s="58" t="str">
        <f>[1]!wwsInput()</f>
        <v/>
      </c>
      <c r="D37" s="27" t="s">
        <v>42</v>
      </c>
      <c r="E37" s="58" t="str">
        <f>[1]!wwsInput()</f>
        <v/>
      </c>
      <c r="F37" s="54" t="str">
        <f t="shared" si="1"/>
        <v/>
      </c>
      <c r="G37" s="54"/>
      <c r="H37" s="32" t="s">
        <v>28</v>
      </c>
      <c r="I37" s="31">
        <f t="shared" si="2"/>
        <v>0</v>
      </c>
      <c r="J37" s="17"/>
      <c r="K37" s="37"/>
      <c r="L37" s="5"/>
      <c r="M37" s="17"/>
      <c r="N37" s="1"/>
      <c r="O37" s="2"/>
      <c r="P37" s="5"/>
      <c r="Q37" s="11"/>
      <c r="R37" s="2"/>
      <c r="S37" s="2"/>
      <c r="T37" s="2"/>
    </row>
    <row r="38" spans="1:20" x14ac:dyDescent="0.4">
      <c r="A38" s="2"/>
      <c r="B38" s="15" t="str">
        <f t="shared" si="0"/>
        <v>30.</v>
      </c>
      <c r="C38" s="58" t="str">
        <f>[1]!wwsInput()</f>
        <v/>
      </c>
      <c r="D38" s="27" t="s">
        <v>42</v>
      </c>
      <c r="E38" s="58" t="str">
        <f>[1]!wwsInput()</f>
        <v/>
      </c>
      <c r="F38" s="54" t="str">
        <f t="shared" si="1"/>
        <v/>
      </c>
      <c r="G38" s="54"/>
      <c r="H38" s="32" t="s">
        <v>29</v>
      </c>
      <c r="I38" s="31">
        <f t="shared" si="2"/>
        <v>0</v>
      </c>
      <c r="J38" s="17"/>
      <c r="K38" s="37"/>
      <c r="L38" s="5"/>
      <c r="M38" s="17"/>
      <c r="N38" s="1"/>
      <c r="O38" s="2"/>
      <c r="P38" s="5"/>
      <c r="Q38" s="11"/>
      <c r="R38" s="2"/>
      <c r="S38" s="2"/>
      <c r="T38" s="2"/>
    </row>
    <row r="39" spans="1:20" x14ac:dyDescent="0.4">
      <c r="A39" s="2"/>
      <c r="B39" s="15" t="str">
        <f t="shared" si="0"/>
        <v>31.</v>
      </c>
      <c r="C39" s="58" t="str">
        <f>[1]!wwsInput()</f>
        <v/>
      </c>
      <c r="D39" s="27" t="s">
        <v>42</v>
      </c>
      <c r="E39" s="58" t="str">
        <f>[1]!wwsInput()</f>
        <v/>
      </c>
      <c r="F39" s="54" t="str">
        <f t="shared" si="1"/>
        <v/>
      </c>
      <c r="G39" s="54"/>
      <c r="H39" s="32" t="s">
        <v>73</v>
      </c>
      <c r="I39" s="31">
        <f t="shared" si="2"/>
        <v>0</v>
      </c>
      <c r="J39" s="17"/>
      <c r="K39" s="37"/>
      <c r="L39" s="5"/>
      <c r="M39" s="17"/>
      <c r="N39" s="1"/>
      <c r="O39" s="2"/>
      <c r="P39" s="5"/>
      <c r="Q39" s="11"/>
      <c r="R39" s="2"/>
      <c r="S39" s="2"/>
      <c r="T39" s="2"/>
    </row>
    <row r="40" spans="1:20" x14ac:dyDescent="0.4">
      <c r="A40" s="2"/>
      <c r="B40" s="15" t="str">
        <f t="shared" si="0"/>
        <v>32.</v>
      </c>
      <c r="C40" s="58" t="str">
        <f>[1]!wwsInput()</f>
        <v/>
      </c>
      <c r="D40" s="27" t="s">
        <v>42</v>
      </c>
      <c r="E40" s="58" t="str">
        <f>[1]!wwsInput()</f>
        <v/>
      </c>
      <c r="F40" s="54" t="str">
        <f t="shared" si="1"/>
        <v/>
      </c>
      <c r="G40" s="54"/>
      <c r="H40" s="32" t="s">
        <v>74</v>
      </c>
      <c r="I40" s="31">
        <f t="shared" si="2"/>
        <v>0</v>
      </c>
      <c r="J40" s="17"/>
      <c r="K40" s="37"/>
      <c r="L40" s="5"/>
      <c r="M40" s="17"/>
      <c r="N40" s="1"/>
      <c r="O40" s="2"/>
      <c r="P40" s="5"/>
      <c r="Q40" s="11"/>
      <c r="R40" s="2"/>
      <c r="S40" s="2"/>
      <c r="T40" s="2"/>
    </row>
    <row r="41" spans="1:20" x14ac:dyDescent="0.4">
      <c r="A41" s="2"/>
      <c r="B41" s="15" t="str">
        <f t="shared" si="0"/>
        <v>33.</v>
      </c>
      <c r="C41" s="58" t="str">
        <f>[1]!wwsInput()</f>
        <v/>
      </c>
      <c r="D41" s="27" t="s">
        <v>42</v>
      </c>
      <c r="E41" s="58" t="str">
        <f>[1]!wwsInput()</f>
        <v/>
      </c>
      <c r="F41" s="54" t="str">
        <f t="shared" si="1"/>
        <v/>
      </c>
      <c r="G41" s="54"/>
      <c r="H41" s="32" t="s">
        <v>7</v>
      </c>
      <c r="I41" s="31">
        <f t="shared" si="2"/>
        <v>0</v>
      </c>
      <c r="J41" s="17"/>
      <c r="K41" s="37"/>
      <c r="L41" s="5"/>
      <c r="M41" s="17"/>
      <c r="N41" s="1"/>
      <c r="O41" s="2"/>
      <c r="P41" s="5"/>
      <c r="Q41" s="11"/>
      <c r="R41" s="2"/>
      <c r="S41" s="2"/>
      <c r="T41" s="2"/>
    </row>
    <row r="42" spans="1:20" x14ac:dyDescent="0.4">
      <c r="A42" s="2"/>
      <c r="B42" s="15" t="str">
        <f t="shared" si="0"/>
        <v>34.</v>
      </c>
      <c r="C42" s="58" t="str">
        <f>[1]!wwsInput()</f>
        <v/>
      </c>
      <c r="D42" s="27" t="s">
        <v>42</v>
      </c>
      <c r="E42" s="58" t="str">
        <f>[1]!wwsInput()</f>
        <v/>
      </c>
      <c r="F42" s="54" t="str">
        <f t="shared" si="1"/>
        <v/>
      </c>
      <c r="G42" s="54"/>
      <c r="H42" s="32" t="s">
        <v>75</v>
      </c>
      <c r="I42" s="31">
        <f t="shared" si="2"/>
        <v>0</v>
      </c>
      <c r="J42" s="17"/>
      <c r="K42" s="37"/>
      <c r="L42" s="5"/>
      <c r="M42" s="17"/>
      <c r="N42" s="1"/>
      <c r="O42" s="2"/>
      <c r="P42" s="5"/>
      <c r="Q42" s="11"/>
      <c r="R42" s="2"/>
      <c r="S42" s="2"/>
      <c r="T42" s="2"/>
    </row>
    <row r="43" spans="1:20" x14ac:dyDescent="0.4">
      <c r="A43" s="2"/>
      <c r="B43" s="15"/>
      <c r="C43" s="2"/>
      <c r="D43" s="2"/>
      <c r="E43" s="2"/>
      <c r="F43" s="56"/>
      <c r="G43" s="56"/>
      <c r="H43" s="96">
        <f>SUM(I9:I42)/34</f>
        <v>2.9411764705882353E-2</v>
      </c>
      <c r="I43" s="4"/>
      <c r="J43" s="17"/>
      <c r="K43" s="78"/>
      <c r="L43" s="5"/>
      <c r="M43" s="17"/>
      <c r="N43" s="1"/>
      <c r="O43" s="2"/>
      <c r="P43" s="5"/>
      <c r="Q43" s="11"/>
      <c r="R43" s="2"/>
      <c r="S43" s="2"/>
      <c r="T43" s="2"/>
    </row>
    <row r="44" spans="1:20" x14ac:dyDescent="0.4">
      <c r="A44" s="2"/>
      <c r="B44" s="15"/>
      <c r="C44" s="2"/>
      <c r="D44" s="2"/>
      <c r="E44" s="2"/>
      <c r="F44" s="56"/>
      <c r="G44" s="56"/>
      <c r="I44" s="4"/>
      <c r="J44" s="17"/>
      <c r="K44" s="37"/>
      <c r="L44" s="5"/>
      <c r="M44" s="2" t="s">
        <v>43</v>
      </c>
      <c r="N44" s="1"/>
      <c r="O44" s="2"/>
      <c r="P44" s="5"/>
      <c r="Q44" s="11"/>
      <c r="S44" s="2"/>
      <c r="T44" s="2"/>
    </row>
    <row r="45" spans="1:20" x14ac:dyDescent="0.4">
      <c r="A45" s="2"/>
      <c r="B45" s="15"/>
      <c r="C45" s="2"/>
      <c r="D45" s="2"/>
      <c r="E45" s="2"/>
      <c r="F45" s="56"/>
      <c r="G45" s="56"/>
      <c r="I45" s="4"/>
      <c r="J45" s="17"/>
      <c r="K45" s="37"/>
      <c r="L45" s="5"/>
      <c r="M45" s="17"/>
      <c r="N45" s="1"/>
      <c r="O45" s="2"/>
      <c r="P45" s="5"/>
      <c r="Q45" s="11"/>
      <c r="R45" s="2"/>
      <c r="S45" s="2"/>
      <c r="T45" s="2"/>
    </row>
    <row r="46" spans="1:20" x14ac:dyDescent="0.4">
      <c r="A46" s="2"/>
      <c r="B46" s="15"/>
      <c r="C46" s="2"/>
      <c r="D46" s="2"/>
      <c r="E46" s="2"/>
      <c r="F46" s="56"/>
      <c r="G46" s="56"/>
      <c r="I46" s="4"/>
      <c r="J46" s="17"/>
      <c r="K46" s="37"/>
      <c r="L46" s="5"/>
      <c r="M46" s="17"/>
      <c r="N46" s="1"/>
      <c r="O46" s="2"/>
      <c r="P46" s="5"/>
      <c r="Q46" s="11"/>
      <c r="R46" s="2"/>
      <c r="S46" s="2"/>
      <c r="T46" s="2"/>
    </row>
    <row r="47" spans="1:20" x14ac:dyDescent="0.4">
      <c r="A47" s="2"/>
      <c r="B47" s="15"/>
      <c r="C47" s="2"/>
      <c r="D47" s="2"/>
      <c r="E47" s="2"/>
      <c r="F47" s="56"/>
      <c r="G47" s="56"/>
      <c r="I47" s="4"/>
      <c r="J47" s="17"/>
      <c r="K47" s="37"/>
      <c r="L47" s="5"/>
      <c r="M47" s="17"/>
      <c r="N47" s="1"/>
      <c r="O47" s="2"/>
      <c r="P47" s="5"/>
      <c r="Q47" s="11"/>
      <c r="R47" s="2"/>
      <c r="S47" s="2"/>
      <c r="T47" s="2"/>
    </row>
    <row r="48" spans="1:20" x14ac:dyDescent="0.4">
      <c r="A48" s="2"/>
      <c r="B48" s="15"/>
      <c r="C48" s="2"/>
      <c r="D48" s="2"/>
      <c r="E48" s="2"/>
      <c r="F48" s="56"/>
      <c r="G48" s="56"/>
      <c r="I48" s="4"/>
      <c r="J48" s="17"/>
      <c r="K48" s="37"/>
      <c r="L48" s="5"/>
      <c r="M48" s="17"/>
      <c r="N48" s="1"/>
      <c r="O48" s="2"/>
      <c r="P48" s="5"/>
      <c r="Q48" s="11"/>
      <c r="R48" s="2"/>
      <c r="S48" s="2"/>
      <c r="T48" s="2"/>
    </row>
    <row r="49" spans="1:20" x14ac:dyDescent="0.4">
      <c r="A49" s="2"/>
      <c r="B49" s="15"/>
      <c r="C49" s="2"/>
      <c r="D49" s="2"/>
      <c r="E49" s="2"/>
      <c r="F49" s="56"/>
      <c r="G49" s="56"/>
      <c r="I49" s="4"/>
      <c r="J49" s="17"/>
      <c r="K49" s="37"/>
      <c r="L49" s="5"/>
      <c r="M49" s="17"/>
      <c r="N49" s="1"/>
      <c r="O49" s="2"/>
      <c r="P49" s="5"/>
      <c r="Q49" s="11"/>
      <c r="R49" s="2"/>
      <c r="S49" s="2"/>
      <c r="T49" s="2"/>
    </row>
    <row r="50" spans="1:20" x14ac:dyDescent="0.4">
      <c r="A50" s="2"/>
      <c r="B50" s="15"/>
      <c r="C50" s="2"/>
      <c r="D50" s="2"/>
      <c r="E50" s="2"/>
      <c r="F50" s="56"/>
      <c r="G50" s="56"/>
      <c r="I50" s="4"/>
      <c r="J50" s="17"/>
      <c r="K50" s="37"/>
      <c r="L50" s="5"/>
      <c r="M50" s="17"/>
      <c r="N50" s="1"/>
      <c r="O50" s="2"/>
      <c r="P50" s="5"/>
      <c r="Q50" s="11"/>
      <c r="R50" s="2"/>
      <c r="S50" s="2"/>
      <c r="T50" s="2"/>
    </row>
    <row r="51" spans="1:20" x14ac:dyDescent="0.4">
      <c r="A51" s="2"/>
      <c r="B51" s="15"/>
      <c r="C51" s="2"/>
      <c r="D51" s="2"/>
      <c r="E51" s="2"/>
      <c r="F51" s="56"/>
      <c r="G51" s="56"/>
      <c r="I51" s="4"/>
      <c r="J51" s="17"/>
      <c r="K51" s="37"/>
      <c r="L51" s="5"/>
      <c r="M51" s="17"/>
      <c r="N51" s="1"/>
      <c r="O51" s="2"/>
      <c r="P51" s="5"/>
      <c r="Q51" s="11"/>
      <c r="R51" s="2"/>
      <c r="S51" s="2"/>
      <c r="T51" s="2"/>
    </row>
  </sheetData>
  <sheetProtection selectLockedCells="1"/>
  <mergeCells count="4">
    <mergeCell ref="A7:E7"/>
    <mergeCell ref="B1:G1"/>
    <mergeCell ref="B2:F2"/>
    <mergeCell ref="B4:I4"/>
  </mergeCells>
  <conditionalFormatting sqref="P23">
    <cfRule type="cellIs" dxfId="906" priority="523" operator="equal">
      <formula>"CORRECT !"</formula>
    </cfRule>
  </conditionalFormatting>
  <conditionalFormatting sqref="P22">
    <cfRule type="cellIs" dxfId="905" priority="524" operator="equal">
      <formula>"CORRECT !"</formula>
    </cfRule>
  </conditionalFormatting>
  <conditionalFormatting sqref="P24">
    <cfRule type="cellIs" dxfId="904" priority="522" operator="equal">
      <formula>"CORRECT !"</formula>
    </cfRule>
  </conditionalFormatting>
  <conditionalFormatting sqref="P26">
    <cfRule type="cellIs" dxfId="903" priority="520" operator="equal">
      <formula>"CORRECT !"</formula>
    </cfRule>
  </conditionalFormatting>
  <conditionalFormatting sqref="P12">
    <cfRule type="cellIs" dxfId="902" priority="534" operator="equal">
      <formula>"CORRECT !"</formula>
    </cfRule>
  </conditionalFormatting>
  <conditionalFormatting sqref="P14">
    <cfRule type="cellIs" dxfId="901" priority="532" operator="equal">
      <formula>"CORRECT !"</formula>
    </cfRule>
  </conditionalFormatting>
  <conditionalFormatting sqref="P16">
    <cfRule type="cellIs" dxfId="900" priority="530" operator="equal">
      <formula>"CORRECT !"</formula>
    </cfRule>
  </conditionalFormatting>
  <conditionalFormatting sqref="P18">
    <cfRule type="cellIs" dxfId="899" priority="528" operator="equal">
      <formula>"CORRECT !"</formula>
    </cfRule>
  </conditionalFormatting>
  <conditionalFormatting sqref="P20">
    <cfRule type="cellIs" dxfId="898" priority="526" operator="equal">
      <formula>"CORRECT !"</formula>
    </cfRule>
  </conditionalFormatting>
  <conditionalFormatting sqref="P25">
    <cfRule type="cellIs" dxfId="897" priority="521" operator="equal">
      <formula>"CORRECT !"</formula>
    </cfRule>
  </conditionalFormatting>
  <conditionalFormatting sqref="P11">
    <cfRule type="cellIs" dxfId="896" priority="535" operator="equal">
      <formula>"CORRECT !"</formula>
    </cfRule>
  </conditionalFormatting>
  <conditionalFormatting sqref="P13">
    <cfRule type="cellIs" dxfId="895" priority="533" operator="equal">
      <formula>"CORRECT !"</formula>
    </cfRule>
  </conditionalFormatting>
  <conditionalFormatting sqref="P15">
    <cfRule type="cellIs" dxfId="894" priority="531" operator="equal">
      <formula>"CORRECT !"</formula>
    </cfRule>
  </conditionalFormatting>
  <conditionalFormatting sqref="P17">
    <cfRule type="cellIs" dxfId="893" priority="529" operator="equal">
      <formula>"CORRECT !"</formula>
    </cfRule>
  </conditionalFormatting>
  <conditionalFormatting sqref="P19">
    <cfRule type="cellIs" dxfId="892" priority="527" operator="equal">
      <formula>"CORRECT !"</formula>
    </cfRule>
  </conditionalFormatting>
  <conditionalFormatting sqref="P21">
    <cfRule type="cellIs" dxfId="891" priority="525" operator="equal">
      <formula>"CORRECT !"</formula>
    </cfRule>
  </conditionalFormatting>
  <conditionalFormatting sqref="J22">
    <cfRule type="cellIs" dxfId="890" priority="504" operator="equal">
      <formula>"CORRECT !"</formula>
    </cfRule>
  </conditionalFormatting>
  <conditionalFormatting sqref="J23">
    <cfRule type="cellIs" dxfId="889" priority="503" operator="equal">
      <formula>"CORRECT !"</formula>
    </cfRule>
  </conditionalFormatting>
  <conditionalFormatting sqref="J24">
    <cfRule type="cellIs" dxfId="888" priority="502" operator="equal">
      <formula>"CORRECT !"</formula>
    </cfRule>
  </conditionalFormatting>
  <conditionalFormatting sqref="J25">
    <cfRule type="cellIs" dxfId="887" priority="501" operator="equal">
      <formula>"CORRECT !"</formula>
    </cfRule>
  </conditionalFormatting>
  <conditionalFormatting sqref="J26">
    <cfRule type="cellIs" dxfId="886" priority="500" operator="equal">
      <formula>"CORRECT !"</formula>
    </cfRule>
  </conditionalFormatting>
  <conditionalFormatting sqref="J11">
    <cfRule type="cellIs" dxfId="885" priority="515" operator="equal">
      <formula>"CORRECT !"</formula>
    </cfRule>
  </conditionalFormatting>
  <conditionalFormatting sqref="J12">
    <cfRule type="cellIs" dxfId="884" priority="514" operator="equal">
      <formula>"CORRECT !"</formula>
    </cfRule>
  </conditionalFormatting>
  <conditionalFormatting sqref="J13">
    <cfRule type="cellIs" dxfId="883" priority="513" operator="equal">
      <formula>"CORRECT !"</formula>
    </cfRule>
  </conditionalFormatting>
  <conditionalFormatting sqref="J14">
    <cfRule type="cellIs" dxfId="882" priority="512" operator="equal">
      <formula>"CORRECT !"</formula>
    </cfRule>
  </conditionalFormatting>
  <conditionalFormatting sqref="J15">
    <cfRule type="cellIs" dxfId="881" priority="511" operator="equal">
      <formula>"CORRECT !"</formula>
    </cfRule>
  </conditionalFormatting>
  <conditionalFormatting sqref="J16">
    <cfRule type="cellIs" dxfId="880" priority="510" operator="equal">
      <formula>"CORRECT !"</formula>
    </cfRule>
  </conditionalFormatting>
  <conditionalFormatting sqref="J17">
    <cfRule type="cellIs" dxfId="879" priority="509" operator="equal">
      <formula>"CORRECT !"</formula>
    </cfRule>
  </conditionalFormatting>
  <conditionalFormatting sqref="J18">
    <cfRule type="cellIs" dxfId="878" priority="508" operator="equal">
      <formula>"CORRECT !"</formula>
    </cfRule>
  </conditionalFormatting>
  <conditionalFormatting sqref="J19">
    <cfRule type="cellIs" dxfId="877" priority="507" operator="equal">
      <formula>"CORRECT !"</formula>
    </cfRule>
  </conditionalFormatting>
  <conditionalFormatting sqref="J20">
    <cfRule type="cellIs" dxfId="876" priority="506" operator="equal">
      <formula>"CORRECT !"</formula>
    </cfRule>
  </conditionalFormatting>
  <conditionalFormatting sqref="J21">
    <cfRule type="cellIs" dxfId="875" priority="505" operator="equal">
      <formula>"CORRECT !"</formula>
    </cfRule>
  </conditionalFormatting>
  <conditionalFormatting sqref="R3">
    <cfRule type="expression" dxfId="874" priority="578">
      <formula>"$R$1&lt;&gt;''"</formula>
    </cfRule>
  </conditionalFormatting>
  <conditionalFormatting sqref="Q18">
    <cfRule type="cellIs" dxfId="873" priority="468" operator="equal">
      <formula>"CORRECT !"</formula>
    </cfRule>
  </conditionalFormatting>
  <conditionalFormatting sqref="Q19">
    <cfRule type="cellIs" dxfId="872" priority="467" operator="equal">
      <formula>"CORRECT !"</formula>
    </cfRule>
  </conditionalFormatting>
  <conditionalFormatting sqref="U10:U28">
    <cfRule type="cellIs" dxfId="871" priority="538" operator="equal">
      <formula>"CORRECT !"</formula>
    </cfRule>
  </conditionalFormatting>
  <conditionalFormatting sqref="U9">
    <cfRule type="cellIs" dxfId="870" priority="537" operator="equal">
      <formula>"CORRECT !"</formula>
    </cfRule>
  </conditionalFormatting>
  <conditionalFormatting sqref="P9">
    <cfRule type="cellIs" dxfId="869" priority="544" operator="equal">
      <formula>"CORRECT !"</formula>
    </cfRule>
  </conditionalFormatting>
  <conditionalFormatting sqref="F9">
    <cfRule type="cellIs" dxfId="868" priority="543" operator="equal">
      <formula>"CORRECT !"</formula>
    </cfRule>
  </conditionalFormatting>
  <conditionalFormatting sqref="S10:S28">
    <cfRule type="cellIs" dxfId="867" priority="542" operator="equal">
      <formula>"CORRECT !"</formula>
    </cfRule>
  </conditionalFormatting>
  <conditionalFormatting sqref="S9">
    <cfRule type="cellIs" dxfId="866" priority="541" operator="equal">
      <formula>"CORRECT !"</formula>
    </cfRule>
  </conditionalFormatting>
  <conditionalFormatting sqref="T10:T28">
    <cfRule type="cellIs" dxfId="865" priority="540" operator="equal">
      <formula>"CORRECT !"</formula>
    </cfRule>
  </conditionalFormatting>
  <conditionalFormatting sqref="T9">
    <cfRule type="cellIs" dxfId="864" priority="539" operator="equal">
      <formula>"CORRECT !"</formula>
    </cfRule>
  </conditionalFormatting>
  <conditionalFormatting sqref="P10">
    <cfRule type="cellIs" dxfId="863" priority="536" operator="equal">
      <formula>"CORRECT !"</formula>
    </cfRule>
  </conditionalFormatting>
  <conditionalFormatting sqref="P27">
    <cfRule type="cellIs" dxfId="862" priority="519" operator="equal">
      <formula>"CORRECT !"</formula>
    </cfRule>
  </conditionalFormatting>
  <conditionalFormatting sqref="P28">
    <cfRule type="cellIs" dxfId="861" priority="518" operator="equal">
      <formula>"CORRECT !"</formula>
    </cfRule>
  </conditionalFormatting>
  <conditionalFormatting sqref="J9">
    <cfRule type="cellIs" dxfId="860" priority="517" operator="equal">
      <formula>"CORRECT !"</formula>
    </cfRule>
  </conditionalFormatting>
  <conditionalFormatting sqref="J10">
    <cfRule type="cellIs" dxfId="859" priority="516" operator="equal">
      <formula>"CORRECT !"</formula>
    </cfRule>
  </conditionalFormatting>
  <conditionalFormatting sqref="J28">
    <cfRule type="cellIs" dxfId="858" priority="498" operator="equal">
      <formula>"CORRECT !"</formula>
    </cfRule>
  </conditionalFormatting>
  <conditionalFormatting sqref="J27">
    <cfRule type="cellIs" dxfId="857" priority="499" operator="equal">
      <formula>"CORRECT !"</formula>
    </cfRule>
  </conditionalFormatting>
  <conditionalFormatting sqref="M9">
    <cfRule type="cellIs" dxfId="856" priority="497" operator="equal">
      <formula>"CORRECT !"</formula>
    </cfRule>
  </conditionalFormatting>
  <conditionalFormatting sqref="M10">
    <cfRule type="cellIs" dxfId="855" priority="496" operator="equal">
      <formula>"CORRECT !"</formula>
    </cfRule>
  </conditionalFormatting>
  <conditionalFormatting sqref="M11">
    <cfRule type="cellIs" dxfId="854" priority="495" operator="equal">
      <formula>"CORRECT !"</formula>
    </cfRule>
  </conditionalFormatting>
  <conditionalFormatting sqref="M12">
    <cfRule type="cellIs" dxfId="853" priority="494" operator="equal">
      <formula>"CORRECT !"</formula>
    </cfRule>
  </conditionalFormatting>
  <conditionalFormatting sqref="M13">
    <cfRule type="cellIs" dxfId="852" priority="493" operator="equal">
      <formula>"CORRECT !"</formula>
    </cfRule>
  </conditionalFormatting>
  <conditionalFormatting sqref="M14">
    <cfRule type="cellIs" dxfId="851" priority="492" operator="equal">
      <formula>"CORRECT !"</formula>
    </cfRule>
  </conditionalFormatting>
  <conditionalFormatting sqref="M15">
    <cfRule type="cellIs" dxfId="850" priority="491" operator="equal">
      <formula>"CORRECT !"</formula>
    </cfRule>
  </conditionalFormatting>
  <conditionalFormatting sqref="M16">
    <cfRule type="cellIs" dxfId="849" priority="490" operator="equal">
      <formula>"CORRECT !"</formula>
    </cfRule>
  </conditionalFormatting>
  <conditionalFormatting sqref="M17">
    <cfRule type="cellIs" dxfId="848" priority="489" operator="equal">
      <formula>"CORRECT !"</formula>
    </cfRule>
  </conditionalFormatting>
  <conditionalFormatting sqref="M18">
    <cfRule type="cellIs" dxfId="847" priority="488" operator="equal">
      <formula>"CORRECT !"</formula>
    </cfRule>
  </conditionalFormatting>
  <conditionalFormatting sqref="M19">
    <cfRule type="cellIs" dxfId="846" priority="487" operator="equal">
      <formula>"CORRECT !"</formula>
    </cfRule>
  </conditionalFormatting>
  <conditionalFormatting sqref="M20">
    <cfRule type="cellIs" dxfId="845" priority="486" operator="equal">
      <formula>"CORRECT !"</formula>
    </cfRule>
  </conditionalFormatting>
  <conditionalFormatting sqref="M21">
    <cfRule type="cellIs" dxfId="844" priority="485" operator="equal">
      <formula>"CORRECT !"</formula>
    </cfRule>
  </conditionalFormatting>
  <conditionalFormatting sqref="M22">
    <cfRule type="cellIs" dxfId="843" priority="484" operator="equal">
      <formula>"CORRECT !"</formula>
    </cfRule>
  </conditionalFormatting>
  <conditionalFormatting sqref="M23">
    <cfRule type="cellIs" dxfId="842" priority="483" operator="equal">
      <formula>"CORRECT !"</formula>
    </cfRule>
  </conditionalFormatting>
  <conditionalFormatting sqref="M24">
    <cfRule type="cellIs" dxfId="841" priority="482" operator="equal">
      <formula>"CORRECT !"</formula>
    </cfRule>
  </conditionalFormatting>
  <conditionalFormatting sqref="M25">
    <cfRule type="cellIs" dxfId="840" priority="481" operator="equal">
      <formula>"CORRECT !"</formula>
    </cfRule>
  </conditionalFormatting>
  <conditionalFormatting sqref="M26">
    <cfRule type="cellIs" dxfId="839" priority="480" operator="equal">
      <formula>"CORRECT !"</formula>
    </cfRule>
  </conditionalFormatting>
  <conditionalFormatting sqref="M27">
    <cfRule type="cellIs" dxfId="838" priority="479" operator="equal">
      <formula>"CORRECT !"</formula>
    </cfRule>
  </conditionalFormatting>
  <conditionalFormatting sqref="M28">
    <cfRule type="cellIs" dxfId="837" priority="478" operator="equal">
      <formula>"CORRECT !"</formula>
    </cfRule>
  </conditionalFormatting>
  <conditionalFormatting sqref="Q9">
    <cfRule type="cellIs" dxfId="836" priority="477" operator="equal">
      <formula>"CORRECT !"</formula>
    </cfRule>
  </conditionalFormatting>
  <conditionalFormatting sqref="Q10">
    <cfRule type="cellIs" dxfId="835" priority="476" operator="equal">
      <formula>"CORRECT !"</formula>
    </cfRule>
  </conditionalFormatting>
  <conditionalFormatting sqref="Q11">
    <cfRule type="cellIs" dxfId="834" priority="475" operator="equal">
      <formula>"CORRECT !"</formula>
    </cfRule>
  </conditionalFormatting>
  <conditionalFormatting sqref="Q12">
    <cfRule type="cellIs" dxfId="833" priority="474" operator="equal">
      <formula>"CORRECT !"</formula>
    </cfRule>
  </conditionalFormatting>
  <conditionalFormatting sqref="Q13">
    <cfRule type="cellIs" dxfId="832" priority="473" operator="equal">
      <formula>"CORRECT !"</formula>
    </cfRule>
  </conditionalFormatting>
  <conditionalFormatting sqref="Q14">
    <cfRule type="cellIs" dxfId="831" priority="472" operator="equal">
      <formula>"CORRECT !"</formula>
    </cfRule>
  </conditionalFormatting>
  <conditionalFormatting sqref="Q15">
    <cfRule type="cellIs" dxfId="830" priority="471" operator="equal">
      <formula>"CORRECT !"</formula>
    </cfRule>
  </conditionalFormatting>
  <conditionalFormatting sqref="Q16">
    <cfRule type="cellIs" dxfId="829" priority="470" operator="equal">
      <formula>"CORRECT !"</formula>
    </cfRule>
  </conditionalFormatting>
  <conditionalFormatting sqref="Q17">
    <cfRule type="cellIs" dxfId="828" priority="469" operator="equal">
      <formula>"CORRECT !"</formula>
    </cfRule>
  </conditionalFormatting>
  <conditionalFormatting sqref="Q20">
    <cfRule type="cellIs" dxfId="827" priority="466" operator="equal">
      <formula>"CORRECT !"</formula>
    </cfRule>
  </conditionalFormatting>
  <conditionalFormatting sqref="Q21">
    <cfRule type="cellIs" dxfId="826" priority="465" operator="equal">
      <formula>"CORRECT !"</formula>
    </cfRule>
  </conditionalFormatting>
  <conditionalFormatting sqref="Q22">
    <cfRule type="cellIs" dxfId="825" priority="464" operator="equal">
      <formula>"CORRECT !"</formula>
    </cfRule>
  </conditionalFormatting>
  <conditionalFormatting sqref="Q23">
    <cfRule type="cellIs" dxfId="824" priority="463" operator="equal">
      <formula>"CORRECT !"</formula>
    </cfRule>
  </conditionalFormatting>
  <conditionalFormatting sqref="Q24">
    <cfRule type="cellIs" dxfId="823" priority="462" operator="equal">
      <formula>"CORRECT !"</formula>
    </cfRule>
  </conditionalFormatting>
  <conditionalFormatting sqref="Q25">
    <cfRule type="cellIs" dxfId="822" priority="461" operator="equal">
      <formula>"CORRECT !"</formula>
    </cfRule>
  </conditionalFormatting>
  <conditionalFormatting sqref="Q26">
    <cfRule type="cellIs" dxfId="821" priority="460" operator="equal">
      <formula>"CORRECT !"</formula>
    </cfRule>
  </conditionalFormatting>
  <conditionalFormatting sqref="Q27">
    <cfRule type="cellIs" dxfId="820" priority="459" operator="equal">
      <formula>"CORRECT !"</formula>
    </cfRule>
  </conditionalFormatting>
  <conditionalFormatting sqref="Q28">
    <cfRule type="cellIs" dxfId="819" priority="458" operator="equal">
      <formula>"CORRECT !"</formula>
    </cfRule>
  </conditionalFormatting>
  <conditionalFormatting sqref="F10">
    <cfRule type="cellIs" dxfId="818" priority="136" operator="equal">
      <formula>"CORRECT !"</formula>
    </cfRule>
  </conditionalFormatting>
  <conditionalFormatting sqref="F11">
    <cfRule type="cellIs" dxfId="817" priority="135" operator="equal">
      <formula>"CORRECT !"</formula>
    </cfRule>
  </conditionalFormatting>
  <conditionalFormatting sqref="F12">
    <cfRule type="cellIs" dxfId="816" priority="134" operator="equal">
      <formula>"CORRECT !"</formula>
    </cfRule>
  </conditionalFormatting>
  <conditionalFormatting sqref="F13">
    <cfRule type="cellIs" dxfId="815" priority="133" operator="equal">
      <formula>"CORRECT !"</formula>
    </cfRule>
  </conditionalFormatting>
  <conditionalFormatting sqref="F14">
    <cfRule type="cellIs" dxfId="814" priority="132" operator="equal">
      <formula>"CORRECT !"</formula>
    </cfRule>
  </conditionalFormatting>
  <conditionalFormatting sqref="F15">
    <cfRule type="cellIs" dxfId="813" priority="131" operator="equal">
      <formula>"CORRECT !"</formula>
    </cfRule>
  </conditionalFormatting>
  <conditionalFormatting sqref="F16">
    <cfRule type="cellIs" dxfId="812" priority="130" operator="equal">
      <formula>"CORRECT !"</formula>
    </cfRule>
  </conditionalFormatting>
  <conditionalFormatting sqref="F17">
    <cfRule type="cellIs" dxfId="811" priority="129" operator="equal">
      <formula>"CORRECT !"</formula>
    </cfRule>
  </conditionalFormatting>
  <conditionalFormatting sqref="F18">
    <cfRule type="cellIs" dxfId="810" priority="128" operator="equal">
      <formula>"CORRECT !"</formula>
    </cfRule>
  </conditionalFormatting>
  <conditionalFormatting sqref="F19">
    <cfRule type="cellIs" dxfId="809" priority="127" operator="equal">
      <formula>"CORRECT !"</formula>
    </cfRule>
  </conditionalFormatting>
  <conditionalFormatting sqref="F20">
    <cfRule type="cellIs" dxfId="808" priority="126" operator="equal">
      <formula>"CORRECT !"</formula>
    </cfRule>
  </conditionalFormatting>
  <conditionalFormatting sqref="F21">
    <cfRule type="cellIs" dxfId="807" priority="125" operator="equal">
      <formula>"CORRECT !"</formula>
    </cfRule>
  </conditionalFormatting>
  <conditionalFormatting sqref="F22">
    <cfRule type="cellIs" dxfId="806" priority="124" operator="equal">
      <formula>"CORRECT !"</formula>
    </cfRule>
  </conditionalFormatting>
  <conditionalFormatting sqref="F23">
    <cfRule type="cellIs" dxfId="805" priority="123" operator="equal">
      <formula>"CORRECT !"</formula>
    </cfRule>
  </conditionalFormatting>
  <conditionalFormatting sqref="F24">
    <cfRule type="cellIs" dxfId="804" priority="122" operator="equal">
      <formula>"CORRECT !"</formula>
    </cfRule>
  </conditionalFormatting>
  <conditionalFormatting sqref="F25">
    <cfRule type="cellIs" dxfId="803" priority="121" operator="equal">
      <formula>"CORRECT !"</formula>
    </cfRule>
  </conditionalFormatting>
  <conditionalFormatting sqref="F26">
    <cfRule type="cellIs" dxfId="802" priority="120" operator="equal">
      <formula>"CORRECT !"</formula>
    </cfRule>
  </conditionalFormatting>
  <conditionalFormatting sqref="F27">
    <cfRule type="cellIs" dxfId="801" priority="119" operator="equal">
      <formula>"CORRECT !"</formula>
    </cfRule>
  </conditionalFormatting>
  <conditionalFormatting sqref="F28">
    <cfRule type="cellIs" dxfId="800" priority="118" operator="equal">
      <formula>"CORRECT !"</formula>
    </cfRule>
  </conditionalFormatting>
  <conditionalFormatting sqref="F29">
    <cfRule type="cellIs" dxfId="799" priority="117" operator="equal">
      <formula>"CORRECT !"</formula>
    </cfRule>
  </conditionalFormatting>
  <conditionalFormatting sqref="F30">
    <cfRule type="cellIs" dxfId="798" priority="116" operator="equal">
      <formula>"CORRECT !"</formula>
    </cfRule>
  </conditionalFormatting>
  <conditionalFormatting sqref="F31">
    <cfRule type="cellIs" dxfId="797" priority="115" operator="equal">
      <formula>"CORRECT !"</formula>
    </cfRule>
  </conditionalFormatting>
  <conditionalFormatting sqref="F32">
    <cfRule type="cellIs" dxfId="796" priority="114" operator="equal">
      <formula>"CORRECT !"</formula>
    </cfRule>
  </conditionalFormatting>
  <conditionalFormatting sqref="F33">
    <cfRule type="cellIs" dxfId="795" priority="113" operator="equal">
      <formula>"CORRECT !"</formula>
    </cfRule>
  </conditionalFormatting>
  <conditionalFormatting sqref="F34">
    <cfRule type="cellIs" dxfId="794" priority="112" operator="equal">
      <formula>"CORRECT !"</formula>
    </cfRule>
  </conditionalFormatting>
  <conditionalFormatting sqref="F35">
    <cfRule type="cellIs" dxfId="793" priority="111" operator="equal">
      <formula>"CORRECT !"</formula>
    </cfRule>
  </conditionalFormatting>
  <conditionalFormatting sqref="F36">
    <cfRule type="cellIs" dxfId="792" priority="110" operator="equal">
      <formula>"CORRECT !"</formula>
    </cfRule>
  </conditionalFormatting>
  <conditionalFormatting sqref="F37">
    <cfRule type="cellIs" dxfId="791" priority="109" operator="equal">
      <formula>"CORRECT !"</formula>
    </cfRule>
  </conditionalFormatting>
  <conditionalFormatting sqref="F38">
    <cfRule type="cellIs" dxfId="790" priority="108" operator="equal">
      <formula>"CORRECT !"</formula>
    </cfRule>
  </conditionalFormatting>
  <conditionalFormatting sqref="F39">
    <cfRule type="cellIs" dxfId="789" priority="107" operator="equal">
      <formula>"CORRECT !"</formula>
    </cfRule>
  </conditionalFormatting>
  <conditionalFormatting sqref="F40">
    <cfRule type="cellIs" dxfId="788" priority="106" operator="equal">
      <formula>"CORRECT !"</formula>
    </cfRule>
  </conditionalFormatting>
  <conditionalFormatting sqref="F41">
    <cfRule type="cellIs" dxfId="787" priority="105" operator="equal">
      <formula>"CORRECT !"</formula>
    </cfRule>
  </conditionalFormatting>
  <conditionalFormatting sqref="F42">
    <cfRule type="cellIs" dxfId="786" priority="104" operator="equal">
      <formula>"CORRECT !"</formula>
    </cfRule>
  </conditionalFormatting>
  <conditionalFormatting sqref="H10">
    <cfRule type="expression" dxfId="785" priority="67">
      <formula>$A$4&lt;&gt;""</formula>
    </cfRule>
  </conditionalFormatting>
  <conditionalFormatting sqref="H11">
    <cfRule type="expression" dxfId="784" priority="66">
      <formula>$A$4&lt;&gt;""</formula>
    </cfRule>
  </conditionalFormatting>
  <conditionalFormatting sqref="H12">
    <cfRule type="expression" dxfId="783" priority="65">
      <formula>$A$4&lt;&gt;""</formula>
    </cfRule>
  </conditionalFormatting>
  <conditionalFormatting sqref="H13">
    <cfRule type="expression" dxfId="782" priority="64">
      <formula>$A$4&lt;&gt;""</formula>
    </cfRule>
  </conditionalFormatting>
  <conditionalFormatting sqref="H14">
    <cfRule type="expression" dxfId="781" priority="63">
      <formula>$A$4&lt;&gt;""</formula>
    </cfRule>
  </conditionalFormatting>
  <conditionalFormatting sqref="H15">
    <cfRule type="expression" dxfId="780" priority="62">
      <formula>$A$4&lt;&gt;""</formula>
    </cfRule>
  </conditionalFormatting>
  <conditionalFormatting sqref="H16">
    <cfRule type="expression" dxfId="779" priority="61">
      <formula>$A$4&lt;&gt;""</formula>
    </cfRule>
  </conditionalFormatting>
  <conditionalFormatting sqref="H17">
    <cfRule type="expression" dxfId="778" priority="60">
      <formula>$A$4&lt;&gt;""</formula>
    </cfRule>
  </conditionalFormatting>
  <conditionalFormatting sqref="H18">
    <cfRule type="expression" dxfId="777" priority="59">
      <formula>$A$4&lt;&gt;""</formula>
    </cfRule>
  </conditionalFormatting>
  <conditionalFormatting sqref="H19">
    <cfRule type="expression" dxfId="776" priority="58">
      <formula>$A$4&lt;&gt;""</formula>
    </cfRule>
  </conditionalFormatting>
  <conditionalFormatting sqref="H20">
    <cfRule type="expression" dxfId="775" priority="57">
      <formula>$A$4&lt;&gt;""</formula>
    </cfRule>
  </conditionalFormatting>
  <conditionalFormatting sqref="H21">
    <cfRule type="expression" dxfId="774" priority="56">
      <formula>$A$4&lt;&gt;""</formula>
    </cfRule>
  </conditionalFormatting>
  <conditionalFormatting sqref="H22">
    <cfRule type="expression" dxfId="773" priority="55">
      <formula>$A$4&lt;&gt;""</formula>
    </cfRule>
  </conditionalFormatting>
  <conditionalFormatting sqref="H23">
    <cfRule type="expression" dxfId="772" priority="54">
      <formula>$A$4&lt;&gt;""</formula>
    </cfRule>
  </conditionalFormatting>
  <conditionalFormatting sqref="H24">
    <cfRule type="expression" dxfId="771" priority="53">
      <formula>$A$4&lt;&gt;""</formula>
    </cfRule>
  </conditionalFormatting>
  <conditionalFormatting sqref="H25">
    <cfRule type="expression" dxfId="770" priority="52">
      <formula>$A$4&lt;&gt;""</formula>
    </cfRule>
  </conditionalFormatting>
  <conditionalFormatting sqref="H26">
    <cfRule type="expression" dxfId="769" priority="51">
      <formula>$A$4&lt;&gt;""</formula>
    </cfRule>
  </conditionalFormatting>
  <conditionalFormatting sqref="H27">
    <cfRule type="expression" dxfId="768" priority="50">
      <formula>$A$4&lt;&gt;""</formula>
    </cfRule>
  </conditionalFormatting>
  <conditionalFormatting sqref="H28">
    <cfRule type="expression" dxfId="767" priority="49">
      <formula>$A$4&lt;&gt;""</formula>
    </cfRule>
  </conditionalFormatting>
  <conditionalFormatting sqref="H29">
    <cfRule type="expression" dxfId="766" priority="48">
      <formula>$A$4&lt;&gt;""</formula>
    </cfRule>
  </conditionalFormatting>
  <conditionalFormatting sqref="H30">
    <cfRule type="expression" dxfId="765" priority="47">
      <formula>$A$4&lt;&gt;""</formula>
    </cfRule>
  </conditionalFormatting>
  <conditionalFormatting sqref="H31">
    <cfRule type="expression" dxfId="764" priority="46">
      <formula>$A$4&lt;&gt;""</formula>
    </cfRule>
  </conditionalFormatting>
  <conditionalFormatting sqref="H32">
    <cfRule type="expression" dxfId="763" priority="45">
      <formula>$A$4&lt;&gt;""</formula>
    </cfRule>
  </conditionalFormatting>
  <conditionalFormatting sqref="H33">
    <cfRule type="expression" dxfId="762" priority="44">
      <formula>$A$4&lt;&gt;""</formula>
    </cfRule>
  </conditionalFormatting>
  <conditionalFormatting sqref="H34">
    <cfRule type="expression" dxfId="761" priority="43">
      <formula>$A$4&lt;&gt;""</formula>
    </cfRule>
  </conditionalFormatting>
  <conditionalFormatting sqref="H35">
    <cfRule type="expression" dxfId="760" priority="42">
      <formula>$A$4&lt;&gt;""</formula>
    </cfRule>
  </conditionalFormatting>
  <conditionalFormatting sqref="H36">
    <cfRule type="expression" dxfId="759" priority="41">
      <formula>$A$4&lt;&gt;""</formula>
    </cfRule>
  </conditionalFormatting>
  <conditionalFormatting sqref="H37">
    <cfRule type="expression" dxfId="758" priority="40">
      <formula>$A$4&lt;&gt;""</formula>
    </cfRule>
  </conditionalFormatting>
  <conditionalFormatting sqref="H38">
    <cfRule type="expression" dxfId="757" priority="39">
      <formula>$A$4&lt;&gt;""</formula>
    </cfRule>
  </conditionalFormatting>
  <conditionalFormatting sqref="H39">
    <cfRule type="expression" dxfId="756" priority="38">
      <formula>$A$4&lt;&gt;""</formula>
    </cfRule>
  </conditionalFormatting>
  <conditionalFormatting sqref="H40">
    <cfRule type="expression" dxfId="755" priority="37">
      <formula>$A$4&lt;&gt;""</formula>
    </cfRule>
  </conditionalFormatting>
  <conditionalFormatting sqref="H41">
    <cfRule type="expression" dxfId="754" priority="36">
      <formula>$A$4&lt;&gt;""</formula>
    </cfRule>
  </conditionalFormatting>
  <conditionalFormatting sqref="H42">
    <cfRule type="expression" dxfId="753" priority="35">
      <formula>$A$4&lt;&gt;""</formula>
    </cfRule>
  </conditionalFormatting>
  <conditionalFormatting sqref="G9">
    <cfRule type="cellIs" dxfId="752" priority="34" operator="equal">
      <formula>"CORRECT !"</formula>
    </cfRule>
  </conditionalFormatting>
  <conditionalFormatting sqref="G10">
    <cfRule type="cellIs" dxfId="751" priority="33" operator="equal">
      <formula>"CORRECT !"</formula>
    </cfRule>
  </conditionalFormatting>
  <conditionalFormatting sqref="G11">
    <cfRule type="cellIs" dxfId="750" priority="32" operator="equal">
      <formula>"CORRECT !"</formula>
    </cfRule>
  </conditionalFormatting>
  <conditionalFormatting sqref="G12">
    <cfRule type="cellIs" dxfId="749" priority="31" operator="equal">
      <formula>"CORRECT !"</formula>
    </cfRule>
  </conditionalFormatting>
  <conditionalFormatting sqref="G13">
    <cfRule type="cellIs" dxfId="748" priority="30" operator="equal">
      <formula>"CORRECT !"</formula>
    </cfRule>
  </conditionalFormatting>
  <conditionalFormatting sqref="G14">
    <cfRule type="cellIs" dxfId="747" priority="29" operator="equal">
      <formula>"CORRECT !"</formula>
    </cfRule>
  </conditionalFormatting>
  <conditionalFormatting sqref="G15">
    <cfRule type="cellIs" dxfId="746" priority="28" operator="equal">
      <formula>"CORRECT !"</formula>
    </cfRule>
  </conditionalFormatting>
  <conditionalFormatting sqref="G16">
    <cfRule type="cellIs" dxfId="745" priority="27" operator="equal">
      <formula>"CORRECT !"</formula>
    </cfRule>
  </conditionalFormatting>
  <conditionalFormatting sqref="G17">
    <cfRule type="cellIs" dxfId="744" priority="26" operator="equal">
      <formula>"CORRECT !"</formula>
    </cfRule>
  </conditionalFormatting>
  <conditionalFormatting sqref="G18">
    <cfRule type="cellIs" dxfId="743" priority="25" operator="equal">
      <formula>"CORRECT !"</formula>
    </cfRule>
  </conditionalFormatting>
  <conditionalFormatting sqref="G19">
    <cfRule type="cellIs" dxfId="742" priority="24" operator="equal">
      <formula>"CORRECT !"</formula>
    </cfRule>
  </conditionalFormatting>
  <conditionalFormatting sqref="G20">
    <cfRule type="cellIs" dxfId="741" priority="23" operator="equal">
      <formula>"CORRECT !"</formula>
    </cfRule>
  </conditionalFormatting>
  <conditionalFormatting sqref="G21">
    <cfRule type="cellIs" dxfId="740" priority="22" operator="equal">
      <formula>"CORRECT !"</formula>
    </cfRule>
  </conditionalFormatting>
  <conditionalFormatting sqref="G22">
    <cfRule type="cellIs" dxfId="739" priority="21" operator="equal">
      <formula>"CORRECT !"</formula>
    </cfRule>
  </conditionalFormatting>
  <conditionalFormatting sqref="G23">
    <cfRule type="cellIs" dxfId="738" priority="20" operator="equal">
      <formula>"CORRECT !"</formula>
    </cfRule>
  </conditionalFormatting>
  <conditionalFormatting sqref="G24">
    <cfRule type="cellIs" dxfId="737" priority="19" operator="equal">
      <formula>"CORRECT !"</formula>
    </cfRule>
  </conditionalFormatting>
  <conditionalFormatting sqref="G25">
    <cfRule type="cellIs" dxfId="736" priority="18" operator="equal">
      <formula>"CORRECT !"</formula>
    </cfRule>
  </conditionalFormatting>
  <conditionalFormatting sqref="G26">
    <cfRule type="cellIs" dxfId="735" priority="17" operator="equal">
      <formula>"CORRECT !"</formula>
    </cfRule>
  </conditionalFormatting>
  <conditionalFormatting sqref="G27">
    <cfRule type="cellIs" dxfId="734" priority="16" operator="equal">
      <formula>"CORRECT !"</formula>
    </cfRule>
  </conditionalFormatting>
  <conditionalFormatting sqref="G28">
    <cfRule type="cellIs" dxfId="733" priority="15" operator="equal">
      <formula>"CORRECT !"</formula>
    </cfRule>
  </conditionalFormatting>
  <conditionalFormatting sqref="G29">
    <cfRule type="cellIs" dxfId="732" priority="14" operator="equal">
      <formula>"CORRECT !"</formula>
    </cfRule>
  </conditionalFormatting>
  <conditionalFormatting sqref="G30">
    <cfRule type="cellIs" dxfId="731" priority="13" operator="equal">
      <formula>"CORRECT !"</formula>
    </cfRule>
  </conditionalFormatting>
  <conditionalFormatting sqref="G31">
    <cfRule type="cellIs" dxfId="730" priority="12" operator="equal">
      <formula>"CORRECT !"</formula>
    </cfRule>
  </conditionalFormatting>
  <conditionalFormatting sqref="G32">
    <cfRule type="cellIs" dxfId="729" priority="11" operator="equal">
      <formula>"CORRECT !"</formula>
    </cfRule>
  </conditionalFormatting>
  <conditionalFormatting sqref="G33">
    <cfRule type="cellIs" dxfId="728" priority="10" operator="equal">
      <formula>"CORRECT !"</formula>
    </cfRule>
  </conditionalFormatting>
  <conditionalFormatting sqref="G34">
    <cfRule type="cellIs" dxfId="727" priority="9" operator="equal">
      <formula>"CORRECT !"</formula>
    </cfRule>
  </conditionalFormatting>
  <conditionalFormatting sqref="G35">
    <cfRule type="cellIs" dxfId="726" priority="8" operator="equal">
      <formula>"CORRECT !"</formula>
    </cfRule>
  </conditionalFormatting>
  <conditionalFormatting sqref="G36">
    <cfRule type="cellIs" dxfId="725" priority="7" operator="equal">
      <formula>"CORRECT !"</formula>
    </cfRule>
  </conditionalFormatting>
  <conditionalFormatting sqref="G37">
    <cfRule type="cellIs" dxfId="724" priority="6" operator="equal">
      <formula>"CORRECT !"</formula>
    </cfRule>
  </conditionalFormatting>
  <conditionalFormatting sqref="G38">
    <cfRule type="cellIs" dxfId="723" priority="5" operator="equal">
      <formula>"CORRECT !"</formula>
    </cfRule>
  </conditionalFormatting>
  <conditionalFormatting sqref="G39">
    <cfRule type="cellIs" dxfId="722" priority="4" operator="equal">
      <formula>"CORRECT !"</formula>
    </cfRule>
  </conditionalFormatting>
  <conditionalFormatting sqref="G40">
    <cfRule type="cellIs" dxfId="721" priority="3" operator="equal">
      <formula>"CORRECT !"</formula>
    </cfRule>
  </conditionalFormatting>
  <conditionalFormatting sqref="G41">
    <cfRule type="cellIs" dxfId="720" priority="2" operator="equal">
      <formula>"CORRECT !"</formula>
    </cfRule>
  </conditionalFormatting>
  <conditionalFormatting sqref="G42">
    <cfRule type="cellIs" dxfId="719" priority="1" operator="equal">
      <formula>"CORRECT !"</formula>
    </cfRule>
  </conditionalFormatting>
  <hyperlinks>
    <hyperlink ref="I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B1:T185"/>
  <sheetViews>
    <sheetView showGridLines="0" workbookViewId="0"/>
  </sheetViews>
  <sheetFormatPr defaultRowHeight="21" x14ac:dyDescent="0.4"/>
  <cols>
    <col min="2" max="2" width="5.77734375" style="16" customWidth="1"/>
    <col min="3" max="3" width="3.33203125" style="38" customWidth="1"/>
    <col min="4" max="4" width="7.5546875" style="38" customWidth="1"/>
    <col min="5" max="5" width="3.44140625" style="10" customWidth="1"/>
    <col min="6" max="6" width="7.77734375" style="19" customWidth="1"/>
    <col min="7" max="7" width="3.77734375" customWidth="1"/>
    <col min="8" max="8" width="0.88671875" style="147" customWidth="1"/>
    <col min="9" max="9" width="8.33203125" style="10" customWidth="1"/>
    <col min="10" max="10" width="3.44140625" style="19" customWidth="1"/>
    <col min="11" max="11" width="0.88671875" style="20" customWidth="1"/>
    <col min="12" max="12" width="7.44140625" style="10" customWidth="1"/>
    <col min="13" max="13" width="3.44140625" style="19" customWidth="1"/>
    <col min="14" max="14" width="9.109375" style="14" customWidth="1"/>
    <col min="15" max="15" width="3.6640625" customWidth="1"/>
    <col min="16" max="16" width="5.77734375" style="10" customWidth="1"/>
    <col min="17" max="17" width="8.88671875" style="13"/>
  </cols>
  <sheetData>
    <row r="1" spans="2:17" x14ac:dyDescent="0.4">
      <c r="B1" s="132" t="s">
        <v>96</v>
      </c>
      <c r="C1" s="133"/>
      <c r="D1" s="133" t="str">
        <f>[1]!wwsTabOrder("Down")</f>
        <v>TabOrder</v>
      </c>
      <c r="E1" s="134"/>
      <c r="F1" s="135"/>
      <c r="G1" s="135"/>
      <c r="H1" s="136"/>
      <c r="I1" s="134"/>
      <c r="J1" s="137"/>
      <c r="K1" s="138"/>
      <c r="L1" s="134"/>
      <c r="M1" s="137"/>
      <c r="N1" s="139"/>
      <c r="O1" s="112"/>
      <c r="P1" s="121"/>
    </row>
    <row r="2" spans="2:17" ht="23.4" customHeight="1" x14ac:dyDescent="0.4">
      <c r="B2" s="167" t="s">
        <v>79</v>
      </c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</row>
    <row r="3" spans="2:17" ht="21" customHeight="1" x14ac:dyDescent="0.35">
      <c r="B3" s="140"/>
      <c r="C3" s="120"/>
      <c r="D3" s="169" t="s">
        <v>98</v>
      </c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21"/>
      <c r="Q3" s="131" t="s">
        <v>99</v>
      </c>
    </row>
    <row r="4" spans="2:17" x14ac:dyDescent="0.4">
      <c r="B4" s="104"/>
      <c r="C4" s="122"/>
      <c r="D4" s="122"/>
      <c r="E4" s="123"/>
      <c r="F4" s="124"/>
      <c r="G4" s="125"/>
      <c r="H4" s="126"/>
      <c r="I4" s="123"/>
      <c r="J4" s="124"/>
      <c r="K4" s="90"/>
      <c r="L4" s="123"/>
      <c r="M4" s="124"/>
      <c r="N4" s="126"/>
      <c r="O4" s="127"/>
      <c r="P4" s="123"/>
      <c r="Q4" s="119"/>
    </row>
    <row r="5" spans="2:17" ht="21" customHeight="1" x14ac:dyDescent="0.35">
      <c r="B5" s="104"/>
      <c r="D5" s="162"/>
      <c r="E5" s="170" t="s">
        <v>100</v>
      </c>
      <c r="F5" s="170"/>
      <c r="G5" s="170"/>
      <c r="H5" s="170"/>
      <c r="I5" s="170"/>
      <c r="J5" s="170"/>
      <c r="K5" s="170"/>
      <c r="L5" s="170"/>
      <c r="M5" s="170"/>
      <c r="N5" s="170"/>
      <c r="O5" s="159"/>
      <c r="P5" s="159"/>
      <c r="Q5" s="11"/>
    </row>
    <row r="6" spans="2:17" ht="28.2" customHeight="1" x14ac:dyDescent="0.3">
      <c r="B6" s="104"/>
      <c r="C6" s="162"/>
      <c r="D6" s="162"/>
      <c r="E6" s="171" t="s">
        <v>101</v>
      </c>
      <c r="F6" s="171"/>
      <c r="G6" s="171"/>
      <c r="H6" s="171"/>
      <c r="I6" s="171"/>
      <c r="J6" s="171"/>
      <c r="K6" s="171"/>
      <c r="L6" s="171"/>
      <c r="M6" s="171"/>
      <c r="N6" s="162"/>
      <c r="O6" s="160"/>
      <c r="P6" s="161"/>
      <c r="Q6" s="11"/>
    </row>
    <row r="7" spans="2:17" x14ac:dyDescent="0.4">
      <c r="B7" s="141"/>
      <c r="C7" s="120">
        <f>IF(OR(AND($G7="y",$D7=F7,$J7="",$M7=""),AND($G7="",$D7=I7,$J7="y",$M7=""),AND($G7="",$D7=$L7,$J7="",$M7="y")),1,0)</f>
        <v>1</v>
      </c>
      <c r="D7" s="52" t="s">
        <v>66</v>
      </c>
      <c r="E7" s="110" t="str">
        <f>CONCATENATE(G6+1,".")</f>
        <v>1.</v>
      </c>
      <c r="F7" s="87" t="s">
        <v>66</v>
      </c>
      <c r="G7" s="88" t="s">
        <v>47</v>
      </c>
      <c r="H7" s="158"/>
      <c r="I7" s="87" t="s">
        <v>68</v>
      </c>
      <c r="J7" s="8" t="str">
        <f>[1]!wwsInput()</f>
        <v/>
      </c>
      <c r="K7" s="158"/>
      <c r="L7" s="87" t="s">
        <v>65</v>
      </c>
      <c r="M7" s="8" t="str">
        <f>[1]!wwsInput()</f>
        <v/>
      </c>
      <c r="N7" s="130"/>
      <c r="O7" s="35"/>
      <c r="P7" s="113"/>
      <c r="Q7" s="112"/>
    </row>
    <row r="8" spans="2:17" ht="18" customHeight="1" x14ac:dyDescent="0.4">
      <c r="B8" s="141"/>
      <c r="C8" s="120"/>
      <c r="D8" s="52"/>
      <c r="E8" s="110"/>
      <c r="F8" s="156"/>
      <c r="G8" s="157"/>
      <c r="H8" s="34"/>
      <c r="I8" s="156"/>
      <c r="J8" s="157"/>
      <c r="K8" s="34"/>
      <c r="L8" s="156"/>
      <c r="M8" s="157"/>
      <c r="N8" s="130"/>
      <c r="O8" s="35"/>
      <c r="P8" s="113"/>
      <c r="Q8" s="112"/>
    </row>
    <row r="9" spans="2:17" x14ac:dyDescent="0.4">
      <c r="B9" s="141"/>
      <c r="C9" s="120">
        <f t="shared" ref="C9:C35" si="0">IF(OR(AND($G9="y",$D9=F9,$J9&lt;&gt;"y",$M9&lt;&gt;"y"),AND($G9&lt;&gt;"y",$D9=I9,$J9="y",$M9&lt;&gt;"y"),AND($G9&lt;&gt;"y",$D9=$L9,$J9&lt;&gt;"y",$M9="y")),1,0)</f>
        <v>0</v>
      </c>
      <c r="D9" s="52" t="s">
        <v>49</v>
      </c>
      <c r="E9" s="110" t="str">
        <f>CONCATENATE(E7+1,".")</f>
        <v>2.</v>
      </c>
      <c r="F9" s="87" t="s">
        <v>53</v>
      </c>
      <c r="G9" s="88" t="str">
        <f>[1]!wwsInput()</f>
        <v/>
      </c>
      <c r="H9" s="158"/>
      <c r="I9" s="87" t="s">
        <v>49</v>
      </c>
      <c r="J9" s="8" t="str">
        <f>[1]!wwsInput()</f>
        <v/>
      </c>
      <c r="K9" s="158"/>
      <c r="L9" s="87" t="s">
        <v>5</v>
      </c>
      <c r="M9" s="8" t="str">
        <f>[1]!wwsInput()</f>
        <v/>
      </c>
      <c r="N9" s="130"/>
      <c r="O9" s="35"/>
      <c r="P9" s="113"/>
      <c r="Q9" s="112"/>
    </row>
    <row r="10" spans="2:17" ht="18" customHeight="1" x14ac:dyDescent="0.4">
      <c r="B10" s="141"/>
      <c r="C10" s="120"/>
      <c r="D10" s="52"/>
      <c r="E10" s="110"/>
      <c r="F10" s="156"/>
      <c r="G10" s="157"/>
      <c r="H10" s="34"/>
      <c r="I10" s="156"/>
      <c r="J10" s="157"/>
      <c r="K10" s="34"/>
      <c r="L10" s="156"/>
      <c r="M10" s="157"/>
      <c r="N10" s="130"/>
      <c r="O10" s="35"/>
      <c r="P10" s="113"/>
      <c r="Q10" s="112"/>
    </row>
    <row r="11" spans="2:17" x14ac:dyDescent="0.4">
      <c r="B11" s="141"/>
      <c r="C11" s="120">
        <f t="shared" si="0"/>
        <v>0</v>
      </c>
      <c r="D11" s="52" t="s">
        <v>48</v>
      </c>
      <c r="E11" s="110" t="str">
        <f>CONCATENATE(E9+1,".")</f>
        <v>3.</v>
      </c>
      <c r="F11" s="51" t="s">
        <v>61</v>
      </c>
      <c r="G11" s="8" t="str">
        <f>[1]!wwsInput()</f>
        <v/>
      </c>
      <c r="H11" s="34"/>
      <c r="I11" s="51" t="s">
        <v>48</v>
      </c>
      <c r="J11" s="8" t="str">
        <f>[1]!wwsInput()</f>
        <v/>
      </c>
      <c r="K11" s="34" t="s">
        <v>47</v>
      </c>
      <c r="L11" s="51" t="s">
        <v>63</v>
      </c>
      <c r="M11" s="8" t="str">
        <f>[1]!wwsInput()</f>
        <v/>
      </c>
      <c r="N11" s="130"/>
      <c r="O11" s="35"/>
      <c r="P11" s="113"/>
      <c r="Q11" s="112"/>
    </row>
    <row r="12" spans="2:17" ht="18" customHeight="1" x14ac:dyDescent="0.4">
      <c r="B12" s="141"/>
      <c r="C12" s="120"/>
      <c r="D12" s="52"/>
      <c r="E12" s="110"/>
      <c r="F12" s="156"/>
      <c r="G12" s="157"/>
      <c r="H12" s="34"/>
      <c r="I12" s="156"/>
      <c r="J12" s="157"/>
      <c r="K12" s="34"/>
      <c r="L12" s="156"/>
      <c r="M12" s="157"/>
      <c r="N12" s="130"/>
      <c r="O12" s="35"/>
      <c r="P12" s="113"/>
      <c r="Q12" s="112"/>
    </row>
    <row r="13" spans="2:17" x14ac:dyDescent="0.4">
      <c r="B13" s="141"/>
      <c r="C13" s="120">
        <f t="shared" si="0"/>
        <v>0</v>
      </c>
      <c r="D13" s="52" t="s">
        <v>58</v>
      </c>
      <c r="E13" s="110" t="str">
        <f>CONCATENATE(E11+1,".")</f>
        <v>4.</v>
      </c>
      <c r="F13" s="152" t="s">
        <v>58</v>
      </c>
      <c r="G13" s="153" t="str">
        <f>[1]!wwsInput()</f>
        <v/>
      </c>
      <c r="H13" s="34"/>
      <c r="I13" s="152" t="s">
        <v>57</v>
      </c>
      <c r="J13" s="153" t="str">
        <f>[1]!wwsInput()</f>
        <v/>
      </c>
      <c r="K13" s="34"/>
      <c r="L13" s="152" t="s">
        <v>56</v>
      </c>
      <c r="M13" s="153" t="str">
        <f>[1]!wwsInput()</f>
        <v/>
      </c>
      <c r="N13" s="130"/>
      <c r="O13" s="35"/>
      <c r="P13" s="113"/>
      <c r="Q13" s="112"/>
    </row>
    <row r="14" spans="2:17" ht="18" customHeight="1" x14ac:dyDescent="0.4">
      <c r="B14" s="141"/>
      <c r="C14" s="120"/>
      <c r="D14" s="52"/>
      <c r="E14" s="110"/>
      <c r="F14" s="156"/>
      <c r="G14" s="157"/>
      <c r="H14" s="34"/>
      <c r="I14" s="156"/>
      <c r="J14" s="157"/>
      <c r="K14" s="34"/>
      <c r="L14" s="156"/>
      <c r="M14" s="157"/>
      <c r="N14" s="130"/>
      <c r="O14" s="35"/>
      <c r="P14" s="113"/>
      <c r="Q14" s="112"/>
    </row>
    <row r="15" spans="2:17" x14ac:dyDescent="0.4">
      <c r="B15" s="141"/>
      <c r="C15" s="120">
        <f t="shared" si="0"/>
        <v>0</v>
      </c>
      <c r="D15" s="52" t="s">
        <v>75</v>
      </c>
      <c r="E15" s="110" t="str">
        <f>CONCATENATE(E13+1,".")</f>
        <v>5.</v>
      </c>
      <c r="F15" s="154" t="s">
        <v>73</v>
      </c>
      <c r="G15" s="155" t="str">
        <f>[1]!wwsInput()</f>
        <v/>
      </c>
      <c r="H15" s="34"/>
      <c r="I15" s="154" t="s">
        <v>75</v>
      </c>
      <c r="J15" s="155" t="str">
        <f>[1]!wwsInput()</f>
        <v/>
      </c>
      <c r="K15" s="34"/>
      <c r="L15" s="154" t="s">
        <v>74</v>
      </c>
      <c r="M15" s="155" t="str">
        <f>[1]!wwsInput()</f>
        <v/>
      </c>
      <c r="N15" s="130"/>
      <c r="O15" s="35"/>
      <c r="P15" s="113"/>
      <c r="Q15" s="112"/>
    </row>
    <row r="16" spans="2:17" ht="18" customHeight="1" x14ac:dyDescent="0.4">
      <c r="B16" s="141"/>
      <c r="C16" s="120"/>
      <c r="D16" s="52"/>
      <c r="E16" s="110"/>
      <c r="F16" s="156"/>
      <c r="G16" s="157"/>
      <c r="H16" s="34"/>
      <c r="I16" s="156"/>
      <c r="J16" s="157"/>
      <c r="K16" s="34"/>
      <c r="L16" s="156"/>
      <c r="M16" s="157"/>
      <c r="N16" s="130"/>
      <c r="O16" s="35"/>
      <c r="P16" s="113"/>
      <c r="Q16" s="112"/>
    </row>
    <row r="17" spans="2:17" x14ac:dyDescent="0.4">
      <c r="B17" s="141"/>
      <c r="C17" s="120">
        <f t="shared" si="0"/>
        <v>0</v>
      </c>
      <c r="D17" s="52" t="s">
        <v>52</v>
      </c>
      <c r="E17" s="110" t="str">
        <f>CONCATENATE(E15+1,".")</f>
        <v>6.</v>
      </c>
      <c r="F17" s="51" t="s">
        <v>54</v>
      </c>
      <c r="G17" s="8" t="str">
        <f>[1]!wwsInput()</f>
        <v/>
      </c>
      <c r="H17" s="34"/>
      <c r="I17" s="51" t="s">
        <v>51</v>
      </c>
      <c r="J17" s="8" t="str">
        <f>[1]!wwsInput()</f>
        <v/>
      </c>
      <c r="K17" s="34"/>
      <c r="L17" s="51" t="s">
        <v>52</v>
      </c>
      <c r="M17" s="8" t="str">
        <f>[1]!wwsInput()</f>
        <v/>
      </c>
      <c r="N17" s="130"/>
      <c r="O17" s="35"/>
      <c r="P17" s="113"/>
      <c r="Q17" s="112"/>
    </row>
    <row r="18" spans="2:17" ht="18" customHeight="1" x14ac:dyDescent="0.4">
      <c r="B18" s="141"/>
      <c r="C18" s="120"/>
      <c r="D18" s="52"/>
      <c r="E18" s="110"/>
      <c r="F18" s="156"/>
      <c r="G18" s="157"/>
      <c r="H18" s="34"/>
      <c r="I18" s="156"/>
      <c r="J18" s="157"/>
      <c r="K18" s="34"/>
      <c r="L18" s="156"/>
      <c r="M18" s="157"/>
      <c r="N18" s="130"/>
      <c r="O18" s="35"/>
      <c r="P18" s="113"/>
      <c r="Q18" s="112"/>
    </row>
    <row r="19" spans="2:17" x14ac:dyDescent="0.4">
      <c r="B19" s="141"/>
      <c r="C19" s="120">
        <f t="shared" si="0"/>
        <v>0</v>
      </c>
      <c r="D19" s="52" t="s">
        <v>72</v>
      </c>
      <c r="E19" s="110" t="str">
        <f>CONCATENATE(E17+1,".")</f>
        <v>7.</v>
      </c>
      <c r="F19" s="51" t="s">
        <v>74</v>
      </c>
      <c r="G19" s="8" t="str">
        <f>[1]!wwsInput()</f>
        <v/>
      </c>
      <c r="H19" s="34"/>
      <c r="I19" s="51" t="s">
        <v>7</v>
      </c>
      <c r="J19" s="8" t="str">
        <f>[1]!wwsInput()</f>
        <v/>
      </c>
      <c r="K19" s="34"/>
      <c r="L19" s="51" t="s">
        <v>72</v>
      </c>
      <c r="M19" s="8" t="str">
        <f>[1]!wwsInput()</f>
        <v/>
      </c>
      <c r="N19" s="130"/>
      <c r="O19" s="35"/>
      <c r="P19" s="113"/>
      <c r="Q19" s="112"/>
    </row>
    <row r="20" spans="2:17" ht="18" customHeight="1" x14ac:dyDescent="0.4">
      <c r="B20" s="141"/>
      <c r="C20" s="120"/>
      <c r="D20" s="52"/>
      <c r="E20" s="110"/>
      <c r="F20" s="156"/>
      <c r="G20" s="157"/>
      <c r="H20" s="34"/>
      <c r="I20" s="156"/>
      <c r="J20" s="157"/>
      <c r="K20" s="34"/>
      <c r="L20" s="156"/>
      <c r="M20" s="157"/>
      <c r="N20" s="130"/>
      <c r="O20" s="35"/>
      <c r="P20" s="113"/>
      <c r="Q20" s="112"/>
    </row>
    <row r="21" spans="2:17" x14ac:dyDescent="0.4">
      <c r="B21" s="141"/>
      <c r="C21" s="120">
        <f t="shared" si="0"/>
        <v>0</v>
      </c>
      <c r="D21" s="52" t="s">
        <v>55</v>
      </c>
      <c r="E21" s="110" t="str">
        <f>CONCATENATE(E19+1,".")</f>
        <v>8.</v>
      </c>
      <c r="F21" s="51" t="s">
        <v>55</v>
      </c>
      <c r="G21" s="8" t="str">
        <f>[1]!wwsInput()</f>
        <v/>
      </c>
      <c r="H21" s="34"/>
      <c r="I21" s="51" t="s">
        <v>50</v>
      </c>
      <c r="J21" s="8" t="str">
        <f>[1]!wwsInput()</f>
        <v/>
      </c>
      <c r="K21" s="34"/>
      <c r="L21" s="51" t="s">
        <v>30</v>
      </c>
      <c r="M21" s="8" t="str">
        <f>[1]!wwsInput()</f>
        <v/>
      </c>
      <c r="N21" s="130"/>
      <c r="O21" s="35"/>
      <c r="P21" s="113"/>
      <c r="Q21" s="112"/>
    </row>
    <row r="22" spans="2:17" ht="18" customHeight="1" x14ac:dyDescent="0.4">
      <c r="B22" s="141"/>
      <c r="C22" s="120"/>
      <c r="D22" s="52"/>
      <c r="E22" s="110"/>
      <c r="F22" s="156"/>
      <c r="G22" s="157"/>
      <c r="H22" s="34"/>
      <c r="I22" s="156"/>
      <c r="J22" s="157"/>
      <c r="K22" s="34"/>
      <c r="L22" s="156"/>
      <c r="M22" s="157"/>
      <c r="N22" s="130"/>
      <c r="O22" s="35"/>
      <c r="P22" s="113"/>
      <c r="Q22" s="112"/>
    </row>
    <row r="23" spans="2:17" x14ac:dyDescent="0.4">
      <c r="B23" s="141"/>
      <c r="C23" s="120">
        <f t="shared" si="0"/>
        <v>0</v>
      </c>
      <c r="D23" s="52" t="s">
        <v>75</v>
      </c>
      <c r="E23" s="110" t="str">
        <f>CONCATENATE(E21+1,".")</f>
        <v>9.</v>
      </c>
      <c r="F23" s="51" t="s">
        <v>75</v>
      </c>
      <c r="G23" s="8" t="str">
        <f>[1]!wwsInput()</f>
        <v/>
      </c>
      <c r="H23" s="34"/>
      <c r="I23" s="51" t="s">
        <v>29</v>
      </c>
      <c r="J23" s="8" t="str">
        <f>[1]!wwsInput()</f>
        <v/>
      </c>
      <c r="K23" s="34"/>
      <c r="L23" s="51" t="s">
        <v>71</v>
      </c>
      <c r="M23" s="8" t="str">
        <f>[1]!wwsInput()</f>
        <v/>
      </c>
      <c r="N23" s="130"/>
      <c r="O23" s="35"/>
      <c r="P23" s="113"/>
      <c r="Q23" s="112"/>
    </row>
    <row r="24" spans="2:17" ht="18" customHeight="1" x14ac:dyDescent="0.4">
      <c r="B24" s="141"/>
      <c r="C24" s="120"/>
      <c r="D24" s="52"/>
      <c r="E24" s="110"/>
      <c r="F24" s="156"/>
      <c r="G24" s="157"/>
      <c r="H24" s="34"/>
      <c r="I24" s="156"/>
      <c r="J24" s="157"/>
      <c r="K24" s="34"/>
      <c r="L24" s="156"/>
      <c r="M24" s="157"/>
      <c r="N24" s="130"/>
      <c r="O24" s="35"/>
      <c r="P24" s="113"/>
      <c r="Q24" s="112"/>
    </row>
    <row r="25" spans="2:17" x14ac:dyDescent="0.4">
      <c r="B25" s="141"/>
      <c r="C25" s="120">
        <f t="shared" si="0"/>
        <v>0</v>
      </c>
      <c r="D25" s="52" t="s">
        <v>68</v>
      </c>
      <c r="E25" s="110" t="str">
        <f>CONCATENATE(E23+1,".")</f>
        <v>10.</v>
      </c>
      <c r="F25" s="51" t="s">
        <v>65</v>
      </c>
      <c r="G25" s="8" t="str">
        <f>[1]!wwsInput()</f>
        <v/>
      </c>
      <c r="H25" s="34"/>
      <c r="I25" s="51" t="s">
        <v>67</v>
      </c>
      <c r="J25" s="8" t="str">
        <f>[1]!wwsInput()</f>
        <v/>
      </c>
      <c r="K25" s="34"/>
      <c r="L25" s="51" t="s">
        <v>68</v>
      </c>
      <c r="M25" s="8" t="str">
        <f>[1]!wwsInput()</f>
        <v/>
      </c>
      <c r="N25" s="130"/>
      <c r="O25" s="35"/>
      <c r="P25" s="113"/>
      <c r="Q25" s="112"/>
    </row>
    <row r="26" spans="2:17" ht="18" customHeight="1" x14ac:dyDescent="0.4">
      <c r="B26" s="141"/>
      <c r="C26" s="120"/>
      <c r="D26" s="52"/>
      <c r="E26" s="110"/>
      <c r="F26" s="156"/>
      <c r="G26" s="157"/>
      <c r="H26" s="34"/>
      <c r="I26" s="156"/>
      <c r="J26" s="157"/>
      <c r="K26" s="34"/>
      <c r="L26" s="156"/>
      <c r="M26" s="157"/>
      <c r="N26" s="130"/>
      <c r="O26" s="35"/>
      <c r="P26" s="113"/>
      <c r="Q26" s="112"/>
    </row>
    <row r="27" spans="2:17" x14ac:dyDescent="0.4">
      <c r="B27" s="141"/>
      <c r="C27" s="120">
        <f t="shared" si="0"/>
        <v>0</v>
      </c>
      <c r="D27" s="52" t="s">
        <v>64</v>
      </c>
      <c r="E27" s="110" t="str">
        <f>CONCATENATE(E25+1,".")</f>
        <v>11.</v>
      </c>
      <c r="F27" s="51" t="s">
        <v>64</v>
      </c>
      <c r="G27" s="8" t="str">
        <f>[1]!wwsInput()</f>
        <v/>
      </c>
      <c r="H27" s="34"/>
      <c r="I27" s="51" t="s">
        <v>59</v>
      </c>
      <c r="J27" s="8" t="str">
        <f>[1]!wwsInput()</f>
        <v/>
      </c>
      <c r="K27" s="34"/>
      <c r="L27" s="51" t="s">
        <v>31</v>
      </c>
      <c r="M27" s="8" t="str">
        <f>[1]!wwsInput()</f>
        <v/>
      </c>
      <c r="N27" s="130"/>
      <c r="O27" s="35"/>
      <c r="P27" s="113"/>
      <c r="Q27" s="112"/>
    </row>
    <row r="28" spans="2:17" ht="18" customHeight="1" x14ac:dyDescent="0.4">
      <c r="B28" s="141"/>
      <c r="C28" s="120"/>
      <c r="D28" s="52"/>
      <c r="E28" s="110"/>
      <c r="F28" s="156"/>
      <c r="G28" s="157"/>
      <c r="H28" s="34"/>
      <c r="I28" s="156"/>
      <c r="J28" s="157"/>
      <c r="K28" s="34"/>
      <c r="L28" s="156"/>
      <c r="M28" s="157"/>
      <c r="N28" s="130"/>
      <c r="O28" s="35"/>
      <c r="P28" s="113"/>
      <c r="Q28" s="112"/>
    </row>
    <row r="29" spans="2:17" x14ac:dyDescent="0.4">
      <c r="B29" s="141"/>
      <c r="C29" s="120">
        <f t="shared" si="0"/>
        <v>0</v>
      </c>
      <c r="D29" s="52" t="s">
        <v>48</v>
      </c>
      <c r="E29" s="110" t="str">
        <f>CONCATENATE(E27+1,".")</f>
        <v>12.</v>
      </c>
      <c r="F29" s="51" t="s">
        <v>62</v>
      </c>
      <c r="G29" s="8" t="str">
        <f>[1]!wwsInput()</f>
        <v/>
      </c>
      <c r="H29" s="34"/>
      <c r="I29" s="51" t="s">
        <v>31</v>
      </c>
      <c r="J29" s="8" t="str">
        <f>[1]!wwsInput()</f>
        <v/>
      </c>
      <c r="K29" s="34"/>
      <c r="L29" s="51" t="s">
        <v>48</v>
      </c>
      <c r="M29" s="8" t="str">
        <f>[1]!wwsInput()</f>
        <v/>
      </c>
      <c r="N29" s="130"/>
      <c r="O29" s="35"/>
      <c r="P29" s="113"/>
      <c r="Q29" s="112"/>
    </row>
    <row r="30" spans="2:17" ht="18" customHeight="1" x14ac:dyDescent="0.4">
      <c r="B30" s="141"/>
      <c r="C30" s="120"/>
      <c r="D30" s="52"/>
      <c r="E30" s="110"/>
      <c r="F30" s="156"/>
      <c r="G30" s="157"/>
      <c r="H30" s="34"/>
      <c r="I30" s="156"/>
      <c r="J30" s="157"/>
      <c r="K30" s="34"/>
      <c r="L30" s="156"/>
      <c r="M30" s="157"/>
      <c r="N30" s="130"/>
      <c r="O30" s="35"/>
      <c r="P30" s="113"/>
      <c r="Q30" s="112"/>
    </row>
    <row r="31" spans="2:17" x14ac:dyDescent="0.4">
      <c r="B31" s="141"/>
      <c r="C31" s="120">
        <f t="shared" si="0"/>
        <v>0</v>
      </c>
      <c r="D31" s="52" t="s">
        <v>7</v>
      </c>
      <c r="E31" s="110" t="str">
        <f>CONCATENATE(E29+1,".")</f>
        <v>13.</v>
      </c>
      <c r="F31" s="51" t="s">
        <v>70</v>
      </c>
      <c r="G31" s="8" t="str">
        <f>[1]!wwsInput()</f>
        <v/>
      </c>
      <c r="H31" s="34"/>
      <c r="I31" s="51" t="s">
        <v>29</v>
      </c>
      <c r="J31" s="8" t="str">
        <f>[1]!wwsInput()</f>
        <v/>
      </c>
      <c r="K31" s="34"/>
      <c r="L31" s="51" t="s">
        <v>7</v>
      </c>
      <c r="M31" s="8" t="str">
        <f>[1]!wwsInput()</f>
        <v/>
      </c>
      <c r="N31" s="130"/>
      <c r="O31" s="35"/>
      <c r="P31" s="113"/>
      <c r="Q31" s="112"/>
    </row>
    <row r="32" spans="2:17" ht="18" customHeight="1" x14ac:dyDescent="0.4">
      <c r="B32" s="141"/>
      <c r="C32" s="120"/>
      <c r="D32" s="52"/>
      <c r="E32" s="110"/>
      <c r="F32" s="156"/>
      <c r="G32" s="157"/>
      <c r="H32" s="34"/>
      <c r="I32" s="156"/>
      <c r="J32" s="157"/>
      <c r="K32" s="34"/>
      <c r="L32" s="156"/>
      <c r="M32" s="157"/>
      <c r="N32" s="130"/>
      <c r="O32" s="35"/>
      <c r="P32" s="113"/>
      <c r="Q32" s="112"/>
    </row>
    <row r="33" spans="2:20" x14ac:dyDescent="0.4">
      <c r="B33" s="141"/>
      <c r="C33" s="120">
        <f t="shared" si="0"/>
        <v>0</v>
      </c>
      <c r="D33" s="52" t="s">
        <v>60</v>
      </c>
      <c r="E33" s="110" t="str">
        <f>CONCATENATE(E31+1,".")</f>
        <v>14.</v>
      </c>
      <c r="F33" s="51" t="s">
        <v>69</v>
      </c>
      <c r="G33" s="8" t="str">
        <f>[1]!wwsInput()</f>
        <v/>
      </c>
      <c r="H33" s="34"/>
      <c r="I33" s="51" t="s">
        <v>60</v>
      </c>
      <c r="J33" s="8" t="str">
        <f>[1]!wwsInput()</f>
        <v/>
      </c>
      <c r="K33" s="34"/>
      <c r="L33" s="51" t="s">
        <v>72</v>
      </c>
      <c r="M33" s="8" t="str">
        <f>[1]!wwsInput()</f>
        <v/>
      </c>
      <c r="N33" s="130"/>
      <c r="O33" s="35"/>
      <c r="P33" s="113"/>
      <c r="Q33" s="112"/>
    </row>
    <row r="34" spans="2:20" ht="18" customHeight="1" x14ac:dyDescent="0.4">
      <c r="B34" s="141"/>
      <c r="C34" s="120"/>
      <c r="D34" s="52"/>
      <c r="E34" s="110"/>
      <c r="F34" s="156"/>
      <c r="G34" s="157"/>
      <c r="H34" s="34"/>
      <c r="I34" s="156"/>
      <c r="J34" s="157"/>
      <c r="K34" s="34"/>
      <c r="L34" s="156"/>
      <c r="M34" s="157"/>
      <c r="N34" s="130"/>
      <c r="O34" s="35"/>
      <c r="P34" s="113"/>
      <c r="Q34" s="112"/>
    </row>
    <row r="35" spans="2:20" x14ac:dyDescent="0.4">
      <c r="B35" s="142">
        <f>SUM(C7:C35)/15</f>
        <v>6.6666666666666666E-2</v>
      </c>
      <c r="C35" s="120">
        <f t="shared" si="0"/>
        <v>0</v>
      </c>
      <c r="D35" s="52" t="s">
        <v>62</v>
      </c>
      <c r="E35" s="110" t="str">
        <f t="shared" ref="E35" si="1">CONCATENATE(E33+1,".")</f>
        <v>15.</v>
      </c>
      <c r="F35" s="51" t="s">
        <v>59</v>
      </c>
      <c r="G35" s="8" t="str">
        <f>[1]!wwsInput()</f>
        <v/>
      </c>
      <c r="H35" s="34"/>
      <c r="I35" s="51" t="s">
        <v>62</v>
      </c>
      <c r="J35" s="8" t="str">
        <f>[1]!wwsInput()</f>
        <v/>
      </c>
      <c r="K35" s="34"/>
      <c r="L35" s="51" t="s">
        <v>63</v>
      </c>
      <c r="M35" s="8" t="str">
        <f>[1]!wwsInput()</f>
        <v/>
      </c>
      <c r="N35" s="130"/>
      <c r="O35" s="35"/>
      <c r="P35" s="113"/>
      <c r="Q35" s="112"/>
    </row>
    <row r="36" spans="2:20" x14ac:dyDescent="0.4">
      <c r="B36" s="143"/>
      <c r="C36" s="128"/>
      <c r="D36" s="52"/>
      <c r="E36" s="144"/>
      <c r="F36" s="145"/>
      <c r="G36" s="129"/>
      <c r="H36" s="129"/>
      <c r="I36" s="146"/>
      <c r="J36" s="129"/>
      <c r="K36" s="129"/>
      <c r="L36" s="145"/>
      <c r="M36" s="144"/>
      <c r="N36" s="147"/>
      <c r="O36" s="11"/>
      <c r="P36" s="144"/>
      <c r="Q36" s="125"/>
      <c r="R36" s="2"/>
      <c r="S36" s="2"/>
      <c r="T36" s="2"/>
    </row>
    <row r="37" spans="2:20" x14ac:dyDescent="0.4">
      <c r="B37" s="168"/>
      <c r="C37" s="168"/>
      <c r="D37" s="168"/>
      <c r="E37" s="85"/>
      <c r="F37" s="52"/>
      <c r="G37" s="144"/>
      <c r="H37" s="145"/>
      <c r="I37" s="129"/>
      <c r="J37" s="129"/>
      <c r="K37" s="146"/>
      <c r="L37" s="129"/>
      <c r="M37" s="129"/>
      <c r="N37" s="145"/>
      <c r="O37" s="144"/>
      <c r="P37" s="129"/>
      <c r="R37" s="86" t="s">
        <v>43</v>
      </c>
      <c r="S37" s="2"/>
      <c r="T37" s="2"/>
    </row>
    <row r="38" spans="2:20" x14ac:dyDescent="0.4">
      <c r="B38" s="44"/>
      <c r="C38" s="11"/>
      <c r="D38" s="11"/>
      <c r="E38" s="85"/>
      <c r="F38" s="52"/>
      <c r="G38" s="144"/>
      <c r="H38" s="145"/>
      <c r="I38" s="129"/>
      <c r="J38" s="129"/>
      <c r="K38" s="146"/>
      <c r="L38" s="129"/>
      <c r="M38" s="129"/>
      <c r="N38" s="145"/>
      <c r="O38" s="144"/>
      <c r="P38" s="129"/>
      <c r="Q38" s="11"/>
      <c r="R38" s="2"/>
      <c r="S38" s="2"/>
      <c r="T38" s="2"/>
    </row>
    <row r="39" spans="2:20" x14ac:dyDescent="0.4">
      <c r="B39" s="44"/>
      <c r="C39" s="41"/>
      <c r="D39" s="41"/>
      <c r="E39" s="47"/>
      <c r="F39" s="29"/>
      <c r="G39" s="44"/>
      <c r="H39" s="45"/>
      <c r="I39" s="46"/>
      <c r="J39" s="47"/>
      <c r="K39" s="45"/>
      <c r="L39" s="46"/>
      <c r="M39" s="47"/>
      <c r="N39" s="45"/>
      <c r="O39" s="46"/>
      <c r="P39" s="24"/>
      <c r="Q39" s="28"/>
      <c r="R39" s="2"/>
      <c r="S39" s="2"/>
      <c r="T39" s="2"/>
    </row>
    <row r="40" spans="2:20" x14ac:dyDescent="0.4">
      <c r="B40" s="44"/>
      <c r="C40" s="41"/>
      <c r="D40" s="41"/>
      <c r="E40" s="47"/>
      <c r="F40" s="29"/>
      <c r="G40" s="44"/>
      <c r="H40" s="45"/>
      <c r="I40" s="46"/>
      <c r="J40" s="47"/>
      <c r="K40" s="45"/>
      <c r="L40" s="46"/>
      <c r="M40" s="47"/>
      <c r="N40" s="45"/>
      <c r="O40" s="46"/>
      <c r="P40" s="24"/>
      <c r="Q40" s="28"/>
      <c r="R40" s="2"/>
      <c r="S40" s="2"/>
      <c r="T40" s="2"/>
    </row>
    <row r="41" spans="2:20" x14ac:dyDescent="0.4">
      <c r="B41" s="31"/>
      <c r="C41" s="41"/>
      <c r="D41" s="41"/>
      <c r="E41" s="34"/>
      <c r="F41" s="29"/>
      <c r="G41" s="31"/>
      <c r="H41" s="32"/>
      <c r="I41" s="41"/>
      <c r="J41" s="34"/>
      <c r="K41" s="32"/>
      <c r="L41" s="41"/>
      <c r="M41" s="34"/>
      <c r="N41" s="32"/>
      <c r="O41" s="41"/>
      <c r="P41" s="9"/>
      <c r="Q41" s="28"/>
      <c r="R41" s="2"/>
      <c r="S41" s="2"/>
      <c r="T41" s="2"/>
    </row>
    <row r="42" spans="2:20" x14ac:dyDescent="0.4">
      <c r="B42" s="31"/>
      <c r="C42" s="41"/>
      <c r="D42" s="41"/>
      <c r="E42" s="34"/>
      <c r="F42" s="29"/>
      <c r="G42" s="31"/>
      <c r="H42" s="32"/>
      <c r="I42" s="41"/>
      <c r="J42" s="34"/>
      <c r="K42" s="32"/>
      <c r="L42" s="41"/>
      <c r="M42" s="34"/>
      <c r="N42" s="32"/>
      <c r="O42" s="41"/>
      <c r="P42" s="9"/>
      <c r="Q42" s="28"/>
      <c r="R42" s="2"/>
      <c r="S42" s="2"/>
      <c r="T42" s="2"/>
    </row>
    <row r="43" spans="2:20" x14ac:dyDescent="0.4">
      <c r="B43" s="31"/>
      <c r="C43" s="41"/>
      <c r="D43" s="41"/>
      <c r="E43" s="34"/>
      <c r="F43" s="29"/>
      <c r="G43" s="31"/>
      <c r="H43" s="32"/>
      <c r="I43" s="41"/>
      <c r="J43" s="34"/>
      <c r="K43" s="32"/>
      <c r="L43" s="41"/>
      <c r="M43" s="34"/>
      <c r="N43" s="32"/>
      <c r="O43" s="41"/>
      <c r="P43" s="9"/>
      <c r="Q43" s="28"/>
      <c r="R43" s="2"/>
      <c r="S43" s="2"/>
      <c r="T43" s="2"/>
    </row>
    <row r="44" spans="2:20" x14ac:dyDescent="0.4">
      <c r="B44" s="31"/>
      <c r="C44" s="41"/>
      <c r="D44" s="41"/>
      <c r="E44" s="34"/>
      <c r="F44" s="29"/>
      <c r="G44" s="31"/>
      <c r="H44" s="32"/>
      <c r="I44" s="41"/>
      <c r="J44" s="34"/>
      <c r="K44" s="32"/>
      <c r="L44" s="41"/>
      <c r="M44" s="34"/>
      <c r="N44" s="32"/>
      <c r="O44" s="41"/>
      <c r="P44" s="9"/>
      <c r="Q44" s="28"/>
      <c r="R44" s="2"/>
      <c r="S44" s="2"/>
      <c r="T44" s="2"/>
    </row>
    <row r="45" spans="2:20" x14ac:dyDescent="0.4">
      <c r="B45" s="31"/>
      <c r="C45" s="41"/>
      <c r="D45" s="41"/>
      <c r="E45" s="34"/>
      <c r="F45" s="29"/>
      <c r="G45" s="31"/>
      <c r="H45" s="32"/>
      <c r="I45" s="41"/>
      <c r="J45" s="34"/>
      <c r="K45" s="32"/>
      <c r="L45" s="41"/>
      <c r="M45" s="34"/>
      <c r="N45" s="32"/>
      <c r="O45" s="41"/>
      <c r="P45" s="9"/>
      <c r="Q45" s="28"/>
      <c r="R45" s="2"/>
      <c r="S45" s="2"/>
      <c r="T45" s="2"/>
    </row>
    <row r="46" spans="2:20" x14ac:dyDescent="0.4">
      <c r="B46" s="31"/>
      <c r="C46" s="41"/>
      <c r="D46" s="41"/>
      <c r="E46" s="34"/>
      <c r="F46" s="29"/>
      <c r="G46" s="31"/>
      <c r="H46" s="32"/>
      <c r="I46" s="41"/>
      <c r="J46" s="34"/>
      <c r="K46" s="32"/>
      <c r="L46" s="41"/>
      <c r="M46" s="34"/>
      <c r="N46" s="32"/>
      <c r="O46" s="41"/>
      <c r="P46" s="9"/>
      <c r="Q46" s="28"/>
      <c r="R46" s="2"/>
      <c r="S46" s="2"/>
      <c r="T46" s="2"/>
    </row>
    <row r="47" spans="2:20" x14ac:dyDescent="0.4">
      <c r="B47" s="31"/>
      <c r="C47" s="41"/>
      <c r="D47" s="41"/>
      <c r="E47" s="34"/>
      <c r="F47" s="29"/>
      <c r="G47" s="31"/>
      <c r="H47" s="32"/>
      <c r="I47" s="41"/>
      <c r="J47" s="34"/>
      <c r="K47" s="32"/>
      <c r="L47" s="41"/>
      <c r="M47" s="34"/>
      <c r="N47" s="32"/>
      <c r="O47" s="41"/>
      <c r="P47" s="9"/>
      <c r="Q47" s="28"/>
      <c r="R47" s="2"/>
      <c r="S47" s="2"/>
      <c r="T47" s="2"/>
    </row>
    <row r="48" spans="2:20" x14ac:dyDescent="0.4">
      <c r="B48" s="31"/>
      <c r="C48" s="41"/>
      <c r="D48" s="41"/>
      <c r="E48" s="34"/>
      <c r="F48" s="29"/>
      <c r="G48" s="31"/>
      <c r="H48" s="32"/>
      <c r="I48" s="41"/>
      <c r="J48" s="34"/>
      <c r="K48" s="32"/>
      <c r="L48" s="41"/>
      <c r="M48" s="34"/>
      <c r="N48" s="32"/>
      <c r="O48" s="41"/>
      <c r="P48" s="9"/>
      <c r="Q48" s="28"/>
      <c r="R48" s="2"/>
      <c r="S48" s="2"/>
      <c r="T48" s="2"/>
    </row>
    <row r="49" spans="2:20" x14ac:dyDescent="0.4">
      <c r="B49" s="31"/>
      <c r="C49" s="41"/>
      <c r="D49" s="41"/>
      <c r="E49" s="34"/>
      <c r="F49" s="29"/>
      <c r="G49" s="31"/>
      <c r="H49" s="32"/>
      <c r="I49" s="41"/>
      <c r="J49" s="34"/>
      <c r="K49" s="32"/>
      <c r="L49" s="41"/>
      <c r="M49" s="34"/>
      <c r="N49" s="32"/>
      <c r="O49" s="41"/>
      <c r="P49" s="9"/>
      <c r="Q49" s="28"/>
      <c r="R49" s="2"/>
      <c r="S49" s="2"/>
      <c r="T49" s="2"/>
    </row>
    <row r="50" spans="2:20" x14ac:dyDescent="0.4">
      <c r="B50" s="31"/>
      <c r="C50" s="41"/>
      <c r="D50" s="41"/>
      <c r="E50" s="34"/>
      <c r="F50" s="29"/>
      <c r="G50" s="31"/>
      <c r="H50" s="32"/>
      <c r="I50" s="41"/>
      <c r="J50" s="34"/>
      <c r="K50" s="32"/>
      <c r="L50" s="41"/>
      <c r="M50" s="34"/>
      <c r="N50" s="32"/>
      <c r="O50" s="41"/>
      <c r="P50" s="9"/>
      <c r="Q50" s="28"/>
      <c r="R50" s="2"/>
      <c r="S50" s="2"/>
      <c r="T50" s="2"/>
    </row>
    <row r="51" spans="2:20" x14ac:dyDescent="0.4">
      <c r="B51" s="31"/>
      <c r="C51" s="41"/>
      <c r="D51" s="41"/>
      <c r="E51" s="34"/>
      <c r="F51" s="29"/>
      <c r="G51" s="31"/>
      <c r="H51" s="32"/>
      <c r="I51" s="41"/>
      <c r="J51" s="34"/>
      <c r="K51" s="32"/>
      <c r="L51" s="41"/>
      <c r="M51" s="34"/>
      <c r="N51" s="32"/>
      <c r="O51" s="41"/>
      <c r="P51" s="9"/>
      <c r="Q51" s="28"/>
      <c r="R51" s="2"/>
      <c r="S51" s="2"/>
      <c r="T51" s="2"/>
    </row>
    <row r="52" spans="2:20" x14ac:dyDescent="0.4">
      <c r="B52" s="31"/>
      <c r="C52" s="41"/>
      <c r="D52" s="41"/>
      <c r="E52" s="34"/>
      <c r="F52" s="29"/>
      <c r="G52" s="31"/>
      <c r="H52" s="32"/>
      <c r="I52" s="41"/>
      <c r="J52" s="34"/>
      <c r="K52" s="32"/>
      <c r="L52" s="41"/>
      <c r="M52" s="34"/>
      <c r="N52" s="32"/>
      <c r="O52" s="41"/>
      <c r="P52" s="9"/>
      <c r="Q52" s="28"/>
      <c r="R52" s="2"/>
      <c r="S52" s="2"/>
      <c r="T52" s="2"/>
    </row>
    <row r="53" spans="2:20" x14ac:dyDescent="0.4">
      <c r="B53" s="31"/>
      <c r="C53" s="41"/>
      <c r="D53" s="41"/>
      <c r="E53" s="34"/>
      <c r="F53" s="29"/>
      <c r="G53" s="31"/>
      <c r="H53" s="32"/>
      <c r="I53" s="41"/>
      <c r="J53" s="34"/>
      <c r="K53" s="32"/>
      <c r="L53" s="41"/>
      <c r="M53" s="34"/>
      <c r="N53" s="32"/>
      <c r="O53" s="41"/>
      <c r="P53" s="9"/>
      <c r="Q53" s="28"/>
      <c r="R53" s="2"/>
      <c r="S53" s="2"/>
      <c r="T53" s="2"/>
    </row>
    <row r="54" spans="2:20" x14ac:dyDescent="0.4">
      <c r="B54" s="31"/>
      <c r="C54" s="41"/>
      <c r="D54" s="41"/>
      <c r="E54" s="34"/>
      <c r="F54" s="29"/>
      <c r="G54" s="31"/>
      <c r="H54" s="32"/>
      <c r="I54" s="41"/>
      <c r="J54" s="34"/>
      <c r="K54" s="32"/>
      <c r="L54" s="41"/>
      <c r="M54" s="34"/>
      <c r="N54" s="32"/>
      <c r="O54" s="41"/>
      <c r="P54" s="9"/>
      <c r="Q54" s="28"/>
      <c r="R54" s="2"/>
      <c r="S54" s="2"/>
      <c r="T54" s="2"/>
    </row>
    <row r="55" spans="2:20" x14ac:dyDescent="0.4">
      <c r="B55" s="31"/>
      <c r="C55" s="41"/>
      <c r="D55" s="41"/>
      <c r="E55" s="34"/>
      <c r="F55" s="29"/>
      <c r="G55" s="31"/>
      <c r="H55" s="32"/>
      <c r="I55" s="41"/>
      <c r="J55" s="34"/>
      <c r="K55" s="32"/>
      <c r="L55" s="41"/>
      <c r="M55" s="34"/>
      <c r="N55" s="32"/>
      <c r="O55" s="41"/>
      <c r="P55" s="9"/>
      <c r="Q55" s="28"/>
      <c r="R55" s="2"/>
      <c r="S55" s="2"/>
      <c r="T55" s="2"/>
    </row>
    <row r="56" spans="2:20" x14ac:dyDescent="0.4">
      <c r="B56" s="31"/>
      <c r="C56" s="41"/>
      <c r="D56" s="41"/>
      <c r="E56" s="34"/>
      <c r="F56" s="29"/>
      <c r="G56" s="31"/>
      <c r="H56" s="32"/>
      <c r="I56" s="41"/>
      <c r="J56" s="34"/>
      <c r="K56" s="32"/>
      <c r="L56" s="41"/>
      <c r="M56" s="34"/>
      <c r="N56" s="32"/>
      <c r="O56" s="41"/>
      <c r="P56" s="9"/>
      <c r="Q56" s="28"/>
      <c r="R56" s="2"/>
      <c r="S56" s="2"/>
      <c r="T56" s="2"/>
    </row>
    <row r="57" spans="2:20" x14ac:dyDescent="0.4">
      <c r="B57" s="31"/>
      <c r="C57" s="41"/>
      <c r="D57" s="41"/>
      <c r="E57" s="34"/>
      <c r="F57" s="29"/>
      <c r="G57" s="31"/>
      <c r="H57" s="32"/>
      <c r="I57" s="41"/>
      <c r="J57" s="34"/>
      <c r="K57" s="32"/>
      <c r="L57" s="41"/>
      <c r="M57" s="34"/>
      <c r="N57" s="32"/>
      <c r="O57" s="41"/>
      <c r="P57" s="9"/>
      <c r="Q57" s="28"/>
      <c r="R57" s="2"/>
      <c r="S57" s="2"/>
      <c r="T57" s="2"/>
    </row>
    <row r="58" spans="2:20" x14ac:dyDescent="0.4">
      <c r="B58" s="31"/>
      <c r="C58" s="41"/>
      <c r="D58" s="41"/>
      <c r="E58" s="34"/>
      <c r="F58" s="29"/>
      <c r="G58" s="31"/>
      <c r="H58" s="32"/>
      <c r="I58" s="41"/>
      <c r="J58" s="34"/>
      <c r="K58" s="32"/>
      <c r="L58" s="41"/>
      <c r="M58" s="34"/>
      <c r="N58" s="32"/>
      <c r="O58" s="41"/>
      <c r="P58" s="9"/>
      <c r="Q58" s="28"/>
      <c r="R58" s="2"/>
      <c r="S58" s="2"/>
      <c r="T58" s="2"/>
    </row>
    <row r="59" spans="2:20" x14ac:dyDescent="0.4">
      <c r="B59" s="31"/>
      <c r="C59" s="41"/>
      <c r="D59" s="41"/>
      <c r="E59" s="34"/>
      <c r="F59" s="29"/>
      <c r="G59" s="31"/>
      <c r="H59" s="136"/>
      <c r="I59" s="5"/>
      <c r="J59" s="17"/>
      <c r="K59" s="37"/>
      <c r="L59" s="5"/>
      <c r="M59" s="17"/>
      <c r="N59" s="1"/>
      <c r="O59" s="2"/>
      <c r="P59" s="5"/>
      <c r="Q59" s="11"/>
      <c r="R59" s="2"/>
      <c r="S59" s="2"/>
      <c r="T59" s="2"/>
    </row>
    <row r="60" spans="2:20" x14ac:dyDescent="0.4">
      <c r="B60" s="31"/>
      <c r="C60" s="41"/>
      <c r="D60" s="41"/>
      <c r="E60" s="34"/>
      <c r="F60" s="29"/>
      <c r="G60" s="31"/>
      <c r="H60" s="136"/>
      <c r="I60" s="5"/>
      <c r="J60" s="17"/>
      <c r="K60" s="37"/>
      <c r="L60" s="5"/>
      <c r="M60" s="17"/>
      <c r="N60" s="1"/>
      <c r="O60" s="2"/>
      <c r="P60" s="5"/>
      <c r="Q60" s="11"/>
      <c r="R60" s="2"/>
      <c r="S60" s="2"/>
      <c r="T60" s="2"/>
    </row>
    <row r="61" spans="2:20" x14ac:dyDescent="0.4">
      <c r="B61" s="31"/>
      <c r="C61" s="41"/>
      <c r="D61" s="41"/>
      <c r="E61" s="34"/>
      <c r="F61" s="29"/>
      <c r="G61" s="31"/>
      <c r="H61" s="136"/>
      <c r="I61" s="5"/>
      <c r="J61" s="17"/>
      <c r="K61" s="37"/>
      <c r="L61" s="5"/>
      <c r="M61" s="17"/>
      <c r="N61" s="1"/>
      <c r="O61" s="2"/>
      <c r="P61" s="5"/>
      <c r="Q61" s="11"/>
      <c r="R61" s="2"/>
      <c r="S61" s="2"/>
      <c r="T61" s="2"/>
    </row>
    <row r="62" spans="2:20" x14ac:dyDescent="0.4">
      <c r="B62" s="31"/>
      <c r="C62" s="41"/>
      <c r="D62" s="41"/>
      <c r="E62" s="34"/>
      <c r="F62" s="29"/>
      <c r="G62" s="31"/>
      <c r="H62" s="136"/>
      <c r="I62" s="5"/>
      <c r="J62" s="17"/>
      <c r="K62" s="37"/>
      <c r="L62" s="5"/>
      <c r="M62" s="17"/>
      <c r="N62" s="1"/>
      <c r="O62" s="2"/>
      <c r="P62" s="5"/>
      <c r="Q62" s="11"/>
      <c r="R62" s="2"/>
      <c r="S62" s="2"/>
      <c r="T62" s="2"/>
    </row>
    <row r="63" spans="2:20" x14ac:dyDescent="0.4">
      <c r="B63" s="31"/>
      <c r="C63" s="41"/>
      <c r="D63" s="41"/>
      <c r="E63" s="34"/>
      <c r="F63" s="29"/>
      <c r="G63" s="31"/>
      <c r="H63" s="136"/>
      <c r="I63" s="5"/>
      <c r="J63" s="17"/>
      <c r="K63" s="37"/>
      <c r="L63" s="5"/>
      <c r="M63" s="17"/>
      <c r="N63" s="1"/>
      <c r="O63" s="2"/>
      <c r="P63" s="5"/>
      <c r="Q63" s="11"/>
      <c r="R63" s="2"/>
      <c r="S63" s="2"/>
      <c r="T63" s="2"/>
    </row>
    <row r="64" spans="2:20" x14ac:dyDescent="0.4">
      <c r="B64" s="31"/>
      <c r="C64" s="41"/>
      <c r="D64" s="41"/>
      <c r="E64" s="34"/>
      <c r="F64" s="29"/>
      <c r="G64" s="31"/>
      <c r="H64" s="136"/>
      <c r="I64" s="5"/>
      <c r="J64" s="17"/>
      <c r="K64" s="37"/>
      <c r="L64" s="5"/>
      <c r="M64" s="17"/>
      <c r="N64" s="1"/>
      <c r="O64" s="2"/>
      <c r="P64" s="5"/>
      <c r="Q64" s="11"/>
      <c r="R64" s="2"/>
      <c r="S64" s="2"/>
      <c r="T64" s="2"/>
    </row>
    <row r="65" spans="2:20" x14ac:dyDescent="0.4">
      <c r="B65" s="31"/>
      <c r="C65" s="41"/>
      <c r="D65" s="41"/>
      <c r="E65" s="34"/>
      <c r="F65" s="29"/>
      <c r="G65" s="31"/>
      <c r="H65" s="136"/>
      <c r="I65" s="5"/>
      <c r="J65" s="17"/>
      <c r="K65" s="37"/>
      <c r="L65" s="5"/>
      <c r="M65" s="17"/>
      <c r="N65" s="1"/>
      <c r="O65" s="2"/>
      <c r="P65" s="5"/>
      <c r="Q65" s="11"/>
      <c r="R65" s="2"/>
      <c r="S65" s="2"/>
      <c r="T65" s="2"/>
    </row>
    <row r="66" spans="2:20" x14ac:dyDescent="0.4">
      <c r="B66" s="31"/>
      <c r="C66" s="41"/>
      <c r="D66" s="41"/>
      <c r="E66" s="34"/>
      <c r="F66" s="29"/>
      <c r="G66" s="31"/>
      <c r="H66" s="136"/>
      <c r="I66" s="5"/>
      <c r="J66" s="17"/>
      <c r="K66" s="37"/>
      <c r="L66" s="5"/>
      <c r="M66" s="17"/>
      <c r="N66" s="1"/>
      <c r="O66" s="2"/>
      <c r="P66" s="5"/>
      <c r="Q66" s="11"/>
      <c r="R66" s="2"/>
      <c r="S66" s="2"/>
      <c r="T66" s="2"/>
    </row>
    <row r="67" spans="2:20" x14ac:dyDescent="0.4">
      <c r="B67" s="31"/>
      <c r="C67" s="41"/>
      <c r="D67" s="41"/>
      <c r="E67" s="34"/>
      <c r="F67" s="29"/>
      <c r="G67" s="31"/>
      <c r="H67" s="136"/>
      <c r="I67" s="5"/>
      <c r="J67" s="17"/>
      <c r="K67" s="37"/>
      <c r="L67" s="5"/>
      <c r="M67" s="17"/>
      <c r="N67" s="1"/>
      <c r="O67" s="2"/>
      <c r="P67" s="5"/>
      <c r="Q67" s="11"/>
      <c r="R67" s="2"/>
      <c r="S67" s="2"/>
      <c r="T67" s="2"/>
    </row>
    <row r="68" spans="2:20" x14ac:dyDescent="0.4">
      <c r="B68" s="31"/>
      <c r="C68" s="41"/>
      <c r="D68" s="41"/>
      <c r="E68" s="34"/>
      <c r="F68" s="29"/>
      <c r="G68" s="31"/>
      <c r="H68" s="136"/>
      <c r="I68" s="5"/>
      <c r="J68" s="17"/>
      <c r="K68" s="37"/>
      <c r="L68" s="5"/>
      <c r="M68" s="17"/>
      <c r="N68" s="1"/>
      <c r="O68" s="2"/>
      <c r="P68" s="5"/>
      <c r="Q68" s="11"/>
      <c r="R68" s="2"/>
      <c r="S68" s="2"/>
      <c r="T68" s="2"/>
    </row>
    <row r="69" spans="2:20" x14ac:dyDescent="0.4">
      <c r="B69" s="31"/>
      <c r="C69" s="41"/>
      <c r="D69" s="41"/>
      <c r="E69" s="34"/>
      <c r="F69" s="29"/>
      <c r="G69" s="31"/>
      <c r="H69" s="136"/>
      <c r="I69" s="5"/>
      <c r="J69" s="17"/>
      <c r="K69" s="37"/>
      <c r="L69" s="5"/>
      <c r="M69" s="17"/>
      <c r="N69" s="1"/>
      <c r="O69" s="2"/>
      <c r="P69" s="5"/>
      <c r="Q69" s="11"/>
      <c r="R69" s="2"/>
      <c r="S69" s="2"/>
      <c r="T69" s="2"/>
    </row>
    <row r="70" spans="2:20" x14ac:dyDescent="0.4">
      <c r="B70" s="31"/>
      <c r="C70" s="41"/>
      <c r="D70" s="41"/>
      <c r="E70" s="34"/>
      <c r="F70" s="29"/>
      <c r="G70" s="31"/>
      <c r="H70" s="136"/>
      <c r="I70" s="5"/>
      <c r="J70" s="17"/>
      <c r="K70" s="37"/>
      <c r="L70" s="5"/>
      <c r="M70" s="17"/>
      <c r="N70" s="1"/>
      <c r="O70" s="2"/>
      <c r="P70" s="5"/>
      <c r="Q70" s="11"/>
      <c r="R70" s="2"/>
      <c r="S70" s="2"/>
      <c r="T70" s="2"/>
    </row>
    <row r="71" spans="2:20" x14ac:dyDescent="0.4">
      <c r="B71" s="31"/>
      <c r="C71" s="33"/>
      <c r="D71" s="41"/>
      <c r="E71" s="34"/>
      <c r="F71" s="29"/>
      <c r="G71" s="31"/>
    </row>
    <row r="72" spans="2:20" x14ac:dyDescent="0.4">
      <c r="B72" s="31"/>
      <c r="C72" s="33"/>
      <c r="D72" s="41"/>
      <c r="E72" s="34"/>
      <c r="F72" s="29"/>
      <c r="G72" s="31"/>
      <c r="H72" s="142"/>
    </row>
    <row r="73" spans="2:20" x14ac:dyDescent="0.4">
      <c r="B73" s="40"/>
      <c r="C73" s="13"/>
      <c r="D73" s="13"/>
      <c r="E73" s="39"/>
      <c r="F73" s="42"/>
    </row>
    <row r="74" spans="2:20" x14ac:dyDescent="0.4">
      <c r="B74" s="40"/>
      <c r="C74" s="13"/>
      <c r="D74" s="13"/>
      <c r="E74" s="39"/>
      <c r="F74" s="29"/>
    </row>
    <row r="75" spans="2:20" x14ac:dyDescent="0.4">
      <c r="B75" s="40"/>
      <c r="C75" s="13"/>
      <c r="D75" s="13"/>
      <c r="E75" s="39"/>
      <c r="F75" s="29"/>
    </row>
    <row r="76" spans="2:20" x14ac:dyDescent="0.4">
      <c r="B76" s="40"/>
      <c r="C76" s="13"/>
      <c r="D76" s="13"/>
      <c r="E76" s="39"/>
      <c r="F76" s="29"/>
    </row>
    <row r="77" spans="2:20" x14ac:dyDescent="0.4">
      <c r="B77" s="40"/>
      <c r="C77" s="13"/>
      <c r="D77" s="13"/>
      <c r="E77" s="39"/>
      <c r="F77" s="29"/>
    </row>
    <row r="78" spans="2:20" x14ac:dyDescent="0.4">
      <c r="B78" s="40"/>
      <c r="C78" s="13"/>
      <c r="D78" s="13"/>
      <c r="E78" s="39"/>
      <c r="F78" s="29"/>
    </row>
    <row r="79" spans="2:20" x14ac:dyDescent="0.4">
      <c r="F79" s="29"/>
    </row>
    <row r="80" spans="2:20" x14ac:dyDescent="0.4">
      <c r="F80" s="29"/>
    </row>
    <row r="81" spans="6:6" x14ac:dyDescent="0.4">
      <c r="F81" s="29"/>
    </row>
    <row r="82" spans="6:6" x14ac:dyDescent="0.4">
      <c r="F82" s="29"/>
    </row>
    <row r="83" spans="6:6" x14ac:dyDescent="0.4">
      <c r="F83" s="29"/>
    </row>
    <row r="84" spans="6:6" x14ac:dyDescent="0.4">
      <c r="F84" s="29"/>
    </row>
    <row r="85" spans="6:6" x14ac:dyDescent="0.4">
      <c r="F85" s="29"/>
    </row>
    <row r="86" spans="6:6" x14ac:dyDescent="0.4">
      <c r="F86" s="29"/>
    </row>
    <row r="87" spans="6:6" x14ac:dyDescent="0.4">
      <c r="F87" s="29"/>
    </row>
    <row r="88" spans="6:6" x14ac:dyDescent="0.4">
      <c r="F88" s="29"/>
    </row>
    <row r="89" spans="6:6" x14ac:dyDescent="0.4">
      <c r="F89" s="29"/>
    </row>
    <row r="90" spans="6:6" x14ac:dyDescent="0.4">
      <c r="F90" s="29"/>
    </row>
    <row r="91" spans="6:6" x14ac:dyDescent="0.4">
      <c r="F91" s="29"/>
    </row>
    <row r="92" spans="6:6" x14ac:dyDescent="0.4">
      <c r="F92" s="29"/>
    </row>
    <row r="93" spans="6:6" x14ac:dyDescent="0.4">
      <c r="F93" s="29"/>
    </row>
    <row r="94" spans="6:6" x14ac:dyDescent="0.4">
      <c r="F94" s="29"/>
    </row>
    <row r="95" spans="6:6" x14ac:dyDescent="0.4">
      <c r="F95" s="29"/>
    </row>
    <row r="96" spans="6:6" x14ac:dyDescent="0.4">
      <c r="F96" s="29"/>
    </row>
    <row r="97" spans="6:6" x14ac:dyDescent="0.4">
      <c r="F97" s="29"/>
    </row>
    <row r="98" spans="6:6" x14ac:dyDescent="0.4">
      <c r="F98" s="29"/>
    </row>
    <row r="99" spans="6:6" x14ac:dyDescent="0.4">
      <c r="F99" s="29"/>
    </row>
    <row r="100" spans="6:6" x14ac:dyDescent="0.4">
      <c r="F100" s="29"/>
    </row>
    <row r="101" spans="6:6" x14ac:dyDescent="0.4">
      <c r="F101" s="29"/>
    </row>
    <row r="102" spans="6:6" x14ac:dyDescent="0.4">
      <c r="F102" s="29"/>
    </row>
    <row r="103" spans="6:6" x14ac:dyDescent="0.4">
      <c r="F103" s="29"/>
    </row>
    <row r="104" spans="6:6" x14ac:dyDescent="0.4">
      <c r="F104" s="29"/>
    </row>
    <row r="105" spans="6:6" x14ac:dyDescent="0.4">
      <c r="F105" s="29"/>
    </row>
    <row r="106" spans="6:6" x14ac:dyDescent="0.4">
      <c r="F106" s="29"/>
    </row>
    <row r="107" spans="6:6" x14ac:dyDescent="0.4">
      <c r="F107" s="29"/>
    </row>
    <row r="108" spans="6:6" x14ac:dyDescent="0.4">
      <c r="F108" s="29"/>
    </row>
    <row r="109" spans="6:6" x14ac:dyDescent="0.4">
      <c r="F109" s="29"/>
    </row>
    <row r="110" spans="6:6" x14ac:dyDescent="0.4">
      <c r="F110" s="29"/>
    </row>
    <row r="111" spans="6:6" x14ac:dyDescent="0.4">
      <c r="F111" s="29"/>
    </row>
    <row r="112" spans="6:6" x14ac:dyDescent="0.4">
      <c r="F112" s="29"/>
    </row>
    <row r="113" spans="6:6" x14ac:dyDescent="0.4">
      <c r="F113" s="29"/>
    </row>
    <row r="114" spans="6:6" x14ac:dyDescent="0.4">
      <c r="F114" s="29"/>
    </row>
    <row r="115" spans="6:6" x14ac:dyDescent="0.4">
      <c r="F115" s="29"/>
    </row>
    <row r="116" spans="6:6" x14ac:dyDescent="0.4">
      <c r="F116" s="29"/>
    </row>
    <row r="117" spans="6:6" x14ac:dyDescent="0.4">
      <c r="F117" s="29"/>
    </row>
    <row r="118" spans="6:6" x14ac:dyDescent="0.4">
      <c r="F118" s="29"/>
    </row>
    <row r="119" spans="6:6" x14ac:dyDescent="0.4">
      <c r="F119" s="29"/>
    </row>
    <row r="120" spans="6:6" x14ac:dyDescent="0.4">
      <c r="F120" s="29"/>
    </row>
    <row r="121" spans="6:6" x14ac:dyDescent="0.4">
      <c r="F121" s="29"/>
    </row>
    <row r="122" spans="6:6" x14ac:dyDescent="0.4">
      <c r="F122" s="29"/>
    </row>
    <row r="123" spans="6:6" x14ac:dyDescent="0.4">
      <c r="F123" s="29"/>
    </row>
    <row r="124" spans="6:6" x14ac:dyDescent="0.4">
      <c r="F124" s="29"/>
    </row>
    <row r="125" spans="6:6" x14ac:dyDescent="0.4">
      <c r="F125" s="29"/>
    </row>
    <row r="126" spans="6:6" x14ac:dyDescent="0.4">
      <c r="F126" s="29"/>
    </row>
    <row r="127" spans="6:6" x14ac:dyDescent="0.4">
      <c r="F127" s="29"/>
    </row>
    <row r="128" spans="6:6" x14ac:dyDescent="0.4">
      <c r="F128" s="29"/>
    </row>
    <row r="129" spans="6:6" x14ac:dyDescent="0.4">
      <c r="F129" s="29"/>
    </row>
    <row r="130" spans="6:6" x14ac:dyDescent="0.4">
      <c r="F130" s="29"/>
    </row>
    <row r="131" spans="6:6" x14ac:dyDescent="0.4">
      <c r="F131" s="29"/>
    </row>
    <row r="132" spans="6:6" x14ac:dyDescent="0.4">
      <c r="F132" s="29"/>
    </row>
    <row r="133" spans="6:6" x14ac:dyDescent="0.4">
      <c r="F133" s="29"/>
    </row>
    <row r="134" spans="6:6" x14ac:dyDescent="0.4">
      <c r="F134" s="29"/>
    </row>
    <row r="135" spans="6:6" x14ac:dyDescent="0.4">
      <c r="F135" s="29"/>
    </row>
    <row r="136" spans="6:6" x14ac:dyDescent="0.4">
      <c r="F136" s="29"/>
    </row>
    <row r="137" spans="6:6" x14ac:dyDescent="0.4">
      <c r="F137" s="29"/>
    </row>
    <row r="138" spans="6:6" x14ac:dyDescent="0.4">
      <c r="F138" s="29"/>
    </row>
    <row r="139" spans="6:6" x14ac:dyDescent="0.4">
      <c r="F139" s="29"/>
    </row>
    <row r="140" spans="6:6" x14ac:dyDescent="0.4">
      <c r="F140" s="29"/>
    </row>
    <row r="141" spans="6:6" x14ac:dyDescent="0.4">
      <c r="F141" s="29"/>
    </row>
    <row r="142" spans="6:6" x14ac:dyDescent="0.4">
      <c r="F142" s="29"/>
    </row>
    <row r="143" spans="6:6" x14ac:dyDescent="0.4">
      <c r="F143" s="29"/>
    </row>
    <row r="144" spans="6:6" x14ac:dyDescent="0.4">
      <c r="F144" s="29"/>
    </row>
    <row r="145" spans="6:6" x14ac:dyDescent="0.4">
      <c r="F145" s="29"/>
    </row>
    <row r="146" spans="6:6" x14ac:dyDescent="0.4">
      <c r="F146" s="29"/>
    </row>
    <row r="147" spans="6:6" x14ac:dyDescent="0.4">
      <c r="F147" s="29"/>
    </row>
    <row r="148" spans="6:6" x14ac:dyDescent="0.4">
      <c r="F148" s="29"/>
    </row>
    <row r="149" spans="6:6" x14ac:dyDescent="0.4">
      <c r="F149" s="29"/>
    </row>
    <row r="150" spans="6:6" x14ac:dyDescent="0.4">
      <c r="F150" s="29"/>
    </row>
    <row r="151" spans="6:6" x14ac:dyDescent="0.4">
      <c r="F151" s="29"/>
    </row>
    <row r="152" spans="6:6" x14ac:dyDescent="0.4">
      <c r="F152" s="29"/>
    </row>
    <row r="153" spans="6:6" x14ac:dyDescent="0.4">
      <c r="F153" s="29"/>
    </row>
    <row r="154" spans="6:6" x14ac:dyDescent="0.4">
      <c r="F154" s="29"/>
    </row>
    <row r="155" spans="6:6" x14ac:dyDescent="0.4">
      <c r="F155" s="29"/>
    </row>
    <row r="156" spans="6:6" x14ac:dyDescent="0.4">
      <c r="F156" s="29"/>
    </row>
    <row r="157" spans="6:6" x14ac:dyDescent="0.4">
      <c r="F157" s="29"/>
    </row>
    <row r="158" spans="6:6" x14ac:dyDescent="0.4">
      <c r="F158" s="29"/>
    </row>
    <row r="159" spans="6:6" x14ac:dyDescent="0.4">
      <c r="F159" s="29"/>
    </row>
    <row r="160" spans="6:6" x14ac:dyDescent="0.4">
      <c r="F160" s="29"/>
    </row>
    <row r="161" spans="6:6" x14ac:dyDescent="0.4">
      <c r="F161" s="29"/>
    </row>
    <row r="162" spans="6:6" x14ac:dyDescent="0.4">
      <c r="F162" s="29"/>
    </row>
    <row r="163" spans="6:6" x14ac:dyDescent="0.4">
      <c r="F163" s="29"/>
    </row>
    <row r="164" spans="6:6" x14ac:dyDescent="0.4">
      <c r="F164" s="29"/>
    </row>
    <row r="165" spans="6:6" x14ac:dyDescent="0.4">
      <c r="F165" s="29"/>
    </row>
    <row r="166" spans="6:6" x14ac:dyDescent="0.4">
      <c r="F166" s="29"/>
    </row>
    <row r="167" spans="6:6" x14ac:dyDescent="0.4">
      <c r="F167" s="29"/>
    </row>
    <row r="168" spans="6:6" x14ac:dyDescent="0.4">
      <c r="F168" s="29"/>
    </row>
    <row r="169" spans="6:6" x14ac:dyDescent="0.4">
      <c r="F169" s="29"/>
    </row>
    <row r="170" spans="6:6" x14ac:dyDescent="0.4">
      <c r="F170" s="29"/>
    </row>
    <row r="171" spans="6:6" x14ac:dyDescent="0.4">
      <c r="F171" s="29"/>
    </row>
    <row r="172" spans="6:6" x14ac:dyDescent="0.4">
      <c r="F172" s="29"/>
    </row>
    <row r="173" spans="6:6" x14ac:dyDescent="0.4">
      <c r="F173" s="29"/>
    </row>
    <row r="174" spans="6:6" x14ac:dyDescent="0.4">
      <c r="F174" s="29"/>
    </row>
    <row r="175" spans="6:6" x14ac:dyDescent="0.4">
      <c r="F175" s="29"/>
    </row>
    <row r="176" spans="6:6" x14ac:dyDescent="0.4">
      <c r="F176" s="29"/>
    </row>
    <row r="177" spans="6:6" x14ac:dyDescent="0.4">
      <c r="F177" s="29"/>
    </row>
    <row r="178" spans="6:6" x14ac:dyDescent="0.4">
      <c r="F178" s="29"/>
    </row>
    <row r="179" spans="6:6" x14ac:dyDescent="0.4">
      <c r="F179" s="29"/>
    </row>
    <row r="180" spans="6:6" x14ac:dyDescent="0.4">
      <c r="F180" s="29"/>
    </row>
    <row r="181" spans="6:6" x14ac:dyDescent="0.4">
      <c r="F181" s="29"/>
    </row>
    <row r="182" spans="6:6" x14ac:dyDescent="0.4">
      <c r="F182" s="29"/>
    </row>
    <row r="183" spans="6:6" x14ac:dyDescent="0.4">
      <c r="F183" s="29"/>
    </row>
    <row r="184" spans="6:6" x14ac:dyDescent="0.4">
      <c r="F184" s="29"/>
    </row>
    <row r="185" spans="6:6" x14ac:dyDescent="0.4">
      <c r="F185" s="29"/>
    </row>
  </sheetData>
  <sheetProtection selectLockedCells="1"/>
  <mergeCells count="5">
    <mergeCell ref="B2:P2"/>
    <mergeCell ref="B37:D37"/>
    <mergeCell ref="D3:O3"/>
    <mergeCell ref="E5:N5"/>
    <mergeCell ref="E6:M6"/>
  </mergeCells>
  <conditionalFormatting sqref="H11">
    <cfRule type="cellIs" dxfId="718" priority="799" operator="equal">
      <formula>"CORRECT !"</formula>
    </cfRule>
  </conditionalFormatting>
  <conditionalFormatting sqref="H13">
    <cfRule type="cellIs" dxfId="717" priority="798" operator="equal">
      <formula>"CORRECT !"</formula>
    </cfRule>
  </conditionalFormatting>
  <conditionalFormatting sqref="H15">
    <cfRule type="cellIs" dxfId="716" priority="797" operator="equal">
      <formula>"CORRECT !"</formula>
    </cfRule>
  </conditionalFormatting>
  <conditionalFormatting sqref="H35">
    <cfRule type="cellIs" dxfId="715" priority="733" operator="equal">
      <formula>"CORRECT !"</formula>
    </cfRule>
  </conditionalFormatting>
  <conditionalFormatting sqref="E56">
    <cfRule type="cellIs" dxfId="714" priority="676" operator="equal">
      <formula>"CORRECT !"</formula>
    </cfRule>
  </conditionalFormatting>
  <conditionalFormatting sqref="E57">
    <cfRule type="cellIs" dxfId="713" priority="675" operator="equal">
      <formula>"CORRECT !"</formula>
    </cfRule>
  </conditionalFormatting>
  <conditionalFormatting sqref="E58">
    <cfRule type="cellIs" dxfId="712" priority="674" operator="equal">
      <formula>"CORRECT !"</formula>
    </cfRule>
  </conditionalFormatting>
  <conditionalFormatting sqref="E59">
    <cfRule type="cellIs" dxfId="711" priority="673" operator="equal">
      <formula>"CORRECT !"</formula>
    </cfRule>
  </conditionalFormatting>
  <conditionalFormatting sqref="E60">
    <cfRule type="cellIs" dxfId="710" priority="672" operator="equal">
      <formula>"CORRECT !"</formula>
    </cfRule>
  </conditionalFormatting>
  <conditionalFormatting sqref="E61">
    <cfRule type="cellIs" dxfId="709" priority="671" operator="equal">
      <formula>"CORRECT !"</formula>
    </cfRule>
  </conditionalFormatting>
  <conditionalFormatting sqref="E62">
    <cfRule type="cellIs" dxfId="708" priority="670" operator="equal">
      <formula>"CORRECT !"</formula>
    </cfRule>
  </conditionalFormatting>
  <conditionalFormatting sqref="E63">
    <cfRule type="cellIs" dxfId="707" priority="669" operator="equal">
      <formula>"CORRECT !"</formula>
    </cfRule>
  </conditionalFormatting>
  <conditionalFormatting sqref="E64">
    <cfRule type="cellIs" dxfId="706" priority="668" operator="equal">
      <formula>"CORRECT !"</formula>
    </cfRule>
  </conditionalFormatting>
  <conditionalFormatting sqref="E65">
    <cfRule type="cellIs" dxfId="705" priority="667" operator="equal">
      <formula>"CORRECT !"</formula>
    </cfRule>
  </conditionalFormatting>
  <conditionalFormatting sqref="E66">
    <cfRule type="cellIs" dxfId="704" priority="666" operator="equal">
      <formula>"CORRECT !"</formula>
    </cfRule>
  </conditionalFormatting>
  <conditionalFormatting sqref="E67">
    <cfRule type="cellIs" dxfId="703" priority="665" operator="equal">
      <formula>"CORRECT !"</formula>
    </cfRule>
  </conditionalFormatting>
  <conditionalFormatting sqref="E68">
    <cfRule type="cellIs" dxfId="702" priority="664" operator="equal">
      <formula>"CORRECT !"</formula>
    </cfRule>
  </conditionalFormatting>
  <conditionalFormatting sqref="E69">
    <cfRule type="cellIs" dxfId="701" priority="663" operator="equal">
      <formula>"CORRECT !"</formula>
    </cfRule>
  </conditionalFormatting>
  <conditionalFormatting sqref="E70">
    <cfRule type="cellIs" dxfId="700" priority="662" operator="equal">
      <formula>"CORRECT !"</formula>
    </cfRule>
  </conditionalFormatting>
  <conditionalFormatting sqref="E71">
    <cfRule type="cellIs" dxfId="699" priority="661" operator="equal">
      <formula>"CORRECT !"</formula>
    </cfRule>
  </conditionalFormatting>
  <conditionalFormatting sqref="E72">
    <cfRule type="cellIs" dxfId="698" priority="660" operator="equal">
      <formula>"CORRECT !"</formula>
    </cfRule>
  </conditionalFormatting>
  <conditionalFormatting sqref="N7">
    <cfRule type="cellIs" dxfId="697" priority="1074" operator="equal">
      <formula>"CORRECT !"</formula>
    </cfRule>
  </conditionalFormatting>
  <conditionalFormatting sqref="N9">
    <cfRule type="cellIs" dxfId="696" priority="1073" operator="equal">
      <formula>"CORRECT !"</formula>
    </cfRule>
  </conditionalFormatting>
  <conditionalFormatting sqref="N11">
    <cfRule type="cellIs" dxfId="695" priority="1072" operator="equal">
      <formula>"CORRECT !"</formula>
    </cfRule>
  </conditionalFormatting>
  <conditionalFormatting sqref="N13">
    <cfRule type="cellIs" dxfId="694" priority="1071" operator="equal">
      <formula>"CORRECT !"</formula>
    </cfRule>
  </conditionalFormatting>
  <conditionalFormatting sqref="N15">
    <cfRule type="cellIs" dxfId="693" priority="1070" operator="equal">
      <formula>"CORRECT !"</formula>
    </cfRule>
  </conditionalFormatting>
  <conditionalFormatting sqref="N17">
    <cfRule type="cellIs" dxfId="692" priority="1069" operator="equal">
      <formula>"CORRECT !"</formula>
    </cfRule>
  </conditionalFormatting>
  <conditionalFormatting sqref="N19">
    <cfRule type="cellIs" dxfId="691" priority="1068" operator="equal">
      <formula>"CORRECT !"</formula>
    </cfRule>
  </conditionalFormatting>
  <conditionalFormatting sqref="N21">
    <cfRule type="cellIs" dxfId="690" priority="1067" operator="equal">
      <formula>"CORRECT !"</formula>
    </cfRule>
  </conditionalFormatting>
  <conditionalFormatting sqref="N23">
    <cfRule type="cellIs" dxfId="689" priority="1066" operator="equal">
      <formula>"CORRECT !"</formula>
    </cfRule>
  </conditionalFormatting>
  <conditionalFormatting sqref="N25">
    <cfRule type="cellIs" dxfId="688" priority="1065" operator="equal">
      <formula>"CORRECT !"</formula>
    </cfRule>
  </conditionalFormatting>
  <conditionalFormatting sqref="N27">
    <cfRule type="cellIs" dxfId="687" priority="1064" operator="equal">
      <formula>"CORRECT !"</formula>
    </cfRule>
  </conditionalFormatting>
  <conditionalFormatting sqref="N29">
    <cfRule type="cellIs" dxfId="686" priority="1063" operator="equal">
      <formula>"CORRECT !"</formula>
    </cfRule>
  </conditionalFormatting>
  <conditionalFormatting sqref="N31">
    <cfRule type="cellIs" dxfId="685" priority="1062" operator="equal">
      <formula>"CORRECT !"</formula>
    </cfRule>
  </conditionalFormatting>
  <conditionalFormatting sqref="N35">
    <cfRule type="cellIs" dxfId="684" priority="1060" operator="equal">
      <formula>"CORRECT !"</formula>
    </cfRule>
  </conditionalFormatting>
  <conditionalFormatting sqref="H7">
    <cfRule type="cellIs" dxfId="683" priority="1059" operator="equal">
      <formula>"CORRECT !"</formula>
    </cfRule>
  </conditionalFormatting>
  <conditionalFormatting sqref="P53">
    <cfRule type="cellIs" dxfId="682" priority="1037" operator="equal">
      <formula>"CORRECT !"</formula>
    </cfRule>
  </conditionalFormatting>
  <conditionalFormatting sqref="P52">
    <cfRule type="cellIs" dxfId="681" priority="1038" operator="equal">
      <formula>"CORRECT !"</formula>
    </cfRule>
  </conditionalFormatting>
  <conditionalFormatting sqref="P54">
    <cfRule type="cellIs" dxfId="680" priority="1036" operator="equal">
      <formula>"CORRECT !"</formula>
    </cfRule>
  </conditionalFormatting>
  <conditionalFormatting sqref="P56">
    <cfRule type="cellIs" dxfId="679" priority="1034" operator="equal">
      <formula>"CORRECT !"</formula>
    </cfRule>
  </conditionalFormatting>
  <conditionalFormatting sqref="P42">
    <cfRule type="cellIs" dxfId="678" priority="1048" operator="equal">
      <formula>"CORRECT !"</formula>
    </cfRule>
  </conditionalFormatting>
  <conditionalFormatting sqref="P44">
    <cfRule type="cellIs" dxfId="677" priority="1046" operator="equal">
      <formula>"CORRECT !"</formula>
    </cfRule>
  </conditionalFormatting>
  <conditionalFormatting sqref="P46">
    <cfRule type="cellIs" dxfId="676" priority="1044" operator="equal">
      <formula>"CORRECT !"</formula>
    </cfRule>
  </conditionalFormatting>
  <conditionalFormatting sqref="P48">
    <cfRule type="cellIs" dxfId="675" priority="1042" operator="equal">
      <formula>"CORRECT !"</formula>
    </cfRule>
  </conditionalFormatting>
  <conditionalFormatting sqref="P50">
    <cfRule type="cellIs" dxfId="674" priority="1040" operator="equal">
      <formula>"CORRECT !"</formula>
    </cfRule>
  </conditionalFormatting>
  <conditionalFormatting sqref="P55">
    <cfRule type="cellIs" dxfId="673" priority="1035" operator="equal">
      <formula>"CORRECT !"</formula>
    </cfRule>
  </conditionalFormatting>
  <conditionalFormatting sqref="P41">
    <cfRule type="cellIs" dxfId="672" priority="1049" operator="equal">
      <formula>"CORRECT !"</formula>
    </cfRule>
  </conditionalFormatting>
  <conditionalFormatting sqref="P43">
    <cfRule type="cellIs" dxfId="671" priority="1047" operator="equal">
      <formula>"CORRECT !"</formula>
    </cfRule>
  </conditionalFormatting>
  <conditionalFormatting sqref="P45">
    <cfRule type="cellIs" dxfId="670" priority="1045" operator="equal">
      <formula>"CORRECT !"</formula>
    </cfRule>
  </conditionalFormatting>
  <conditionalFormatting sqref="P47">
    <cfRule type="cellIs" dxfId="669" priority="1043" operator="equal">
      <formula>"CORRECT !"</formula>
    </cfRule>
  </conditionalFormatting>
  <conditionalFormatting sqref="P49">
    <cfRule type="cellIs" dxfId="668" priority="1041" operator="equal">
      <formula>"CORRECT !"</formula>
    </cfRule>
  </conditionalFormatting>
  <conditionalFormatting sqref="P51">
    <cfRule type="cellIs" dxfId="667" priority="1039" operator="equal">
      <formula>"CORRECT !"</formula>
    </cfRule>
  </conditionalFormatting>
  <conditionalFormatting sqref="J50">
    <cfRule type="cellIs" dxfId="666" priority="1020" operator="equal">
      <formula>"CORRECT !"</formula>
    </cfRule>
  </conditionalFormatting>
  <conditionalFormatting sqref="J52">
    <cfRule type="cellIs" dxfId="665" priority="1018" operator="equal">
      <formula>"CORRECT !"</formula>
    </cfRule>
  </conditionalFormatting>
  <conditionalFormatting sqref="J53">
    <cfRule type="cellIs" dxfId="664" priority="1017" operator="equal">
      <formula>"CORRECT !"</formula>
    </cfRule>
  </conditionalFormatting>
  <conditionalFormatting sqref="J54">
    <cfRule type="cellIs" dxfId="663" priority="1016" operator="equal">
      <formula>"CORRECT !"</formula>
    </cfRule>
  </conditionalFormatting>
  <conditionalFormatting sqref="J55">
    <cfRule type="cellIs" dxfId="662" priority="1015" operator="equal">
      <formula>"CORRECT !"</formula>
    </cfRule>
  </conditionalFormatting>
  <conditionalFormatting sqref="J56">
    <cfRule type="cellIs" dxfId="661" priority="1014" operator="equal">
      <formula>"CORRECT !"</formula>
    </cfRule>
  </conditionalFormatting>
  <conditionalFormatting sqref="J41">
    <cfRule type="cellIs" dxfId="660" priority="1029" operator="equal">
      <formula>"CORRECT !"</formula>
    </cfRule>
  </conditionalFormatting>
  <conditionalFormatting sqref="J42">
    <cfRule type="cellIs" dxfId="659" priority="1028" operator="equal">
      <formula>"CORRECT !"</formula>
    </cfRule>
  </conditionalFormatting>
  <conditionalFormatting sqref="J43">
    <cfRule type="cellIs" dxfId="658" priority="1027" operator="equal">
      <formula>"CORRECT !"</formula>
    </cfRule>
  </conditionalFormatting>
  <conditionalFormatting sqref="J44">
    <cfRule type="cellIs" dxfId="657" priority="1026" operator="equal">
      <formula>"CORRECT !"</formula>
    </cfRule>
  </conditionalFormatting>
  <conditionalFormatting sqref="J45">
    <cfRule type="cellIs" dxfId="656" priority="1025" operator="equal">
      <formula>"CORRECT !"</formula>
    </cfRule>
  </conditionalFormatting>
  <conditionalFormatting sqref="J46">
    <cfRule type="cellIs" dxfId="655" priority="1024" operator="equal">
      <formula>"CORRECT !"</formula>
    </cfRule>
  </conditionalFormatting>
  <conditionalFormatting sqref="J47">
    <cfRule type="cellIs" dxfId="654" priority="1023" operator="equal">
      <formula>"CORRECT !"</formula>
    </cfRule>
  </conditionalFormatting>
  <conditionalFormatting sqref="J48">
    <cfRule type="cellIs" dxfId="653" priority="1022" operator="equal">
      <formula>"CORRECT !"</formula>
    </cfRule>
  </conditionalFormatting>
  <conditionalFormatting sqref="J49">
    <cfRule type="cellIs" dxfId="652" priority="1021" operator="equal">
      <formula>"CORRECT !"</formula>
    </cfRule>
  </conditionalFormatting>
  <conditionalFormatting sqref="J51">
    <cfRule type="cellIs" dxfId="651" priority="1019" operator="equal">
      <formula>"CORRECT !"</formula>
    </cfRule>
  </conditionalFormatting>
  <conditionalFormatting sqref="Q48">
    <cfRule type="cellIs" dxfId="650" priority="982" operator="equal">
      <formula>"CORRECT !"</formula>
    </cfRule>
  </conditionalFormatting>
  <conditionalFormatting sqref="Q49">
    <cfRule type="cellIs" dxfId="649" priority="981" operator="equal">
      <formula>"CORRECT !"</formula>
    </cfRule>
  </conditionalFormatting>
  <conditionalFormatting sqref="H17">
    <cfRule type="cellIs" dxfId="648" priority="1054" operator="equal">
      <formula>"CORRECT !"</formula>
    </cfRule>
  </conditionalFormatting>
  <conditionalFormatting sqref="P39">
    <cfRule type="cellIs" dxfId="647" priority="1052" operator="equal">
      <formula>"CORRECT !"</formula>
    </cfRule>
  </conditionalFormatting>
  <conditionalFormatting sqref="E39">
    <cfRule type="cellIs" dxfId="646" priority="1051" operator="equal">
      <formula>"CORRECT !"</formula>
    </cfRule>
  </conditionalFormatting>
  <conditionalFormatting sqref="P40">
    <cfRule type="cellIs" dxfId="645" priority="1050" operator="equal">
      <formula>"CORRECT !"</formula>
    </cfRule>
  </conditionalFormatting>
  <conditionalFormatting sqref="P57">
    <cfRule type="cellIs" dxfId="644" priority="1033" operator="equal">
      <formula>"CORRECT !"</formula>
    </cfRule>
  </conditionalFormatting>
  <conditionalFormatting sqref="P58">
    <cfRule type="cellIs" dxfId="643" priority="1032" operator="equal">
      <formula>"CORRECT !"</formula>
    </cfRule>
  </conditionalFormatting>
  <conditionalFormatting sqref="J39">
    <cfRule type="cellIs" dxfId="642" priority="1031" operator="equal">
      <formula>"CORRECT !"</formula>
    </cfRule>
  </conditionalFormatting>
  <conditionalFormatting sqref="J40">
    <cfRule type="cellIs" dxfId="641" priority="1030" operator="equal">
      <formula>"CORRECT !"</formula>
    </cfRule>
  </conditionalFormatting>
  <conditionalFormatting sqref="J58">
    <cfRule type="cellIs" dxfId="640" priority="1012" operator="equal">
      <formula>"CORRECT !"</formula>
    </cfRule>
  </conditionalFormatting>
  <conditionalFormatting sqref="J57">
    <cfRule type="cellIs" dxfId="639" priority="1013" operator="equal">
      <formula>"CORRECT !"</formula>
    </cfRule>
  </conditionalFormatting>
  <conditionalFormatting sqref="M39">
    <cfRule type="cellIs" dxfId="638" priority="1011" operator="equal">
      <formula>"CORRECT !"</formula>
    </cfRule>
  </conditionalFormatting>
  <conditionalFormatting sqref="M40">
    <cfRule type="cellIs" dxfId="637" priority="1010" operator="equal">
      <formula>"CORRECT !"</formula>
    </cfRule>
  </conditionalFormatting>
  <conditionalFormatting sqref="M41">
    <cfRule type="cellIs" dxfId="636" priority="1009" operator="equal">
      <formula>"CORRECT !"</formula>
    </cfRule>
  </conditionalFormatting>
  <conditionalFormatting sqref="M42">
    <cfRule type="cellIs" dxfId="635" priority="1008" operator="equal">
      <formula>"CORRECT !"</formula>
    </cfRule>
  </conditionalFormatting>
  <conditionalFormatting sqref="M43">
    <cfRule type="cellIs" dxfId="634" priority="1007" operator="equal">
      <formula>"CORRECT !"</formula>
    </cfRule>
  </conditionalFormatting>
  <conditionalFormatting sqref="M44">
    <cfRule type="cellIs" dxfId="633" priority="1006" operator="equal">
      <formula>"CORRECT !"</formula>
    </cfRule>
  </conditionalFormatting>
  <conditionalFormatting sqref="M45">
    <cfRule type="cellIs" dxfId="632" priority="1005" operator="equal">
      <formula>"CORRECT !"</formula>
    </cfRule>
  </conditionalFormatting>
  <conditionalFormatting sqref="M46">
    <cfRule type="cellIs" dxfId="631" priority="1004" operator="equal">
      <formula>"CORRECT !"</formula>
    </cfRule>
  </conditionalFormatting>
  <conditionalFormatting sqref="M47">
    <cfRule type="cellIs" dxfId="630" priority="1003" operator="equal">
      <formula>"CORRECT !"</formula>
    </cfRule>
  </conditionalFormatting>
  <conditionalFormatting sqref="M48">
    <cfRule type="cellIs" dxfId="629" priority="1002" operator="equal">
      <formula>"CORRECT !"</formula>
    </cfRule>
  </conditionalFormatting>
  <conditionalFormatting sqref="M49">
    <cfRule type="cellIs" dxfId="628" priority="1001" operator="equal">
      <formula>"CORRECT !"</formula>
    </cfRule>
  </conditionalFormatting>
  <conditionalFormatting sqref="M50">
    <cfRule type="cellIs" dxfId="627" priority="1000" operator="equal">
      <formula>"CORRECT !"</formula>
    </cfRule>
  </conditionalFormatting>
  <conditionalFormatting sqref="M51">
    <cfRule type="cellIs" dxfId="626" priority="999" operator="equal">
      <formula>"CORRECT !"</formula>
    </cfRule>
  </conditionalFormatting>
  <conditionalFormatting sqref="M52">
    <cfRule type="cellIs" dxfId="625" priority="998" operator="equal">
      <formula>"CORRECT !"</formula>
    </cfRule>
  </conditionalFormatting>
  <conditionalFormatting sqref="M53">
    <cfRule type="cellIs" dxfId="624" priority="997" operator="equal">
      <formula>"CORRECT !"</formula>
    </cfRule>
  </conditionalFormatting>
  <conditionalFormatting sqref="M54">
    <cfRule type="cellIs" dxfId="623" priority="996" operator="equal">
      <formula>"CORRECT !"</formula>
    </cfRule>
  </conditionalFormatting>
  <conditionalFormatting sqref="M55">
    <cfRule type="cellIs" dxfId="622" priority="995" operator="equal">
      <formula>"CORRECT !"</formula>
    </cfRule>
  </conditionalFormatting>
  <conditionalFormatting sqref="M56">
    <cfRule type="cellIs" dxfId="621" priority="994" operator="equal">
      <formula>"CORRECT !"</formula>
    </cfRule>
  </conditionalFormatting>
  <conditionalFormatting sqref="M57">
    <cfRule type="cellIs" dxfId="620" priority="993" operator="equal">
      <formula>"CORRECT !"</formula>
    </cfRule>
  </conditionalFormatting>
  <conditionalFormatting sqref="M58">
    <cfRule type="cellIs" dxfId="619" priority="992" operator="equal">
      <formula>"CORRECT !"</formula>
    </cfRule>
  </conditionalFormatting>
  <conditionalFormatting sqref="Q39">
    <cfRule type="cellIs" dxfId="618" priority="991" operator="equal">
      <formula>"CORRECT !"</formula>
    </cfRule>
  </conditionalFormatting>
  <conditionalFormatting sqref="Q40">
    <cfRule type="cellIs" dxfId="617" priority="990" operator="equal">
      <formula>"CORRECT !"</formula>
    </cfRule>
  </conditionalFormatting>
  <conditionalFormatting sqref="Q41">
    <cfRule type="cellIs" dxfId="616" priority="989" operator="equal">
      <formula>"CORRECT !"</formula>
    </cfRule>
  </conditionalFormatting>
  <conditionalFormatting sqref="Q42">
    <cfRule type="cellIs" dxfId="615" priority="988" operator="equal">
      <formula>"CORRECT !"</formula>
    </cfRule>
  </conditionalFormatting>
  <conditionalFormatting sqref="Q43">
    <cfRule type="cellIs" dxfId="614" priority="987" operator="equal">
      <formula>"CORRECT !"</formula>
    </cfRule>
  </conditionalFormatting>
  <conditionalFormatting sqref="Q44">
    <cfRule type="cellIs" dxfId="613" priority="986" operator="equal">
      <formula>"CORRECT !"</formula>
    </cfRule>
  </conditionalFormatting>
  <conditionalFormatting sqref="Q45">
    <cfRule type="cellIs" dxfId="612" priority="985" operator="equal">
      <formula>"CORRECT !"</formula>
    </cfRule>
  </conditionalFormatting>
  <conditionalFormatting sqref="Q46">
    <cfRule type="cellIs" dxfId="611" priority="984" operator="equal">
      <formula>"CORRECT !"</formula>
    </cfRule>
  </conditionalFormatting>
  <conditionalFormatting sqref="Q47">
    <cfRule type="cellIs" dxfId="610" priority="983" operator="equal">
      <formula>"CORRECT !"</formula>
    </cfRule>
  </conditionalFormatting>
  <conditionalFormatting sqref="Q50">
    <cfRule type="cellIs" dxfId="609" priority="980" operator="equal">
      <formula>"CORRECT !"</formula>
    </cfRule>
  </conditionalFormatting>
  <conditionalFormatting sqref="Q51">
    <cfRule type="cellIs" dxfId="608" priority="979" operator="equal">
      <formula>"CORRECT !"</formula>
    </cfRule>
  </conditionalFormatting>
  <conditionalFormatting sqref="Q52">
    <cfRule type="cellIs" dxfId="607" priority="978" operator="equal">
      <formula>"CORRECT !"</formula>
    </cfRule>
  </conditionalFormatting>
  <conditionalFormatting sqref="Q53">
    <cfRule type="cellIs" dxfId="606" priority="977" operator="equal">
      <formula>"CORRECT !"</formula>
    </cfRule>
  </conditionalFormatting>
  <conditionalFormatting sqref="Q54">
    <cfRule type="cellIs" dxfId="605" priority="976" operator="equal">
      <formula>"CORRECT !"</formula>
    </cfRule>
  </conditionalFormatting>
  <conditionalFormatting sqref="Q55">
    <cfRule type="cellIs" dxfId="604" priority="975" operator="equal">
      <formula>"CORRECT !"</formula>
    </cfRule>
  </conditionalFormatting>
  <conditionalFormatting sqref="Q56">
    <cfRule type="cellIs" dxfId="603" priority="974" operator="equal">
      <formula>"CORRECT !"</formula>
    </cfRule>
  </conditionalFormatting>
  <conditionalFormatting sqref="Q57">
    <cfRule type="cellIs" dxfId="602" priority="973" operator="equal">
      <formula>"CORRECT !"</formula>
    </cfRule>
  </conditionalFormatting>
  <conditionalFormatting sqref="Q58">
    <cfRule type="cellIs" dxfId="601" priority="972" operator="equal">
      <formula>"CORRECT !"</formula>
    </cfRule>
  </conditionalFormatting>
  <conditionalFormatting sqref="F7">
    <cfRule type="expression" dxfId="600" priority="969">
      <formula>AND($G7&lt;&gt;"",$D7&lt;&gt;$F7)</formula>
    </cfRule>
    <cfRule type="expression" dxfId="599" priority="970">
      <formula>AND($G7="y",$D7=$F7)</formula>
    </cfRule>
  </conditionalFormatting>
  <conditionalFormatting sqref="E41">
    <cfRule type="cellIs" dxfId="598" priority="958" operator="equal">
      <formula>"CORRECT !"</formula>
    </cfRule>
  </conditionalFormatting>
  <conditionalFormatting sqref="E40">
    <cfRule type="cellIs" dxfId="597" priority="956" operator="equal">
      <formula>"CORRECT !"</formula>
    </cfRule>
  </conditionalFormatting>
  <conditionalFormatting sqref="H19">
    <cfRule type="cellIs" dxfId="596" priority="741" operator="equal">
      <formula>"CORRECT !"</formula>
    </cfRule>
  </conditionalFormatting>
  <conditionalFormatting sqref="H21">
    <cfRule type="cellIs" dxfId="595" priority="740" operator="equal">
      <formula>"CORRECT !"</formula>
    </cfRule>
  </conditionalFormatting>
  <conditionalFormatting sqref="H23">
    <cfRule type="cellIs" dxfId="594" priority="739" operator="equal">
      <formula>"CORRECT !"</formula>
    </cfRule>
  </conditionalFormatting>
  <conditionalFormatting sqref="H25">
    <cfRule type="cellIs" dxfId="593" priority="738" operator="equal">
      <formula>"CORRECT !"</formula>
    </cfRule>
  </conditionalFormatting>
  <conditionalFormatting sqref="H27">
    <cfRule type="cellIs" dxfId="592" priority="737" operator="equal">
      <formula>"CORRECT !"</formula>
    </cfRule>
  </conditionalFormatting>
  <conditionalFormatting sqref="H29">
    <cfRule type="cellIs" dxfId="591" priority="736" operator="equal">
      <formula>"CORRECT !"</formula>
    </cfRule>
  </conditionalFormatting>
  <conditionalFormatting sqref="H31">
    <cfRule type="cellIs" dxfId="590" priority="735" operator="equal">
      <formula>"CORRECT !"</formula>
    </cfRule>
  </conditionalFormatting>
  <conditionalFormatting sqref="E42">
    <cfRule type="cellIs" dxfId="589" priority="690" operator="equal">
      <formula>"CORRECT !"</formula>
    </cfRule>
  </conditionalFormatting>
  <conditionalFormatting sqref="E43">
    <cfRule type="cellIs" dxfId="588" priority="689" operator="equal">
      <formula>"CORRECT !"</formula>
    </cfRule>
  </conditionalFormatting>
  <conditionalFormatting sqref="E44">
    <cfRule type="cellIs" dxfId="587" priority="688" operator="equal">
      <formula>"CORRECT !"</formula>
    </cfRule>
  </conditionalFormatting>
  <conditionalFormatting sqref="E45">
    <cfRule type="cellIs" dxfId="586" priority="687" operator="equal">
      <formula>"CORRECT !"</formula>
    </cfRule>
  </conditionalFormatting>
  <conditionalFormatting sqref="E46">
    <cfRule type="cellIs" dxfId="585" priority="686" operator="equal">
      <formula>"CORRECT !"</formula>
    </cfRule>
  </conditionalFormatting>
  <conditionalFormatting sqref="E47">
    <cfRule type="cellIs" dxfId="584" priority="685" operator="equal">
      <formula>"CORRECT !"</formula>
    </cfRule>
  </conditionalFormatting>
  <conditionalFormatting sqref="E48">
    <cfRule type="cellIs" dxfId="583" priority="684" operator="equal">
      <formula>"CORRECT !"</formula>
    </cfRule>
  </conditionalFormatting>
  <conditionalFormatting sqref="E49">
    <cfRule type="cellIs" dxfId="582" priority="683" operator="equal">
      <formula>"CORRECT !"</formula>
    </cfRule>
  </conditionalFormatting>
  <conditionalFormatting sqref="E50">
    <cfRule type="cellIs" dxfId="581" priority="682" operator="equal">
      <formula>"CORRECT !"</formula>
    </cfRule>
  </conditionalFormatting>
  <conditionalFormatting sqref="E51">
    <cfRule type="cellIs" dxfId="580" priority="681" operator="equal">
      <formula>"CORRECT !"</formula>
    </cfRule>
  </conditionalFormatting>
  <conditionalFormatting sqref="E52">
    <cfRule type="cellIs" dxfId="579" priority="680" operator="equal">
      <formula>"CORRECT !"</formula>
    </cfRule>
  </conditionalFormatting>
  <conditionalFormatting sqref="E53">
    <cfRule type="cellIs" dxfId="578" priority="679" operator="equal">
      <formula>"CORRECT !"</formula>
    </cfRule>
  </conditionalFormatting>
  <conditionalFormatting sqref="E54">
    <cfRule type="cellIs" dxfId="577" priority="678" operator="equal">
      <formula>"CORRECT !"</formula>
    </cfRule>
  </conditionalFormatting>
  <conditionalFormatting sqref="E55">
    <cfRule type="cellIs" dxfId="576" priority="677" operator="equal">
      <formula>"CORRECT !"</formula>
    </cfRule>
  </conditionalFormatting>
  <conditionalFormatting sqref="L7">
    <cfRule type="expression" dxfId="575" priority="627">
      <formula>AND($M7&lt;&gt;"",$D7&lt;&gt;$L7)</formula>
    </cfRule>
    <cfRule type="expression" dxfId="574" priority="628">
      <formula>AND($M7="y",$D7=$L7)</formula>
    </cfRule>
  </conditionalFormatting>
  <conditionalFormatting sqref="N33">
    <cfRule type="cellIs" dxfId="573" priority="598" operator="equal">
      <formula>"CORRECT !"</formula>
    </cfRule>
  </conditionalFormatting>
  <conditionalFormatting sqref="H33">
    <cfRule type="cellIs" dxfId="572" priority="594" operator="equal">
      <formula>"CORRECT !"</formula>
    </cfRule>
  </conditionalFormatting>
  <conditionalFormatting sqref="I7">
    <cfRule type="expression" dxfId="571" priority="585">
      <formula>AND($J7&lt;&gt;"",$I7&lt;&gt;$D7)</formula>
    </cfRule>
    <cfRule type="expression" dxfId="570" priority="586">
      <formula>AND($J7="y",$D7=$I7)</formula>
    </cfRule>
  </conditionalFormatting>
  <conditionalFormatting sqref="L11">
    <cfRule type="expression" dxfId="569" priority="507">
      <formula>AND($M11="y",$D11&lt;&gt;$L11)</formula>
    </cfRule>
    <cfRule type="expression" dxfId="568" priority="508">
      <formula>AND($M11="y",$D11=$L11)</formula>
    </cfRule>
  </conditionalFormatting>
  <conditionalFormatting sqref="L13">
    <cfRule type="expression" dxfId="567" priority="505">
      <formula>AND($M13="y",$D13&lt;&gt;$L13)</formula>
    </cfRule>
    <cfRule type="expression" dxfId="566" priority="506">
      <formula>AND($M13="y",$D13=$L13)</formula>
    </cfRule>
  </conditionalFormatting>
  <conditionalFormatting sqref="L15">
    <cfRule type="expression" dxfId="565" priority="503">
      <formula>AND($M15="y",$D15&lt;&gt;$L15)</formula>
    </cfRule>
    <cfRule type="expression" dxfId="564" priority="504">
      <formula>AND($M15="y",$D15=$L15)</formula>
    </cfRule>
  </conditionalFormatting>
  <conditionalFormatting sqref="L17">
    <cfRule type="expression" dxfId="563" priority="501">
      <formula>AND($M17="y",$D17&lt;&gt;$L17)</formula>
    </cfRule>
    <cfRule type="expression" dxfId="562" priority="502">
      <formula>AND($M17="y",$D17=$L17)</formula>
    </cfRule>
  </conditionalFormatting>
  <conditionalFormatting sqref="L19">
    <cfRule type="expression" dxfId="561" priority="499">
      <formula>AND($M19="y",$D19&lt;&gt;$L19)</formula>
    </cfRule>
    <cfRule type="expression" dxfId="560" priority="500">
      <formula>AND($M19="y",$D19=$L19)</formula>
    </cfRule>
  </conditionalFormatting>
  <conditionalFormatting sqref="L21">
    <cfRule type="expression" dxfId="559" priority="497">
      <formula>AND($M21="y",$D21&lt;&gt;$L21)</formula>
    </cfRule>
    <cfRule type="expression" dxfId="558" priority="498">
      <formula>AND($M21="y",$D21=$L21)</formula>
    </cfRule>
  </conditionalFormatting>
  <conditionalFormatting sqref="L23">
    <cfRule type="expression" dxfId="557" priority="495">
      <formula>AND($M23="y",$D23&lt;&gt;$L23)</formula>
    </cfRule>
    <cfRule type="expression" dxfId="556" priority="496">
      <formula>AND($M23="y",$D23=$L23)</formula>
    </cfRule>
  </conditionalFormatting>
  <conditionalFormatting sqref="L25">
    <cfRule type="expression" dxfId="555" priority="493">
      <formula>AND($M25="y",$D25&lt;&gt;$L25)</formula>
    </cfRule>
    <cfRule type="expression" dxfId="554" priority="494">
      <formula>AND($M25="y",$D25=$L25)</formula>
    </cfRule>
  </conditionalFormatting>
  <conditionalFormatting sqref="L27">
    <cfRule type="expression" dxfId="553" priority="491">
      <formula>AND($M27="y",$D27&lt;&gt;$L27)</formula>
    </cfRule>
    <cfRule type="expression" dxfId="552" priority="492">
      <formula>AND($M27="y",$D27=$L27)</formula>
    </cfRule>
  </conditionalFormatting>
  <conditionalFormatting sqref="L29">
    <cfRule type="expression" dxfId="551" priority="489">
      <formula>AND($M29="y",$D29&lt;&gt;$L29)</formula>
    </cfRule>
    <cfRule type="expression" dxfId="550" priority="490">
      <formula>AND($M29="y",$D29=$L29)</formula>
    </cfRule>
  </conditionalFormatting>
  <conditionalFormatting sqref="L31">
    <cfRule type="expression" dxfId="549" priority="487">
      <formula>AND($M31="y",$D31&lt;&gt;$L31)</formula>
    </cfRule>
    <cfRule type="expression" dxfId="548" priority="488">
      <formula>AND($M31="y",$D31=$L31)</formula>
    </cfRule>
  </conditionalFormatting>
  <conditionalFormatting sqref="L33">
    <cfRule type="expression" dxfId="547" priority="485">
      <formula>AND($M33="y",$D33&lt;&gt;$L33)</formula>
    </cfRule>
    <cfRule type="expression" dxfId="546" priority="486">
      <formula>AND($M33="y",$D33=$L33)</formula>
    </cfRule>
  </conditionalFormatting>
  <conditionalFormatting sqref="L35">
    <cfRule type="expression" dxfId="545" priority="483">
      <formula>AND($M35="y",$D35&lt;&gt;$L35)</formula>
    </cfRule>
    <cfRule type="expression" dxfId="544" priority="484">
      <formula>AND($M35="y",$D35=$L35)</formula>
    </cfRule>
  </conditionalFormatting>
  <conditionalFormatting sqref="I19">
    <cfRule type="expression" dxfId="543" priority="439">
      <formula>AND($J19&lt;&gt;"",$I19&lt;&gt;$D19)</formula>
    </cfRule>
    <cfRule type="expression" dxfId="542" priority="440">
      <formula>AND($J19="y",$D19=$I19)</formula>
    </cfRule>
  </conditionalFormatting>
  <conditionalFormatting sqref="F11">
    <cfRule type="expression" dxfId="541" priority="473">
      <formula>AND($G11&lt;&gt;"",$D11&lt;&gt;$F11)</formula>
    </cfRule>
    <cfRule type="expression" dxfId="540" priority="474">
      <formula>AND($G11="y",$D11=$F11)</formula>
    </cfRule>
  </conditionalFormatting>
  <conditionalFormatting sqref="F13">
    <cfRule type="expression" dxfId="539" priority="471">
      <formula>AND($G13&lt;&gt;"",$D13&lt;&gt;$F13)</formula>
    </cfRule>
    <cfRule type="expression" dxfId="538" priority="472">
      <formula>AND($G13="y",$D13=$F13)</formula>
    </cfRule>
  </conditionalFormatting>
  <conditionalFormatting sqref="F15">
    <cfRule type="expression" dxfId="537" priority="469">
      <formula>AND($G15&lt;&gt;"",$D15&lt;&gt;$F15)</formula>
    </cfRule>
    <cfRule type="expression" dxfId="536" priority="470">
      <formula>AND($G15="y",$D15=$F15)</formula>
    </cfRule>
  </conditionalFormatting>
  <conditionalFormatting sqref="F17">
    <cfRule type="expression" dxfId="535" priority="467">
      <formula>AND($G17&lt;&gt;"",$D17&lt;&gt;$F17)</formula>
    </cfRule>
    <cfRule type="expression" dxfId="534" priority="468">
      <formula>AND($G17="y",$D17=$F17)</formula>
    </cfRule>
  </conditionalFormatting>
  <conditionalFormatting sqref="F19">
    <cfRule type="expression" dxfId="533" priority="465">
      <formula>AND($G19&lt;&gt;"",$D19&lt;&gt;$F19)</formula>
    </cfRule>
    <cfRule type="expression" dxfId="532" priority="466">
      <formula>AND($G19="y",$D19=$F19)</formula>
    </cfRule>
  </conditionalFormatting>
  <conditionalFormatting sqref="F21">
    <cfRule type="expression" dxfId="531" priority="463">
      <formula>AND($G21&lt;&gt;"",$D21&lt;&gt;$F21)</formula>
    </cfRule>
    <cfRule type="expression" dxfId="530" priority="464">
      <formula>AND($G21="y",$D21=$F21)</formula>
    </cfRule>
  </conditionalFormatting>
  <conditionalFormatting sqref="F23">
    <cfRule type="expression" dxfId="529" priority="461">
      <formula>AND($G23&lt;&gt;"",$D23&lt;&gt;$F23)</formula>
    </cfRule>
    <cfRule type="expression" dxfId="528" priority="462">
      <formula>AND($G23="y",$D23=$F23)</formula>
    </cfRule>
  </conditionalFormatting>
  <conditionalFormatting sqref="F25">
    <cfRule type="expression" dxfId="527" priority="459">
      <formula>AND($G25&lt;&gt;"",$D25&lt;&gt;$F25)</formula>
    </cfRule>
    <cfRule type="expression" dxfId="526" priority="460">
      <formula>AND($G25="y",$D25=$F25)</formula>
    </cfRule>
  </conditionalFormatting>
  <conditionalFormatting sqref="F27">
    <cfRule type="expression" dxfId="525" priority="457">
      <formula>AND($G27&lt;&gt;"",$D27&lt;&gt;$F27)</formula>
    </cfRule>
    <cfRule type="expression" dxfId="524" priority="458">
      <formula>AND($G27="y",$D27=$F27)</formula>
    </cfRule>
  </conditionalFormatting>
  <conditionalFormatting sqref="F29">
    <cfRule type="expression" dxfId="523" priority="455">
      <formula>AND($G29&lt;&gt;"",$D29&lt;&gt;$F29)</formula>
    </cfRule>
    <cfRule type="expression" dxfId="522" priority="456">
      <formula>AND($G29="y",$D29=$F29)</formula>
    </cfRule>
  </conditionalFormatting>
  <conditionalFormatting sqref="F31">
    <cfRule type="expression" dxfId="521" priority="453">
      <formula>AND($G31&lt;&gt;"",$D31&lt;&gt;$F31)</formula>
    </cfRule>
    <cfRule type="expression" dxfId="520" priority="454">
      <formula>AND($G31="y",$D31=$F31)</formula>
    </cfRule>
  </conditionalFormatting>
  <conditionalFormatting sqref="F33">
    <cfRule type="expression" dxfId="519" priority="451">
      <formula>AND($G33&lt;&gt;"",$D33&lt;&gt;$F33)</formula>
    </cfRule>
    <cfRule type="expression" dxfId="518" priority="452">
      <formula>AND($G33="y",$D33=$F33)</formula>
    </cfRule>
  </conditionalFormatting>
  <conditionalFormatting sqref="F35">
    <cfRule type="expression" dxfId="517" priority="449">
      <formula>AND($G35&lt;&gt;"",$D35&lt;&gt;$F35)</formula>
    </cfRule>
    <cfRule type="expression" dxfId="516" priority="450">
      <formula>AND($G35="y",$D35=$F35)</formula>
    </cfRule>
  </conditionalFormatting>
  <conditionalFormatting sqref="I11">
    <cfRule type="expression" dxfId="515" priority="447">
      <formula>AND($J11&lt;&gt;"",$I11&lt;&gt;$D11)</formula>
    </cfRule>
    <cfRule type="expression" dxfId="514" priority="448">
      <formula>AND($J11="y",$D11=$I11)</formula>
    </cfRule>
  </conditionalFormatting>
  <conditionalFormatting sqref="I13">
    <cfRule type="expression" dxfId="513" priority="445">
      <formula>AND($J13&lt;&gt;"",$I13&lt;&gt;$D13)</formula>
    </cfRule>
    <cfRule type="expression" dxfId="512" priority="446">
      <formula>AND($J13="y",$D13=$I13)</formula>
    </cfRule>
  </conditionalFormatting>
  <conditionalFormatting sqref="I15">
    <cfRule type="expression" dxfId="511" priority="443">
      <formula>AND($J15&lt;&gt;"",$I15&lt;&gt;$D15)</formula>
    </cfRule>
    <cfRule type="expression" dxfId="510" priority="444">
      <formula>AND($J15="y",$D15=$I15)</formula>
    </cfRule>
  </conditionalFormatting>
  <conditionalFormatting sqref="I17">
    <cfRule type="expression" dxfId="509" priority="441">
      <formula>AND($J17&lt;&gt;"",$I17&lt;&gt;$D17)</formula>
    </cfRule>
    <cfRule type="expression" dxfId="508" priority="442">
      <formula>AND($J17="y",$D17=$I17)</formula>
    </cfRule>
  </conditionalFormatting>
  <conditionalFormatting sqref="I21">
    <cfRule type="expression" dxfId="507" priority="437">
      <formula>AND($J21&lt;&gt;"",$I21&lt;&gt;$D21)</formula>
    </cfRule>
    <cfRule type="expression" dxfId="506" priority="438">
      <formula>AND($J21="y",$D21=$I21)</formula>
    </cfRule>
  </conditionalFormatting>
  <conditionalFormatting sqref="I23">
    <cfRule type="expression" dxfId="505" priority="435">
      <formula>AND($J23&lt;&gt;"",$I23&lt;&gt;$D23)</formula>
    </cfRule>
    <cfRule type="expression" dxfId="504" priority="436">
      <formula>AND($J23="y",$D23=$I23)</formula>
    </cfRule>
  </conditionalFormatting>
  <conditionalFormatting sqref="I25">
    <cfRule type="expression" dxfId="503" priority="433">
      <formula>AND($J25&lt;&gt;"",$I25&lt;&gt;$D25)</formula>
    </cfRule>
    <cfRule type="expression" dxfId="502" priority="434">
      <formula>AND($J25="y",$D25=$I25)</formula>
    </cfRule>
  </conditionalFormatting>
  <conditionalFormatting sqref="I27">
    <cfRule type="expression" dxfId="501" priority="431">
      <formula>AND($J27&lt;&gt;"",$I27&lt;&gt;$D27)</formula>
    </cfRule>
    <cfRule type="expression" dxfId="500" priority="432">
      <formula>AND($J27="y",$D27=$I27)</formula>
    </cfRule>
  </conditionalFormatting>
  <conditionalFormatting sqref="I29">
    <cfRule type="expression" dxfId="499" priority="429">
      <formula>AND($J29&lt;&gt;"",$I29&lt;&gt;$D29)</formula>
    </cfRule>
    <cfRule type="expression" dxfId="498" priority="430">
      <formula>AND($J29="y",$D29=$I29)</formula>
    </cfRule>
  </conditionalFormatting>
  <conditionalFormatting sqref="I31">
    <cfRule type="expression" dxfId="497" priority="427">
      <formula>AND($J31&lt;&gt;"",$I31&lt;&gt;$D31)</formula>
    </cfRule>
    <cfRule type="expression" dxfId="496" priority="428">
      <formula>AND($J31="y",$D31=$I31)</formula>
    </cfRule>
  </conditionalFormatting>
  <conditionalFormatting sqref="I33">
    <cfRule type="expression" dxfId="495" priority="425">
      <formula>AND($J33&lt;&gt;"",$I33&lt;&gt;$D33)</formula>
    </cfRule>
    <cfRule type="expression" dxfId="494" priority="426">
      <formula>AND($J33="y",$D33=$I33)</formula>
    </cfRule>
  </conditionalFormatting>
  <conditionalFormatting sqref="I35">
    <cfRule type="expression" dxfId="493" priority="423">
      <formula>AND($J35&lt;&gt;"",$I35&lt;&gt;$D35)</formula>
    </cfRule>
    <cfRule type="expression" dxfId="492" priority="424">
      <formula>AND($J35="y",$D35=$I35)</formula>
    </cfRule>
  </conditionalFormatting>
  <conditionalFormatting sqref="F74">
    <cfRule type="expression" dxfId="491" priority="408">
      <formula>#REF!&lt;&gt;""</formula>
    </cfRule>
  </conditionalFormatting>
  <conditionalFormatting sqref="F75">
    <cfRule type="expression" dxfId="490" priority="407">
      <formula>#REF!&lt;&gt;""</formula>
    </cfRule>
  </conditionalFormatting>
  <conditionalFormatting sqref="F76">
    <cfRule type="expression" dxfId="489" priority="406">
      <formula>#REF!&lt;&gt;""</formula>
    </cfRule>
  </conditionalFormatting>
  <conditionalFormatting sqref="F77">
    <cfRule type="expression" dxfId="488" priority="405">
      <formula>#REF!&lt;&gt;""</formula>
    </cfRule>
  </conditionalFormatting>
  <conditionalFormatting sqref="F78">
    <cfRule type="expression" dxfId="487" priority="404">
      <formula>#REF!&lt;&gt;""</formula>
    </cfRule>
  </conditionalFormatting>
  <conditionalFormatting sqref="F79">
    <cfRule type="expression" dxfId="486" priority="403">
      <formula>#REF!&lt;&gt;""</formula>
    </cfRule>
  </conditionalFormatting>
  <conditionalFormatting sqref="F80">
    <cfRule type="expression" dxfId="485" priority="402">
      <formula>#REF!&lt;&gt;""</formula>
    </cfRule>
  </conditionalFormatting>
  <conditionalFormatting sqref="F81">
    <cfRule type="expression" dxfId="484" priority="401">
      <formula>#REF!&lt;&gt;""</formula>
    </cfRule>
  </conditionalFormatting>
  <conditionalFormatting sqref="F82">
    <cfRule type="expression" dxfId="483" priority="400">
      <formula>#REF!&lt;&gt;""</formula>
    </cfRule>
  </conditionalFormatting>
  <conditionalFormatting sqref="F83">
    <cfRule type="expression" dxfId="482" priority="399">
      <formula>#REF!&lt;&gt;""</formula>
    </cfRule>
  </conditionalFormatting>
  <conditionalFormatting sqref="F84">
    <cfRule type="expression" dxfId="481" priority="398">
      <formula>#REF!&lt;&gt;""</formula>
    </cfRule>
  </conditionalFormatting>
  <conditionalFormatting sqref="F85">
    <cfRule type="expression" dxfId="480" priority="397">
      <formula>#REF!&lt;&gt;""</formula>
    </cfRule>
  </conditionalFormatting>
  <conditionalFormatting sqref="F86">
    <cfRule type="expression" dxfId="479" priority="396">
      <formula>#REF!&lt;&gt;""</formula>
    </cfRule>
  </conditionalFormatting>
  <conditionalFormatting sqref="F87">
    <cfRule type="expression" dxfId="478" priority="395">
      <formula>#REF!&lt;&gt;""</formula>
    </cfRule>
  </conditionalFormatting>
  <conditionalFormatting sqref="F88">
    <cfRule type="expression" dxfId="477" priority="394">
      <formula>#REF!&lt;&gt;""</formula>
    </cfRule>
  </conditionalFormatting>
  <conditionalFormatting sqref="F89">
    <cfRule type="expression" dxfId="476" priority="393">
      <formula>#REF!&lt;&gt;""</formula>
    </cfRule>
  </conditionalFormatting>
  <conditionalFormatting sqref="F90">
    <cfRule type="expression" dxfId="475" priority="392">
      <formula>#REF!&lt;&gt;""</formula>
    </cfRule>
  </conditionalFormatting>
  <conditionalFormatting sqref="F91">
    <cfRule type="expression" dxfId="474" priority="391">
      <formula>#REF!&lt;&gt;""</formula>
    </cfRule>
  </conditionalFormatting>
  <conditionalFormatting sqref="F92">
    <cfRule type="expression" dxfId="473" priority="390">
      <formula>#REF!&lt;&gt;""</formula>
    </cfRule>
  </conditionalFormatting>
  <conditionalFormatting sqref="F93">
    <cfRule type="expression" dxfId="472" priority="389">
      <formula>#REF!&lt;&gt;""</formula>
    </cfRule>
  </conditionalFormatting>
  <conditionalFormatting sqref="F94">
    <cfRule type="expression" dxfId="471" priority="388">
      <formula>#REF!&lt;&gt;""</formula>
    </cfRule>
  </conditionalFormatting>
  <conditionalFormatting sqref="F95">
    <cfRule type="expression" dxfId="470" priority="387">
      <formula>#REF!&lt;&gt;""</formula>
    </cfRule>
  </conditionalFormatting>
  <conditionalFormatting sqref="F96">
    <cfRule type="expression" dxfId="469" priority="386">
      <formula>#REF!&lt;&gt;""</formula>
    </cfRule>
  </conditionalFormatting>
  <conditionalFormatting sqref="F97">
    <cfRule type="expression" dxfId="468" priority="385">
      <formula>#REF!&lt;&gt;""</formula>
    </cfRule>
  </conditionalFormatting>
  <conditionalFormatting sqref="F98">
    <cfRule type="expression" dxfId="467" priority="384">
      <formula>#REF!&lt;&gt;""</formula>
    </cfRule>
  </conditionalFormatting>
  <conditionalFormatting sqref="F99">
    <cfRule type="expression" dxfId="466" priority="383">
      <formula>#REF!&lt;&gt;""</formula>
    </cfRule>
  </conditionalFormatting>
  <conditionalFormatting sqref="F100">
    <cfRule type="expression" dxfId="465" priority="382">
      <formula>#REF!&lt;&gt;""</formula>
    </cfRule>
  </conditionalFormatting>
  <conditionalFormatting sqref="F101">
    <cfRule type="expression" dxfId="464" priority="381">
      <formula>#REF!&lt;&gt;""</formula>
    </cfRule>
  </conditionalFormatting>
  <conditionalFormatting sqref="F102">
    <cfRule type="expression" dxfId="463" priority="380">
      <formula>#REF!&lt;&gt;""</formula>
    </cfRule>
  </conditionalFormatting>
  <conditionalFormatting sqref="F103">
    <cfRule type="expression" dxfId="462" priority="379">
      <formula>#REF!&lt;&gt;""</formula>
    </cfRule>
  </conditionalFormatting>
  <conditionalFormatting sqref="F104">
    <cfRule type="expression" dxfId="461" priority="378">
      <formula>#REF!&lt;&gt;""</formula>
    </cfRule>
  </conditionalFormatting>
  <conditionalFormatting sqref="F105">
    <cfRule type="expression" dxfId="460" priority="377">
      <formula>#REF!&lt;&gt;""</formula>
    </cfRule>
  </conditionalFormatting>
  <conditionalFormatting sqref="F106">
    <cfRule type="expression" dxfId="459" priority="376">
      <formula>#REF!&lt;&gt;""</formula>
    </cfRule>
  </conditionalFormatting>
  <conditionalFormatting sqref="F107">
    <cfRule type="expression" dxfId="458" priority="375">
      <formula>#REF!&lt;&gt;""</formula>
    </cfRule>
  </conditionalFormatting>
  <conditionalFormatting sqref="F108">
    <cfRule type="expression" dxfId="457" priority="374">
      <formula>#REF!&lt;&gt;""</formula>
    </cfRule>
  </conditionalFormatting>
  <conditionalFormatting sqref="F109">
    <cfRule type="expression" dxfId="456" priority="373">
      <formula>#REF!&lt;&gt;""</formula>
    </cfRule>
  </conditionalFormatting>
  <conditionalFormatting sqref="F110">
    <cfRule type="expression" dxfId="455" priority="372">
      <formula>#REF!&lt;&gt;""</formula>
    </cfRule>
  </conditionalFormatting>
  <conditionalFormatting sqref="F111">
    <cfRule type="expression" dxfId="454" priority="371">
      <formula>#REF!&lt;&gt;""</formula>
    </cfRule>
  </conditionalFormatting>
  <conditionalFormatting sqref="F112">
    <cfRule type="expression" dxfId="453" priority="370">
      <formula>#REF!&lt;&gt;""</formula>
    </cfRule>
  </conditionalFormatting>
  <conditionalFormatting sqref="F113">
    <cfRule type="expression" dxfId="452" priority="369">
      <formula>#REF!&lt;&gt;""</formula>
    </cfRule>
  </conditionalFormatting>
  <conditionalFormatting sqref="F114">
    <cfRule type="expression" dxfId="451" priority="368">
      <formula>#REF!&lt;&gt;""</formula>
    </cfRule>
  </conditionalFormatting>
  <conditionalFormatting sqref="F115">
    <cfRule type="expression" dxfId="450" priority="367">
      <formula>#REF!&lt;&gt;""</formula>
    </cfRule>
  </conditionalFormatting>
  <conditionalFormatting sqref="F116">
    <cfRule type="expression" dxfId="449" priority="366">
      <formula>#REF!&lt;&gt;""</formula>
    </cfRule>
  </conditionalFormatting>
  <conditionalFormatting sqref="F117">
    <cfRule type="expression" dxfId="448" priority="365">
      <formula>#REF!&lt;&gt;""</formula>
    </cfRule>
  </conditionalFormatting>
  <conditionalFormatting sqref="F118">
    <cfRule type="expression" dxfId="447" priority="364">
      <formula>#REF!&lt;&gt;""</formula>
    </cfRule>
  </conditionalFormatting>
  <conditionalFormatting sqref="F119">
    <cfRule type="expression" dxfId="446" priority="363">
      <formula>#REF!&lt;&gt;""</formula>
    </cfRule>
  </conditionalFormatting>
  <conditionalFormatting sqref="F120">
    <cfRule type="expression" dxfId="445" priority="362">
      <formula>#REF!&lt;&gt;""</formula>
    </cfRule>
  </conditionalFormatting>
  <conditionalFormatting sqref="F121">
    <cfRule type="expression" dxfId="444" priority="361">
      <formula>#REF!&lt;&gt;""</formula>
    </cfRule>
  </conditionalFormatting>
  <conditionalFormatting sqref="F122">
    <cfRule type="expression" dxfId="443" priority="360">
      <formula>#REF!&lt;&gt;""</formula>
    </cfRule>
  </conditionalFormatting>
  <conditionalFormatting sqref="F123">
    <cfRule type="expression" dxfId="442" priority="359">
      <formula>#REF!&lt;&gt;""</formula>
    </cfRule>
  </conditionalFormatting>
  <conditionalFormatting sqref="F124">
    <cfRule type="expression" dxfId="441" priority="358">
      <formula>#REF!&lt;&gt;""</formula>
    </cfRule>
  </conditionalFormatting>
  <conditionalFormatting sqref="F125">
    <cfRule type="expression" dxfId="440" priority="357">
      <formula>#REF!&lt;&gt;""</formula>
    </cfRule>
  </conditionalFormatting>
  <conditionalFormatting sqref="F126">
    <cfRule type="expression" dxfId="439" priority="356">
      <formula>#REF!&lt;&gt;""</formula>
    </cfRule>
  </conditionalFormatting>
  <conditionalFormatting sqref="F127">
    <cfRule type="expression" dxfId="438" priority="355">
      <formula>#REF!&lt;&gt;""</formula>
    </cfRule>
  </conditionalFormatting>
  <conditionalFormatting sqref="F128">
    <cfRule type="expression" dxfId="437" priority="354">
      <formula>#REF!&lt;&gt;""</formula>
    </cfRule>
  </conditionalFormatting>
  <conditionalFormatting sqref="F129">
    <cfRule type="expression" dxfId="436" priority="353">
      <formula>#REF!&lt;&gt;""</formula>
    </cfRule>
  </conditionalFormatting>
  <conditionalFormatting sqref="F130">
    <cfRule type="expression" dxfId="435" priority="352">
      <formula>#REF!&lt;&gt;""</formula>
    </cfRule>
  </conditionalFormatting>
  <conditionalFormatting sqref="F131">
    <cfRule type="expression" dxfId="434" priority="351">
      <formula>#REF!&lt;&gt;""</formula>
    </cfRule>
  </conditionalFormatting>
  <conditionalFormatting sqref="F132">
    <cfRule type="expression" dxfId="433" priority="350">
      <formula>#REF!&lt;&gt;""</formula>
    </cfRule>
  </conditionalFormatting>
  <conditionalFormatting sqref="F133">
    <cfRule type="expression" dxfId="432" priority="349">
      <formula>#REF!&lt;&gt;""</formula>
    </cfRule>
  </conditionalFormatting>
  <conditionalFormatting sqref="F134">
    <cfRule type="expression" dxfId="431" priority="348">
      <formula>#REF!&lt;&gt;""</formula>
    </cfRule>
  </conditionalFormatting>
  <conditionalFormatting sqref="F135">
    <cfRule type="expression" dxfId="430" priority="347">
      <formula>#REF!&lt;&gt;""</formula>
    </cfRule>
  </conditionalFormatting>
  <conditionalFormatting sqref="F136">
    <cfRule type="expression" dxfId="429" priority="346">
      <formula>#REF!&lt;&gt;""</formula>
    </cfRule>
  </conditionalFormatting>
  <conditionalFormatting sqref="F137">
    <cfRule type="expression" dxfId="428" priority="345">
      <formula>#REF!&lt;&gt;""</formula>
    </cfRule>
  </conditionalFormatting>
  <conditionalFormatting sqref="F138">
    <cfRule type="expression" dxfId="427" priority="344">
      <formula>#REF!&lt;&gt;""</formula>
    </cfRule>
  </conditionalFormatting>
  <conditionalFormatting sqref="F139">
    <cfRule type="expression" dxfId="426" priority="343">
      <formula>#REF!&lt;&gt;""</formula>
    </cfRule>
  </conditionalFormatting>
  <conditionalFormatting sqref="F140">
    <cfRule type="expression" dxfId="425" priority="342">
      <formula>#REF!&lt;&gt;""</formula>
    </cfRule>
  </conditionalFormatting>
  <conditionalFormatting sqref="F141">
    <cfRule type="expression" dxfId="424" priority="341">
      <formula>#REF!&lt;&gt;""</formula>
    </cfRule>
  </conditionalFormatting>
  <conditionalFormatting sqref="F142">
    <cfRule type="expression" dxfId="423" priority="340">
      <formula>#REF!&lt;&gt;""</formula>
    </cfRule>
  </conditionalFormatting>
  <conditionalFormatting sqref="F143">
    <cfRule type="expression" dxfId="422" priority="339">
      <formula>#REF!&lt;&gt;""</formula>
    </cfRule>
  </conditionalFormatting>
  <conditionalFormatting sqref="F144">
    <cfRule type="expression" dxfId="421" priority="338">
      <formula>#REF!&lt;&gt;""</formula>
    </cfRule>
  </conditionalFormatting>
  <conditionalFormatting sqref="F145">
    <cfRule type="expression" dxfId="420" priority="337">
      <formula>#REF!&lt;&gt;""</formula>
    </cfRule>
  </conditionalFormatting>
  <conditionalFormatting sqref="F146">
    <cfRule type="expression" dxfId="419" priority="336">
      <formula>#REF!&lt;&gt;""</formula>
    </cfRule>
  </conditionalFormatting>
  <conditionalFormatting sqref="F147">
    <cfRule type="expression" dxfId="418" priority="335">
      <formula>#REF!&lt;&gt;""</formula>
    </cfRule>
  </conditionalFormatting>
  <conditionalFormatting sqref="F148">
    <cfRule type="expression" dxfId="417" priority="334">
      <formula>#REF!&lt;&gt;""</formula>
    </cfRule>
  </conditionalFormatting>
  <conditionalFormatting sqref="F149">
    <cfRule type="expression" dxfId="416" priority="333">
      <formula>#REF!&lt;&gt;""</formula>
    </cfRule>
  </conditionalFormatting>
  <conditionalFormatting sqref="F150">
    <cfRule type="expression" dxfId="415" priority="332">
      <formula>#REF!&lt;&gt;""</formula>
    </cfRule>
  </conditionalFormatting>
  <conditionalFormatting sqref="F151">
    <cfRule type="expression" dxfId="414" priority="331">
      <formula>#REF!&lt;&gt;""</formula>
    </cfRule>
  </conditionalFormatting>
  <conditionalFormatting sqref="F152">
    <cfRule type="expression" dxfId="413" priority="330">
      <formula>#REF!&lt;&gt;""</formula>
    </cfRule>
  </conditionalFormatting>
  <conditionalFormatting sqref="F153">
    <cfRule type="expression" dxfId="412" priority="329">
      <formula>#REF!&lt;&gt;""</formula>
    </cfRule>
  </conditionalFormatting>
  <conditionalFormatting sqref="F154">
    <cfRule type="expression" dxfId="411" priority="328">
      <formula>#REF!&lt;&gt;""</formula>
    </cfRule>
  </conditionalFormatting>
  <conditionalFormatting sqref="F155">
    <cfRule type="expression" dxfId="410" priority="327">
      <formula>#REF!&lt;&gt;""</formula>
    </cfRule>
  </conditionalFormatting>
  <conditionalFormatting sqref="F156">
    <cfRule type="expression" dxfId="409" priority="326">
      <formula>#REF!&lt;&gt;""</formula>
    </cfRule>
  </conditionalFormatting>
  <conditionalFormatting sqref="F157">
    <cfRule type="expression" dxfId="408" priority="325">
      <formula>#REF!&lt;&gt;""</formula>
    </cfRule>
  </conditionalFormatting>
  <conditionalFormatting sqref="F158">
    <cfRule type="expression" dxfId="407" priority="324">
      <formula>#REF!&lt;&gt;""</formula>
    </cfRule>
  </conditionalFormatting>
  <conditionalFormatting sqref="F159">
    <cfRule type="expression" dxfId="406" priority="323">
      <formula>#REF!&lt;&gt;""</formula>
    </cfRule>
  </conditionalFormatting>
  <conditionalFormatting sqref="F160">
    <cfRule type="expression" dxfId="405" priority="322">
      <formula>#REF!&lt;&gt;""</formula>
    </cfRule>
  </conditionalFormatting>
  <conditionalFormatting sqref="F161">
    <cfRule type="expression" dxfId="404" priority="321">
      <formula>#REF!&lt;&gt;""</formula>
    </cfRule>
  </conditionalFormatting>
  <conditionalFormatting sqref="F162">
    <cfRule type="expression" dxfId="403" priority="320">
      <formula>#REF!&lt;&gt;""</formula>
    </cfRule>
  </conditionalFormatting>
  <conditionalFormatting sqref="F163">
    <cfRule type="expression" dxfId="402" priority="319">
      <formula>#REF!&lt;&gt;""</formula>
    </cfRule>
  </conditionalFormatting>
  <conditionalFormatting sqref="F164">
    <cfRule type="expression" dxfId="401" priority="318">
      <formula>#REF!&lt;&gt;""</formula>
    </cfRule>
  </conditionalFormatting>
  <conditionalFormatting sqref="F165">
    <cfRule type="expression" dxfId="400" priority="317">
      <formula>#REF!&lt;&gt;""</formula>
    </cfRule>
  </conditionalFormatting>
  <conditionalFormatting sqref="F166">
    <cfRule type="expression" dxfId="399" priority="316">
      <formula>#REF!&lt;&gt;""</formula>
    </cfRule>
  </conditionalFormatting>
  <conditionalFormatting sqref="F167">
    <cfRule type="expression" dxfId="398" priority="315">
      <formula>#REF!&lt;&gt;""</formula>
    </cfRule>
  </conditionalFormatting>
  <conditionalFormatting sqref="F168">
    <cfRule type="expression" dxfId="397" priority="314">
      <formula>#REF!&lt;&gt;""</formula>
    </cfRule>
  </conditionalFormatting>
  <conditionalFormatting sqref="F169">
    <cfRule type="expression" dxfId="396" priority="313">
      <formula>#REF!&lt;&gt;""</formula>
    </cfRule>
  </conditionalFormatting>
  <conditionalFormatting sqref="F170">
    <cfRule type="expression" dxfId="395" priority="312">
      <formula>#REF!&lt;&gt;""</formula>
    </cfRule>
  </conditionalFormatting>
  <conditionalFormatting sqref="F171">
    <cfRule type="expression" dxfId="394" priority="311">
      <formula>#REF!&lt;&gt;""</formula>
    </cfRule>
  </conditionalFormatting>
  <conditionalFormatting sqref="F172">
    <cfRule type="expression" dxfId="393" priority="310">
      <formula>#REF!&lt;&gt;""</formula>
    </cfRule>
  </conditionalFormatting>
  <conditionalFormatting sqref="F173">
    <cfRule type="expression" dxfId="392" priority="309">
      <formula>#REF!&lt;&gt;""</formula>
    </cfRule>
  </conditionalFormatting>
  <conditionalFormatting sqref="F174">
    <cfRule type="expression" dxfId="391" priority="308">
      <formula>#REF!&lt;&gt;""</formula>
    </cfRule>
  </conditionalFormatting>
  <conditionalFormatting sqref="F175">
    <cfRule type="expression" dxfId="390" priority="307">
      <formula>#REF!&lt;&gt;""</formula>
    </cfRule>
  </conditionalFormatting>
  <conditionalFormatting sqref="F176">
    <cfRule type="expression" dxfId="389" priority="306">
      <formula>#REF!&lt;&gt;""</formula>
    </cfRule>
  </conditionalFormatting>
  <conditionalFormatting sqref="F177">
    <cfRule type="expression" dxfId="388" priority="305">
      <formula>#REF!&lt;&gt;""</formula>
    </cfRule>
  </conditionalFormatting>
  <conditionalFormatting sqref="F178">
    <cfRule type="expression" dxfId="387" priority="304">
      <formula>#REF!&lt;&gt;""</formula>
    </cfRule>
  </conditionalFormatting>
  <conditionalFormatting sqref="F179">
    <cfRule type="expression" dxfId="386" priority="303">
      <formula>#REF!&lt;&gt;""</formula>
    </cfRule>
  </conditionalFormatting>
  <conditionalFormatting sqref="F180">
    <cfRule type="expression" dxfId="385" priority="302">
      <formula>#REF!&lt;&gt;""</formula>
    </cfRule>
  </conditionalFormatting>
  <conditionalFormatting sqref="F181">
    <cfRule type="expression" dxfId="384" priority="301">
      <formula>#REF!&lt;&gt;""</formula>
    </cfRule>
  </conditionalFormatting>
  <conditionalFormatting sqref="F182">
    <cfRule type="expression" dxfId="383" priority="300">
      <formula>#REF!&lt;&gt;""</formula>
    </cfRule>
  </conditionalFormatting>
  <conditionalFormatting sqref="F183">
    <cfRule type="expression" dxfId="382" priority="299">
      <formula>#REF!&lt;&gt;""</formula>
    </cfRule>
  </conditionalFormatting>
  <conditionalFormatting sqref="F184">
    <cfRule type="expression" dxfId="381" priority="298">
      <formula>#REF!&lt;&gt;""</formula>
    </cfRule>
  </conditionalFormatting>
  <conditionalFormatting sqref="F185">
    <cfRule type="expression" dxfId="380" priority="297">
      <formula>#REF!&lt;&gt;""</formula>
    </cfRule>
  </conditionalFormatting>
  <conditionalFormatting sqref="F37">
    <cfRule type="expression" dxfId="379" priority="296">
      <formula>#REF!&lt;&gt;""</formula>
    </cfRule>
  </conditionalFormatting>
  <conditionalFormatting sqref="F38">
    <cfRule type="expression" dxfId="378" priority="295">
      <formula>#REF!&lt;&gt;""</formula>
    </cfRule>
  </conditionalFormatting>
  <conditionalFormatting sqref="F39">
    <cfRule type="expression" dxfId="377" priority="294">
      <formula>#REF!&lt;&gt;""</formula>
    </cfRule>
  </conditionalFormatting>
  <conditionalFormatting sqref="F40">
    <cfRule type="expression" dxfId="376" priority="293">
      <formula>#REF!&lt;&gt;""</formula>
    </cfRule>
  </conditionalFormatting>
  <conditionalFormatting sqref="F41">
    <cfRule type="expression" dxfId="375" priority="292">
      <formula>#REF!&lt;&gt;""</formula>
    </cfRule>
  </conditionalFormatting>
  <conditionalFormatting sqref="F42">
    <cfRule type="expression" dxfId="374" priority="291">
      <formula>#REF!&lt;&gt;""</formula>
    </cfRule>
  </conditionalFormatting>
  <conditionalFormatting sqref="F43">
    <cfRule type="expression" dxfId="373" priority="290">
      <formula>#REF!&lt;&gt;""</formula>
    </cfRule>
  </conditionalFormatting>
  <conditionalFormatting sqref="F44">
    <cfRule type="expression" dxfId="372" priority="289">
      <formula>#REF!&lt;&gt;""</formula>
    </cfRule>
  </conditionalFormatting>
  <conditionalFormatting sqref="F45">
    <cfRule type="expression" dxfId="371" priority="288">
      <formula>#REF!&lt;&gt;""</formula>
    </cfRule>
  </conditionalFormatting>
  <conditionalFormatting sqref="F46">
    <cfRule type="expression" dxfId="370" priority="287">
      <formula>#REF!&lt;&gt;""</formula>
    </cfRule>
  </conditionalFormatting>
  <conditionalFormatting sqref="F47">
    <cfRule type="expression" dxfId="369" priority="286">
      <formula>#REF!&lt;&gt;""</formula>
    </cfRule>
  </conditionalFormatting>
  <conditionalFormatting sqref="F48">
    <cfRule type="expression" dxfId="368" priority="285">
      <formula>#REF!&lt;&gt;""</formula>
    </cfRule>
  </conditionalFormatting>
  <conditionalFormatting sqref="F49">
    <cfRule type="expression" dxfId="367" priority="284">
      <formula>#REF!&lt;&gt;""</formula>
    </cfRule>
  </conditionalFormatting>
  <conditionalFormatting sqref="F50">
    <cfRule type="expression" dxfId="366" priority="283">
      <formula>#REF!&lt;&gt;""</formula>
    </cfRule>
  </conditionalFormatting>
  <conditionalFormatting sqref="F51">
    <cfRule type="expression" dxfId="365" priority="282">
      <formula>#REF!&lt;&gt;""</formula>
    </cfRule>
  </conditionalFormatting>
  <conditionalFormatting sqref="F52">
    <cfRule type="expression" dxfId="364" priority="281">
      <formula>#REF!&lt;&gt;""</formula>
    </cfRule>
  </conditionalFormatting>
  <conditionalFormatting sqref="F53">
    <cfRule type="expression" dxfId="363" priority="280">
      <formula>#REF!&lt;&gt;""</formula>
    </cfRule>
  </conditionalFormatting>
  <conditionalFormatting sqref="F54">
    <cfRule type="expression" dxfId="362" priority="279">
      <formula>#REF!&lt;&gt;""</formula>
    </cfRule>
  </conditionalFormatting>
  <conditionalFormatting sqref="F55">
    <cfRule type="expression" dxfId="361" priority="278">
      <formula>#REF!&lt;&gt;""</formula>
    </cfRule>
  </conditionalFormatting>
  <conditionalFormatting sqref="F56">
    <cfRule type="expression" dxfId="360" priority="277">
      <formula>#REF!&lt;&gt;""</formula>
    </cfRule>
  </conditionalFormatting>
  <conditionalFormatting sqref="F57">
    <cfRule type="expression" dxfId="359" priority="276">
      <formula>#REF!&lt;&gt;""</formula>
    </cfRule>
  </conditionalFormatting>
  <conditionalFormatting sqref="F58">
    <cfRule type="expression" dxfId="358" priority="275">
      <formula>#REF!&lt;&gt;""</formula>
    </cfRule>
  </conditionalFormatting>
  <conditionalFormatting sqref="F59">
    <cfRule type="expression" dxfId="357" priority="274">
      <formula>#REF!&lt;&gt;""</formula>
    </cfRule>
  </conditionalFormatting>
  <conditionalFormatting sqref="F60">
    <cfRule type="expression" dxfId="356" priority="273">
      <formula>#REF!&lt;&gt;""</formula>
    </cfRule>
  </conditionalFormatting>
  <conditionalFormatting sqref="F61">
    <cfRule type="expression" dxfId="355" priority="272">
      <formula>#REF!&lt;&gt;""</formula>
    </cfRule>
  </conditionalFormatting>
  <conditionalFormatting sqref="F62">
    <cfRule type="expression" dxfId="354" priority="271">
      <formula>#REF!&lt;&gt;""</formula>
    </cfRule>
  </conditionalFormatting>
  <conditionalFormatting sqref="F63">
    <cfRule type="expression" dxfId="353" priority="270">
      <formula>#REF!&lt;&gt;""</formula>
    </cfRule>
  </conditionalFormatting>
  <conditionalFormatting sqref="F64">
    <cfRule type="expression" dxfId="352" priority="269">
      <formula>#REF!&lt;&gt;""</formula>
    </cfRule>
  </conditionalFormatting>
  <conditionalFormatting sqref="F65">
    <cfRule type="expression" dxfId="351" priority="268">
      <formula>#REF!&lt;&gt;""</formula>
    </cfRule>
  </conditionalFormatting>
  <conditionalFormatting sqref="F66">
    <cfRule type="expression" dxfId="350" priority="267">
      <formula>#REF!&lt;&gt;""</formula>
    </cfRule>
  </conditionalFormatting>
  <conditionalFormatting sqref="F67">
    <cfRule type="expression" dxfId="349" priority="266">
      <formula>#REF!&lt;&gt;""</formula>
    </cfRule>
  </conditionalFormatting>
  <conditionalFormatting sqref="F68">
    <cfRule type="expression" dxfId="348" priority="265">
      <formula>#REF!&lt;&gt;""</formula>
    </cfRule>
  </conditionalFormatting>
  <conditionalFormatting sqref="F69">
    <cfRule type="expression" dxfId="347" priority="264">
      <formula>#REF!&lt;&gt;""</formula>
    </cfRule>
  </conditionalFormatting>
  <conditionalFormatting sqref="F70">
    <cfRule type="expression" dxfId="346" priority="263">
      <formula>#REF!&lt;&gt;""</formula>
    </cfRule>
  </conditionalFormatting>
  <conditionalFormatting sqref="F71">
    <cfRule type="expression" dxfId="345" priority="262">
      <formula>#REF!&lt;&gt;""</formula>
    </cfRule>
  </conditionalFormatting>
  <conditionalFormatting sqref="F72">
    <cfRule type="expression" dxfId="344" priority="261">
      <formula>#REF!&lt;&gt;""</formula>
    </cfRule>
  </conditionalFormatting>
  <conditionalFormatting sqref="H20">
    <cfRule type="cellIs" dxfId="343" priority="72" operator="equal">
      <formula>"CORRECT !"</formula>
    </cfRule>
  </conditionalFormatting>
  <conditionalFormatting sqref="N24">
    <cfRule type="cellIs" dxfId="342" priority="55" operator="equal">
      <formula>"CORRECT !"</formula>
    </cfRule>
  </conditionalFormatting>
  <conditionalFormatting sqref="K13">
    <cfRule type="cellIs" dxfId="341" priority="143" operator="equal">
      <formula>"CORRECT !"</formula>
    </cfRule>
  </conditionalFormatting>
  <conditionalFormatting sqref="H8">
    <cfRule type="cellIs" dxfId="340" priority="164" operator="equal">
      <formula>"CORRECT !"</formula>
    </cfRule>
  </conditionalFormatting>
  <conditionalFormatting sqref="K31">
    <cfRule type="cellIs" dxfId="339" priority="135" operator="equal">
      <formula>"CORRECT !"</formula>
    </cfRule>
  </conditionalFormatting>
  <conditionalFormatting sqref="L8">
    <cfRule type="expression" dxfId="338" priority="161">
      <formula>AND($M8="y",$D8&lt;&gt;$L8)</formula>
    </cfRule>
    <cfRule type="expression" dxfId="337" priority="162">
      <formula>AND($M8="y",$D8=$L8)</formula>
    </cfRule>
  </conditionalFormatting>
  <conditionalFormatting sqref="F8">
    <cfRule type="expression" dxfId="336" priority="159">
      <formula>AND($G8&lt;&gt;"",$D8&lt;&gt;$F8)</formula>
    </cfRule>
    <cfRule type="expression" dxfId="335" priority="160">
      <formula>AND($G8="y",$D8=$F8)</formula>
    </cfRule>
  </conditionalFormatting>
  <conditionalFormatting sqref="I8">
    <cfRule type="expression" dxfId="334" priority="157">
      <formula>AND($J8&lt;&gt;"",$I8&lt;&gt;$D8)</formula>
    </cfRule>
    <cfRule type="expression" dxfId="333" priority="158">
      <formula>AND($J8="y",$D8=$I8)</formula>
    </cfRule>
  </conditionalFormatting>
  <conditionalFormatting sqref="K9">
    <cfRule type="cellIs" dxfId="332" priority="119" operator="equal">
      <formula>"CORRECT !"</formula>
    </cfRule>
  </conditionalFormatting>
  <conditionalFormatting sqref="N18">
    <cfRule type="cellIs" dxfId="331" priority="82" operator="equal">
      <formula>"CORRECT !"</formula>
    </cfRule>
  </conditionalFormatting>
  <conditionalFormatting sqref="H9">
    <cfRule type="cellIs" dxfId="330" priority="154" operator="equal">
      <formula>"CORRECT !"</formula>
    </cfRule>
  </conditionalFormatting>
  <conditionalFormatting sqref="F9">
    <cfRule type="expression" dxfId="329" priority="152">
      <formula>AND($G9&lt;&gt;"",$D9&lt;&gt;$F9)</formula>
    </cfRule>
    <cfRule type="expression" dxfId="328" priority="153">
      <formula>AND($G9="y",$D9=$F9)</formula>
    </cfRule>
  </conditionalFormatting>
  <conditionalFormatting sqref="L9">
    <cfRule type="expression" dxfId="327" priority="150">
      <formula>AND($M9&lt;&gt;"",$D9&lt;&gt;$L9)</formula>
    </cfRule>
    <cfRule type="expression" dxfId="326" priority="151">
      <formula>AND($M9="y",$D9=$L9)</formula>
    </cfRule>
  </conditionalFormatting>
  <conditionalFormatting sqref="I9">
    <cfRule type="expression" dxfId="325" priority="148">
      <formula>AND($J9&lt;&gt;"",$I9&lt;&gt;$D9)</formula>
    </cfRule>
    <cfRule type="expression" dxfId="324" priority="149">
      <formula>AND($J9="y",$D9=$I9)</formula>
    </cfRule>
  </conditionalFormatting>
  <conditionalFormatting sqref="K11">
    <cfRule type="cellIs" dxfId="323" priority="144" operator="equal">
      <formula>"CORRECT !"</formula>
    </cfRule>
  </conditionalFormatting>
  <conditionalFormatting sqref="K15">
    <cfRule type="cellIs" dxfId="322" priority="142" operator="equal">
      <formula>"CORRECT !"</formula>
    </cfRule>
  </conditionalFormatting>
  <conditionalFormatting sqref="K35">
    <cfRule type="cellIs" dxfId="321" priority="134" operator="equal">
      <formula>"CORRECT !"</formula>
    </cfRule>
  </conditionalFormatting>
  <conditionalFormatting sqref="K7">
    <cfRule type="cellIs" dxfId="320" priority="146" operator="equal">
      <formula>"CORRECT !"</formula>
    </cfRule>
  </conditionalFormatting>
  <conditionalFormatting sqref="K17">
    <cfRule type="cellIs" dxfId="319" priority="145" operator="equal">
      <formula>"CORRECT !"</formula>
    </cfRule>
  </conditionalFormatting>
  <conditionalFormatting sqref="K19">
    <cfRule type="cellIs" dxfId="318" priority="141" operator="equal">
      <formula>"CORRECT !"</formula>
    </cfRule>
  </conditionalFormatting>
  <conditionalFormatting sqref="K21">
    <cfRule type="cellIs" dxfId="317" priority="140" operator="equal">
      <formula>"CORRECT !"</formula>
    </cfRule>
  </conditionalFormatting>
  <conditionalFormatting sqref="K23">
    <cfRule type="cellIs" dxfId="316" priority="139" operator="equal">
      <formula>"CORRECT !"</formula>
    </cfRule>
  </conditionalFormatting>
  <conditionalFormatting sqref="K25">
    <cfRule type="cellIs" dxfId="315" priority="138" operator="equal">
      <formula>"CORRECT !"</formula>
    </cfRule>
  </conditionalFormatting>
  <conditionalFormatting sqref="K27">
    <cfRule type="cellIs" dxfId="314" priority="137" operator="equal">
      <formula>"CORRECT !"</formula>
    </cfRule>
  </conditionalFormatting>
  <conditionalFormatting sqref="K29">
    <cfRule type="cellIs" dxfId="313" priority="136" operator="equal">
      <formula>"CORRECT !"</formula>
    </cfRule>
  </conditionalFormatting>
  <conditionalFormatting sqref="K33">
    <cfRule type="cellIs" dxfId="312" priority="133" operator="equal">
      <formula>"CORRECT !"</formula>
    </cfRule>
  </conditionalFormatting>
  <conditionalFormatting sqref="K20">
    <cfRule type="cellIs" dxfId="311" priority="65" operator="equal">
      <formula>"CORRECT !"</formula>
    </cfRule>
  </conditionalFormatting>
  <conditionalFormatting sqref="K18">
    <cfRule type="cellIs" dxfId="310" priority="74" operator="equal">
      <formula>"CORRECT !"</formula>
    </cfRule>
  </conditionalFormatting>
  <conditionalFormatting sqref="H16">
    <cfRule type="cellIs" dxfId="309" priority="90" operator="equal">
      <formula>"CORRECT !"</formula>
    </cfRule>
  </conditionalFormatting>
  <conditionalFormatting sqref="K8">
    <cfRule type="cellIs" dxfId="308" priority="120" operator="equal">
      <formula>"CORRECT !"</formula>
    </cfRule>
  </conditionalFormatting>
  <conditionalFormatting sqref="N10">
    <cfRule type="cellIs" dxfId="307" priority="118" operator="equal">
      <formula>"CORRECT !"</formula>
    </cfRule>
  </conditionalFormatting>
  <conditionalFormatting sqref="H10">
    <cfRule type="cellIs" dxfId="306" priority="117" operator="equal">
      <formula>"CORRECT !"</formula>
    </cfRule>
  </conditionalFormatting>
  <conditionalFormatting sqref="L10">
    <cfRule type="expression" dxfId="305" priority="115">
      <formula>AND($M10="y",$D10&lt;&gt;$L10)</formula>
    </cfRule>
    <cfRule type="expression" dxfId="304" priority="116">
      <formula>AND($M10="y",$D10=$L10)</formula>
    </cfRule>
  </conditionalFormatting>
  <conditionalFormatting sqref="F10">
    <cfRule type="expression" dxfId="303" priority="113">
      <formula>AND($G10&lt;&gt;"",$D10&lt;&gt;$F10)</formula>
    </cfRule>
    <cfRule type="expression" dxfId="302" priority="114">
      <formula>AND($G10="y",$D10=$F10)</formula>
    </cfRule>
  </conditionalFormatting>
  <conditionalFormatting sqref="I10">
    <cfRule type="expression" dxfId="301" priority="111">
      <formula>AND($J10&lt;&gt;"",$I10&lt;&gt;$D10)</formula>
    </cfRule>
    <cfRule type="expression" dxfId="300" priority="112">
      <formula>AND($J10="y",$D10=$I10)</formula>
    </cfRule>
  </conditionalFormatting>
  <conditionalFormatting sqref="K10">
    <cfRule type="cellIs" dxfId="299" priority="110" operator="equal">
      <formula>"CORRECT !"</formula>
    </cfRule>
  </conditionalFormatting>
  <conditionalFormatting sqref="N12">
    <cfRule type="cellIs" dxfId="298" priority="109" operator="equal">
      <formula>"CORRECT !"</formula>
    </cfRule>
  </conditionalFormatting>
  <conditionalFormatting sqref="H12">
    <cfRule type="cellIs" dxfId="297" priority="108" operator="equal">
      <formula>"CORRECT !"</formula>
    </cfRule>
  </conditionalFormatting>
  <conditionalFormatting sqref="L12">
    <cfRule type="expression" dxfId="296" priority="106">
      <formula>AND($M12="y",$D12&lt;&gt;$L12)</formula>
    </cfRule>
    <cfRule type="expression" dxfId="295" priority="107">
      <formula>AND($M12="y",$D12=$L12)</formula>
    </cfRule>
  </conditionalFormatting>
  <conditionalFormatting sqref="F12">
    <cfRule type="expression" dxfId="294" priority="104">
      <formula>AND($G12&lt;&gt;"",$D12&lt;&gt;$F12)</formula>
    </cfRule>
    <cfRule type="expression" dxfId="293" priority="105">
      <formula>AND($G12="y",$D12=$F12)</formula>
    </cfRule>
  </conditionalFormatting>
  <conditionalFormatting sqref="I12">
    <cfRule type="expression" dxfId="292" priority="102">
      <formula>AND($J12&lt;&gt;"",$I12&lt;&gt;$D12)</formula>
    </cfRule>
    <cfRule type="expression" dxfId="291" priority="103">
      <formula>AND($J12="y",$D12=$I12)</formula>
    </cfRule>
  </conditionalFormatting>
  <conditionalFormatting sqref="K12">
    <cfRule type="cellIs" dxfId="290" priority="101" operator="equal">
      <formula>"CORRECT !"</formula>
    </cfRule>
  </conditionalFormatting>
  <conditionalFormatting sqref="N14">
    <cfRule type="cellIs" dxfId="289" priority="100" operator="equal">
      <formula>"CORRECT !"</formula>
    </cfRule>
  </conditionalFormatting>
  <conditionalFormatting sqref="H14">
    <cfRule type="cellIs" dxfId="288" priority="99" operator="equal">
      <formula>"CORRECT !"</formula>
    </cfRule>
  </conditionalFormatting>
  <conditionalFormatting sqref="L14">
    <cfRule type="expression" dxfId="287" priority="97">
      <formula>AND($M14="y",$D14&lt;&gt;$L14)</formula>
    </cfRule>
    <cfRule type="expression" dxfId="286" priority="98">
      <formula>AND($M14="y",$D14=$L14)</formula>
    </cfRule>
  </conditionalFormatting>
  <conditionalFormatting sqref="F14">
    <cfRule type="expression" dxfId="285" priority="95">
      <formula>AND($G14&lt;&gt;"",$D14&lt;&gt;$F14)</formula>
    </cfRule>
    <cfRule type="expression" dxfId="284" priority="96">
      <formula>AND($G14="y",$D14=$F14)</formula>
    </cfRule>
  </conditionalFormatting>
  <conditionalFormatting sqref="I14">
    <cfRule type="expression" dxfId="283" priority="93">
      <formula>AND($J14&lt;&gt;"",$I14&lt;&gt;$D14)</formula>
    </cfRule>
    <cfRule type="expression" dxfId="282" priority="94">
      <formula>AND($J14="y",$D14=$I14)</formula>
    </cfRule>
  </conditionalFormatting>
  <conditionalFormatting sqref="K14">
    <cfRule type="cellIs" dxfId="281" priority="92" operator="equal">
      <formula>"CORRECT !"</formula>
    </cfRule>
  </conditionalFormatting>
  <conditionalFormatting sqref="N16">
    <cfRule type="cellIs" dxfId="280" priority="91" operator="equal">
      <formula>"CORRECT !"</formula>
    </cfRule>
  </conditionalFormatting>
  <conditionalFormatting sqref="L16">
    <cfRule type="expression" dxfId="279" priority="88">
      <formula>AND($M16="y",$D16&lt;&gt;$L16)</formula>
    </cfRule>
    <cfRule type="expression" dxfId="278" priority="89">
      <formula>AND($M16="y",$D16=$L16)</formula>
    </cfRule>
  </conditionalFormatting>
  <conditionalFormatting sqref="F16">
    <cfRule type="expression" dxfId="277" priority="86">
      <formula>AND($G16&lt;&gt;"",$D16&lt;&gt;$F16)</formula>
    </cfRule>
    <cfRule type="expression" dxfId="276" priority="87">
      <formula>AND($G16="y",$D16=$F16)</formula>
    </cfRule>
  </conditionalFormatting>
  <conditionalFormatting sqref="I16">
    <cfRule type="expression" dxfId="275" priority="84">
      <formula>AND($J16&lt;&gt;"",$I16&lt;&gt;$D16)</formula>
    </cfRule>
    <cfRule type="expression" dxfId="274" priority="85">
      <formula>AND($J16="y",$D16=$I16)</formula>
    </cfRule>
  </conditionalFormatting>
  <conditionalFormatting sqref="K16">
    <cfRule type="cellIs" dxfId="273" priority="83" operator="equal">
      <formula>"CORRECT !"</formula>
    </cfRule>
  </conditionalFormatting>
  <conditionalFormatting sqref="H18">
    <cfRule type="cellIs" dxfId="272" priority="81" operator="equal">
      <formula>"CORRECT !"</formula>
    </cfRule>
  </conditionalFormatting>
  <conditionalFormatting sqref="L18">
    <cfRule type="expression" dxfId="271" priority="79">
      <formula>AND($M18="y",$D18&lt;&gt;$L18)</formula>
    </cfRule>
    <cfRule type="expression" dxfId="270" priority="80">
      <formula>AND($M18="y",$D18=$L18)</formula>
    </cfRule>
  </conditionalFormatting>
  <conditionalFormatting sqref="F18">
    <cfRule type="expression" dxfId="269" priority="77">
      <formula>AND($G18&lt;&gt;"",$D18&lt;&gt;$F18)</formula>
    </cfRule>
    <cfRule type="expression" dxfId="268" priority="78">
      <formula>AND($G18="y",$D18=$F18)</formula>
    </cfRule>
  </conditionalFormatting>
  <conditionalFormatting sqref="I18">
    <cfRule type="expression" dxfId="267" priority="75">
      <formula>AND($J18&lt;&gt;"",$I18&lt;&gt;$D18)</formula>
    </cfRule>
    <cfRule type="expression" dxfId="266" priority="76">
      <formula>AND($J18="y",$D18=$I18)</formula>
    </cfRule>
  </conditionalFormatting>
  <conditionalFormatting sqref="N20">
    <cfRule type="cellIs" dxfId="265" priority="73" operator="equal">
      <formula>"CORRECT !"</formula>
    </cfRule>
  </conditionalFormatting>
  <conditionalFormatting sqref="L20">
    <cfRule type="expression" dxfId="264" priority="70">
      <formula>AND($M20="y",$D20&lt;&gt;$L20)</formula>
    </cfRule>
    <cfRule type="expression" dxfId="263" priority="71">
      <formula>AND($M20="y",$D20=$L20)</formula>
    </cfRule>
  </conditionalFormatting>
  <conditionalFormatting sqref="F20">
    <cfRule type="expression" dxfId="262" priority="68">
      <formula>AND($G20&lt;&gt;"",$D20&lt;&gt;$F20)</formula>
    </cfRule>
    <cfRule type="expression" dxfId="261" priority="69">
      <formula>AND($G20="y",$D20=$F20)</formula>
    </cfRule>
  </conditionalFormatting>
  <conditionalFormatting sqref="I20">
    <cfRule type="expression" dxfId="260" priority="66">
      <formula>AND($J20&lt;&gt;"",$I20&lt;&gt;$D20)</formula>
    </cfRule>
    <cfRule type="expression" dxfId="259" priority="67">
      <formula>AND($J20="y",$D20=$I20)</formula>
    </cfRule>
  </conditionalFormatting>
  <conditionalFormatting sqref="N22">
    <cfRule type="cellIs" dxfId="258" priority="64" operator="equal">
      <formula>"CORRECT !"</formula>
    </cfRule>
  </conditionalFormatting>
  <conditionalFormatting sqref="H22">
    <cfRule type="cellIs" dxfId="257" priority="63" operator="equal">
      <formula>"CORRECT !"</formula>
    </cfRule>
  </conditionalFormatting>
  <conditionalFormatting sqref="L22">
    <cfRule type="expression" dxfId="256" priority="61">
      <formula>AND($M22="y",$D22&lt;&gt;$L22)</formula>
    </cfRule>
    <cfRule type="expression" dxfId="255" priority="62">
      <formula>AND($M22="y",$D22=$L22)</formula>
    </cfRule>
  </conditionalFormatting>
  <conditionalFormatting sqref="F22">
    <cfRule type="expression" dxfId="254" priority="59">
      <formula>AND($G22&lt;&gt;"",$D22&lt;&gt;$F22)</formula>
    </cfRule>
    <cfRule type="expression" dxfId="253" priority="60">
      <formula>AND($G22="y",$D22=$F22)</formula>
    </cfRule>
  </conditionalFormatting>
  <conditionalFormatting sqref="I22">
    <cfRule type="expression" dxfId="252" priority="57">
      <formula>AND($J22&lt;&gt;"",$I22&lt;&gt;$D22)</formula>
    </cfRule>
    <cfRule type="expression" dxfId="251" priority="58">
      <formula>AND($J22="y",$D22=$I22)</formula>
    </cfRule>
  </conditionalFormatting>
  <conditionalFormatting sqref="K22">
    <cfRule type="cellIs" dxfId="250" priority="56" operator="equal">
      <formula>"CORRECT !"</formula>
    </cfRule>
  </conditionalFormatting>
  <conditionalFormatting sqref="H24">
    <cfRule type="cellIs" dxfId="249" priority="54" operator="equal">
      <formula>"CORRECT !"</formula>
    </cfRule>
  </conditionalFormatting>
  <conditionalFormatting sqref="L24">
    <cfRule type="expression" dxfId="248" priority="52">
      <formula>AND($M24="y",$D24&lt;&gt;$L24)</formula>
    </cfRule>
    <cfRule type="expression" dxfId="247" priority="53">
      <formula>AND($M24="y",$D24=$L24)</formula>
    </cfRule>
  </conditionalFormatting>
  <conditionalFormatting sqref="F24">
    <cfRule type="expression" dxfId="246" priority="50">
      <formula>AND($G24&lt;&gt;"",$D24&lt;&gt;$F24)</formula>
    </cfRule>
    <cfRule type="expression" dxfId="245" priority="51">
      <formula>AND($G24="y",$D24=$F24)</formula>
    </cfRule>
  </conditionalFormatting>
  <conditionalFormatting sqref="I24">
    <cfRule type="expression" dxfId="244" priority="48">
      <formula>AND($J24&lt;&gt;"",$I24&lt;&gt;$D24)</formula>
    </cfRule>
    <cfRule type="expression" dxfId="243" priority="49">
      <formula>AND($J24="y",$D24=$I24)</formula>
    </cfRule>
  </conditionalFormatting>
  <conditionalFormatting sqref="K24">
    <cfRule type="cellIs" dxfId="242" priority="47" operator="equal">
      <formula>"CORRECT !"</formula>
    </cfRule>
  </conditionalFormatting>
  <conditionalFormatting sqref="N26">
    <cfRule type="cellIs" dxfId="241" priority="46" operator="equal">
      <formula>"CORRECT !"</formula>
    </cfRule>
  </conditionalFormatting>
  <conditionalFormatting sqref="H26">
    <cfRule type="cellIs" dxfId="240" priority="45" operator="equal">
      <formula>"CORRECT !"</formula>
    </cfRule>
  </conditionalFormatting>
  <conditionalFormatting sqref="L26">
    <cfRule type="expression" dxfId="239" priority="43">
      <formula>AND($M26="y",$D26&lt;&gt;$L26)</formula>
    </cfRule>
    <cfRule type="expression" dxfId="238" priority="44">
      <formula>AND($M26="y",$D26=$L26)</formula>
    </cfRule>
  </conditionalFormatting>
  <conditionalFormatting sqref="F26">
    <cfRule type="expression" dxfId="237" priority="41">
      <formula>AND($G26&lt;&gt;"",$D26&lt;&gt;$F26)</formula>
    </cfRule>
    <cfRule type="expression" dxfId="236" priority="42">
      <formula>AND($G26="y",$D26=$F26)</formula>
    </cfRule>
  </conditionalFormatting>
  <conditionalFormatting sqref="I26">
    <cfRule type="expression" dxfId="235" priority="39">
      <formula>AND($J26&lt;&gt;"",$I26&lt;&gt;$D26)</formula>
    </cfRule>
    <cfRule type="expression" dxfId="234" priority="40">
      <formula>AND($J26="y",$D26=$I26)</formula>
    </cfRule>
  </conditionalFormatting>
  <conditionalFormatting sqref="K26">
    <cfRule type="cellIs" dxfId="233" priority="38" operator="equal">
      <formula>"CORRECT !"</formula>
    </cfRule>
  </conditionalFormatting>
  <conditionalFormatting sqref="N28">
    <cfRule type="cellIs" dxfId="232" priority="37" operator="equal">
      <formula>"CORRECT !"</formula>
    </cfRule>
  </conditionalFormatting>
  <conditionalFormatting sqref="H28">
    <cfRule type="cellIs" dxfId="231" priority="36" operator="equal">
      <formula>"CORRECT !"</formula>
    </cfRule>
  </conditionalFormatting>
  <conditionalFormatting sqref="L28">
    <cfRule type="expression" dxfId="230" priority="34">
      <formula>AND($M28="y",$D28&lt;&gt;$L28)</formula>
    </cfRule>
    <cfRule type="expression" dxfId="229" priority="35">
      <formula>AND($M28="y",$D28=$L28)</formula>
    </cfRule>
  </conditionalFormatting>
  <conditionalFormatting sqref="F28">
    <cfRule type="expression" dxfId="228" priority="32">
      <formula>AND($G28&lt;&gt;"",$D28&lt;&gt;$F28)</formula>
    </cfRule>
    <cfRule type="expression" dxfId="227" priority="33">
      <formula>AND($G28="y",$D28=$F28)</formula>
    </cfRule>
  </conditionalFormatting>
  <conditionalFormatting sqref="I28">
    <cfRule type="expression" dxfId="226" priority="30">
      <formula>AND($J28&lt;&gt;"",$I28&lt;&gt;$D28)</formula>
    </cfRule>
    <cfRule type="expression" dxfId="225" priority="31">
      <formula>AND($J28="y",$D28=$I28)</formula>
    </cfRule>
  </conditionalFormatting>
  <conditionalFormatting sqref="K28">
    <cfRule type="cellIs" dxfId="224" priority="29" operator="equal">
      <formula>"CORRECT !"</formula>
    </cfRule>
  </conditionalFormatting>
  <conditionalFormatting sqref="N30">
    <cfRule type="cellIs" dxfId="223" priority="28" operator="equal">
      <formula>"CORRECT !"</formula>
    </cfRule>
  </conditionalFormatting>
  <conditionalFormatting sqref="H30">
    <cfRule type="cellIs" dxfId="222" priority="27" operator="equal">
      <formula>"CORRECT !"</formula>
    </cfRule>
  </conditionalFormatting>
  <conditionalFormatting sqref="L30">
    <cfRule type="expression" dxfId="221" priority="25">
      <formula>AND($M30="y",$D30&lt;&gt;$L30)</formula>
    </cfRule>
    <cfRule type="expression" dxfId="220" priority="26">
      <formula>AND($M30="y",$D30=$L30)</formula>
    </cfRule>
  </conditionalFormatting>
  <conditionalFormatting sqref="F30">
    <cfRule type="expression" dxfId="219" priority="23">
      <formula>AND($G30&lt;&gt;"",$D30&lt;&gt;$F30)</formula>
    </cfRule>
    <cfRule type="expression" dxfId="218" priority="24">
      <formula>AND($G30="y",$D30=$F30)</formula>
    </cfRule>
  </conditionalFormatting>
  <conditionalFormatting sqref="I30">
    <cfRule type="expression" dxfId="217" priority="21">
      <formula>AND($J30&lt;&gt;"",$I30&lt;&gt;$D30)</formula>
    </cfRule>
    <cfRule type="expression" dxfId="216" priority="22">
      <formula>AND($J30="y",$D30=$I30)</formula>
    </cfRule>
  </conditionalFormatting>
  <conditionalFormatting sqref="K30">
    <cfRule type="cellIs" dxfId="215" priority="20" operator="equal">
      <formula>"CORRECT !"</formula>
    </cfRule>
  </conditionalFormatting>
  <conditionalFormatting sqref="N32">
    <cfRule type="cellIs" dxfId="214" priority="19" operator="equal">
      <formula>"CORRECT !"</formula>
    </cfRule>
  </conditionalFormatting>
  <conditionalFormatting sqref="H32">
    <cfRule type="cellIs" dxfId="213" priority="18" operator="equal">
      <formula>"CORRECT !"</formula>
    </cfRule>
  </conditionalFormatting>
  <conditionalFormatting sqref="L32">
    <cfRule type="expression" dxfId="212" priority="16">
      <formula>AND($M32="y",$D32&lt;&gt;$L32)</formula>
    </cfRule>
    <cfRule type="expression" dxfId="211" priority="17">
      <formula>AND($M32="y",$D32=$L32)</formula>
    </cfRule>
  </conditionalFormatting>
  <conditionalFormatting sqref="F32">
    <cfRule type="expression" dxfId="210" priority="14">
      <formula>AND($G32&lt;&gt;"",$D32&lt;&gt;$F32)</formula>
    </cfRule>
    <cfRule type="expression" dxfId="209" priority="15">
      <formula>AND($G32="y",$D32=$F32)</formula>
    </cfRule>
  </conditionalFormatting>
  <conditionalFormatting sqref="I32">
    <cfRule type="expression" dxfId="208" priority="12">
      <formula>AND($J32&lt;&gt;"",$I32&lt;&gt;$D32)</formula>
    </cfRule>
    <cfRule type="expression" dxfId="207" priority="13">
      <formula>AND($J32="y",$D32=$I32)</formula>
    </cfRule>
  </conditionalFormatting>
  <conditionalFormatting sqref="K32">
    <cfRule type="cellIs" dxfId="206" priority="11" operator="equal">
      <formula>"CORRECT !"</formula>
    </cfRule>
  </conditionalFormatting>
  <conditionalFormatting sqref="N34">
    <cfRule type="cellIs" dxfId="205" priority="10" operator="equal">
      <formula>"CORRECT !"</formula>
    </cfRule>
  </conditionalFormatting>
  <conditionalFormatting sqref="H34">
    <cfRule type="cellIs" dxfId="204" priority="9" operator="equal">
      <formula>"CORRECT !"</formula>
    </cfRule>
  </conditionalFormatting>
  <conditionalFormatting sqref="L34">
    <cfRule type="expression" dxfId="203" priority="7">
      <formula>AND($M34="y",$D34&lt;&gt;$L34)</formula>
    </cfRule>
    <cfRule type="expression" dxfId="202" priority="8">
      <formula>AND($M34="y",$D34=$L34)</formula>
    </cfRule>
  </conditionalFormatting>
  <conditionalFormatting sqref="F34">
    <cfRule type="expression" dxfId="201" priority="5">
      <formula>AND($G34&lt;&gt;"",$D34&lt;&gt;$F34)</formula>
    </cfRule>
    <cfRule type="expression" dxfId="200" priority="6">
      <formula>AND($G34="y",$D34=$F34)</formula>
    </cfRule>
  </conditionalFormatting>
  <conditionalFormatting sqref="I34">
    <cfRule type="expression" dxfId="199" priority="3">
      <formula>AND($J34&lt;&gt;"",$I34&lt;&gt;$D34)</formula>
    </cfRule>
    <cfRule type="expression" dxfId="198" priority="4">
      <formula>AND($J34="y",$D34=$I34)</formula>
    </cfRule>
  </conditionalFormatting>
  <conditionalFormatting sqref="K34">
    <cfRule type="cellIs" dxfId="197" priority="2" operator="equal">
      <formula>"CORRECT !"</formula>
    </cfRule>
  </conditionalFormatting>
  <conditionalFormatting sqref="N8">
    <cfRule type="cellIs" dxfId="196" priority="1" operator="equal">
      <formula>"CORRECT !"</formula>
    </cfRule>
  </conditionalFormatting>
  <hyperlinks>
    <hyperlink ref="Q3" r:id="rId1" xr:uid="{77788E87-4D98-4275-A6AA-B333B745D1CA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P25"/>
  <sheetViews>
    <sheetView showGridLines="0" workbookViewId="0">
      <selection activeCell="E1" sqref="E1"/>
    </sheetView>
  </sheetViews>
  <sheetFormatPr defaultRowHeight="14.4" x14ac:dyDescent="0.3"/>
  <cols>
    <col min="1" max="1" width="21.6640625" customWidth="1"/>
    <col min="2" max="2" width="2.77734375" style="38" customWidth="1"/>
    <col min="3" max="3" width="6.33203125" customWidth="1"/>
    <col min="4" max="4" width="3.77734375" customWidth="1"/>
    <col min="6" max="6" width="3.33203125" customWidth="1"/>
    <col min="9" max="9" width="3.33203125" customWidth="1"/>
    <col min="12" max="12" width="3.33203125" customWidth="1"/>
  </cols>
  <sheetData>
    <row r="1" spans="1:16" ht="21" x14ac:dyDescent="0.4">
      <c r="A1" s="97" t="s">
        <v>89</v>
      </c>
      <c r="B1" s="53"/>
      <c r="C1" s="53"/>
      <c r="D1" s="5"/>
      <c r="E1" s="17"/>
      <c r="F1" s="2"/>
      <c r="G1" s="36"/>
      <c r="H1" s="5"/>
      <c r="I1" s="17"/>
      <c r="J1" s="37"/>
      <c r="K1" s="5"/>
      <c r="L1" s="17"/>
      <c r="M1" s="36"/>
      <c r="N1" s="7"/>
      <c r="O1" s="5"/>
      <c r="P1" s="11"/>
    </row>
    <row r="2" spans="1:16" ht="18" x14ac:dyDescent="0.35">
      <c r="A2" s="173" t="s">
        <v>90</v>
      </c>
      <c r="B2" s="173"/>
      <c r="C2" s="173"/>
      <c r="D2" s="173"/>
      <c r="E2" s="172" t="s">
        <v>45</v>
      </c>
      <c r="F2" s="172"/>
      <c r="G2" s="172"/>
      <c r="H2" s="172"/>
      <c r="I2" s="172"/>
      <c r="J2" s="172"/>
      <c r="K2" s="172"/>
      <c r="L2" s="172"/>
      <c r="M2" s="77"/>
      <c r="N2" s="26"/>
      <c r="O2" s="30"/>
      <c r="P2" s="11"/>
    </row>
    <row r="3" spans="1:16" ht="21" x14ac:dyDescent="0.4">
      <c r="A3" s="99"/>
      <c r="B3" s="99"/>
      <c r="C3" s="100">
        <f>A23</f>
        <v>0.6</v>
      </c>
      <c r="D3" s="97"/>
      <c r="E3" s="29"/>
      <c r="F3" s="2"/>
      <c r="G3" s="36"/>
      <c r="H3" s="5"/>
      <c r="I3" s="17"/>
      <c r="J3" s="37"/>
      <c r="K3" s="5"/>
      <c r="L3" s="17"/>
      <c r="M3" s="36"/>
      <c r="N3" s="7"/>
      <c r="O3" s="5"/>
      <c r="P3" s="11"/>
    </row>
    <row r="4" spans="1:16" ht="21" x14ac:dyDescent="0.4">
      <c r="A4" s="50"/>
      <c r="B4" s="38">
        <f>IF(OR(AND($F4="y",$C4=E4,$I4="",$L4=""),AND($F4="",$C4=H4,$I4="y",$L4=""),AND($F4="",$C4=$K4,$I4="",$L4="y")),1,0)</f>
        <v>1</v>
      </c>
      <c r="C4" s="52" t="s">
        <v>66</v>
      </c>
      <c r="D4" s="15" t="str">
        <f>CONCATENATE(F3+1,".")</f>
        <v>1.</v>
      </c>
      <c r="E4" s="87" t="s">
        <v>66</v>
      </c>
      <c r="F4" s="88" t="s">
        <v>47</v>
      </c>
      <c r="G4" s="25"/>
      <c r="H4" s="87" t="s">
        <v>68</v>
      </c>
      <c r="I4" s="88"/>
      <c r="J4" s="25"/>
      <c r="K4" s="87" t="s">
        <v>65</v>
      </c>
      <c r="L4" s="88"/>
      <c r="M4" s="9"/>
      <c r="N4" s="35"/>
    </row>
    <row r="5" spans="1:16" ht="21" x14ac:dyDescent="0.4">
      <c r="A5" s="50"/>
      <c r="B5" s="38">
        <f t="shared" ref="B5:B23" si="0">IF(OR(AND($F5="y",$C5=E5,$I5&lt;&gt;"y",$L5&lt;&gt;"y"),AND($F5&lt;&gt;"y",$C5=H5,$I5="y",$L5&lt;&gt;"y"),AND($F5&lt;&gt;"y",$C5=$K5,$I5&lt;&gt;"y",$L5="y")),1,0)</f>
        <v>0</v>
      </c>
      <c r="C5" s="52" t="s">
        <v>49</v>
      </c>
      <c r="D5" s="15" t="str">
        <f t="shared" ref="D5:D14" si="1">CONCATENATE(D4+1,".")</f>
        <v>2.</v>
      </c>
      <c r="E5" s="51" t="s">
        <v>53</v>
      </c>
      <c r="F5" s="8" t="s">
        <v>47</v>
      </c>
      <c r="G5" s="25"/>
      <c r="H5" s="51" t="s">
        <v>49</v>
      </c>
      <c r="I5" s="8"/>
      <c r="J5" s="25"/>
      <c r="K5" s="51" t="s">
        <v>5</v>
      </c>
      <c r="L5" s="8"/>
      <c r="M5" s="9"/>
      <c r="N5" s="35"/>
    </row>
    <row r="6" spans="1:16" ht="21" x14ac:dyDescent="0.4">
      <c r="A6" s="50"/>
      <c r="B6" s="38">
        <f t="shared" si="0"/>
        <v>0</v>
      </c>
      <c r="C6" s="52" t="s">
        <v>48</v>
      </c>
      <c r="D6" s="15" t="str">
        <f t="shared" si="1"/>
        <v>3.</v>
      </c>
      <c r="E6" s="51" t="s">
        <v>61</v>
      </c>
      <c r="F6" s="8"/>
      <c r="G6" s="25"/>
      <c r="H6" s="51" t="s">
        <v>48</v>
      </c>
      <c r="I6" s="8"/>
      <c r="J6" s="25" t="s">
        <v>47</v>
      </c>
      <c r="K6" s="51" t="s">
        <v>63</v>
      </c>
      <c r="L6" s="8"/>
      <c r="M6" s="9"/>
      <c r="N6" s="35"/>
    </row>
    <row r="7" spans="1:16" ht="21" x14ac:dyDescent="0.4">
      <c r="A7" s="50"/>
      <c r="B7" s="38">
        <f t="shared" si="0"/>
        <v>1</v>
      </c>
      <c r="C7" s="52" t="s">
        <v>58</v>
      </c>
      <c r="D7" s="15" t="str">
        <f t="shared" si="1"/>
        <v>4.</v>
      </c>
      <c r="E7" s="51" t="s">
        <v>58</v>
      </c>
      <c r="F7" s="8" t="s">
        <v>47</v>
      </c>
      <c r="G7" s="25"/>
      <c r="H7" s="51" t="s">
        <v>57</v>
      </c>
      <c r="I7" s="8"/>
      <c r="J7" s="25"/>
      <c r="K7" s="51" t="s">
        <v>56</v>
      </c>
      <c r="L7" s="8" t="str">
        <f>[1]!wwsInput()</f>
        <v/>
      </c>
      <c r="M7" s="9"/>
      <c r="N7" s="35"/>
    </row>
    <row r="8" spans="1:16" ht="21" x14ac:dyDescent="0.4">
      <c r="A8" s="50"/>
      <c r="B8" s="38">
        <f t="shared" si="0"/>
        <v>1</v>
      </c>
      <c r="C8" s="52" t="s">
        <v>75</v>
      </c>
      <c r="D8" s="15" t="str">
        <f t="shared" si="1"/>
        <v>5.</v>
      </c>
      <c r="E8" s="51" t="s">
        <v>73</v>
      </c>
      <c r="F8" s="8"/>
      <c r="G8" s="25"/>
      <c r="H8" s="51" t="s">
        <v>75</v>
      </c>
      <c r="I8" s="8" t="s">
        <v>47</v>
      </c>
      <c r="J8" s="25"/>
      <c r="K8" s="51" t="s">
        <v>74</v>
      </c>
      <c r="L8" s="8" t="str">
        <f>[1]!wwsInput()</f>
        <v/>
      </c>
      <c r="M8" s="9"/>
      <c r="N8" s="35"/>
    </row>
    <row r="9" spans="1:16" ht="21" x14ac:dyDescent="0.4">
      <c r="A9" s="50"/>
      <c r="B9" s="38">
        <f t="shared" si="0"/>
        <v>1</v>
      </c>
      <c r="C9" s="52" t="s">
        <v>52</v>
      </c>
      <c r="D9" s="15" t="str">
        <f t="shared" si="1"/>
        <v>6.</v>
      </c>
      <c r="E9" s="51" t="s">
        <v>54</v>
      </c>
      <c r="F9" s="8" t="str">
        <f>[1]!wwsInput()</f>
        <v/>
      </c>
      <c r="G9" s="25"/>
      <c r="H9" s="51" t="s">
        <v>51</v>
      </c>
      <c r="I9" s="8" t="str">
        <f>[1]!wwsInput()</f>
        <v/>
      </c>
      <c r="J9" s="25"/>
      <c r="K9" s="51" t="s">
        <v>52</v>
      </c>
      <c r="L9" s="8" t="s">
        <v>47</v>
      </c>
      <c r="M9" s="9"/>
      <c r="N9" s="35"/>
    </row>
    <row r="10" spans="1:16" ht="21" x14ac:dyDescent="0.4">
      <c r="A10" s="50"/>
      <c r="B10" s="38">
        <f t="shared" si="0"/>
        <v>1</v>
      </c>
      <c r="C10" s="52" t="s">
        <v>72</v>
      </c>
      <c r="D10" s="15" t="str">
        <f t="shared" si="1"/>
        <v>7.</v>
      </c>
      <c r="E10" s="51" t="s">
        <v>74</v>
      </c>
      <c r="F10" s="8" t="str">
        <f>[1]!wwsInput()</f>
        <v/>
      </c>
      <c r="G10" s="25"/>
      <c r="H10" s="51" t="s">
        <v>7</v>
      </c>
      <c r="I10" s="8" t="str">
        <f>[1]!wwsInput()</f>
        <v/>
      </c>
      <c r="J10" s="25"/>
      <c r="K10" s="51" t="s">
        <v>72</v>
      </c>
      <c r="L10" s="8" t="s">
        <v>47</v>
      </c>
      <c r="M10" s="9"/>
      <c r="N10" s="35"/>
    </row>
    <row r="11" spans="1:16" ht="21" x14ac:dyDescent="0.4">
      <c r="A11" s="50"/>
      <c r="B11" s="38">
        <f t="shared" si="0"/>
        <v>0</v>
      </c>
      <c r="C11" s="52" t="s">
        <v>55</v>
      </c>
      <c r="D11" s="15" t="str">
        <f t="shared" si="1"/>
        <v>8.</v>
      </c>
      <c r="E11" s="51" t="s">
        <v>55</v>
      </c>
      <c r="F11" s="8" t="str">
        <f>[1]!wwsInput()</f>
        <v/>
      </c>
      <c r="G11" s="25"/>
      <c r="H11" s="51" t="s">
        <v>50</v>
      </c>
      <c r="I11" s="8" t="str">
        <f>[1]!wwsInput()</f>
        <v/>
      </c>
      <c r="J11" s="25"/>
      <c r="K11" s="51" t="s">
        <v>30</v>
      </c>
      <c r="L11" s="8" t="s">
        <v>47</v>
      </c>
      <c r="M11" s="9"/>
      <c r="N11" s="35"/>
    </row>
    <row r="12" spans="1:16" ht="21" x14ac:dyDescent="0.4">
      <c r="A12" s="50"/>
      <c r="B12" s="38">
        <f t="shared" si="0"/>
        <v>1</v>
      </c>
      <c r="C12" s="52" t="s">
        <v>75</v>
      </c>
      <c r="D12" s="15" t="str">
        <f t="shared" si="1"/>
        <v>9.</v>
      </c>
      <c r="E12" s="51" t="s">
        <v>75</v>
      </c>
      <c r="F12" s="8" t="s">
        <v>47</v>
      </c>
      <c r="G12" s="25"/>
      <c r="H12" s="51" t="s">
        <v>29</v>
      </c>
      <c r="I12" s="8" t="str">
        <f>[1]!wwsInput()</f>
        <v/>
      </c>
      <c r="J12" s="25"/>
      <c r="K12" s="51" t="s">
        <v>71</v>
      </c>
      <c r="L12" s="8" t="str">
        <f>[1]!wwsInput()</f>
        <v/>
      </c>
      <c r="M12" s="9"/>
      <c r="N12" s="35"/>
    </row>
    <row r="13" spans="1:16" ht="21" x14ac:dyDescent="0.4">
      <c r="A13" s="50"/>
      <c r="B13" s="38">
        <f t="shared" si="0"/>
        <v>0</v>
      </c>
      <c r="C13" s="52" t="s">
        <v>68</v>
      </c>
      <c r="D13" s="15" t="str">
        <f t="shared" si="1"/>
        <v>10.</v>
      </c>
      <c r="E13" s="51" t="s">
        <v>65</v>
      </c>
      <c r="F13" s="8" t="s">
        <v>47</v>
      </c>
      <c r="G13" s="25"/>
      <c r="H13" s="51" t="s">
        <v>67</v>
      </c>
      <c r="I13" s="8" t="str">
        <f>[1]!wwsInput()</f>
        <v/>
      </c>
      <c r="J13" s="25"/>
      <c r="K13" s="51" t="s">
        <v>68</v>
      </c>
      <c r="L13" s="8" t="str">
        <f>[1]!wwsInput()</f>
        <v/>
      </c>
      <c r="M13" s="9"/>
      <c r="N13" s="35"/>
    </row>
    <row r="14" spans="1:16" ht="21" x14ac:dyDescent="0.4">
      <c r="A14" s="50"/>
      <c r="B14" s="38">
        <f t="shared" si="0"/>
        <v>1</v>
      </c>
      <c r="C14" s="52" t="s">
        <v>64</v>
      </c>
      <c r="D14" s="15" t="str">
        <f t="shared" si="1"/>
        <v>11.</v>
      </c>
      <c r="E14" s="51" t="s">
        <v>64</v>
      </c>
      <c r="F14" s="8" t="s">
        <v>47</v>
      </c>
      <c r="G14" s="25"/>
      <c r="H14" s="51" t="s">
        <v>59</v>
      </c>
      <c r="I14" s="8" t="str">
        <f>[1]!wwsInput()</f>
        <v/>
      </c>
      <c r="J14" s="25"/>
      <c r="K14" s="51" t="s">
        <v>31</v>
      </c>
      <c r="L14" s="8" t="str">
        <f>[1]!wwsInput()</f>
        <v/>
      </c>
      <c r="M14" s="9"/>
      <c r="N14" s="35"/>
    </row>
    <row r="15" spans="1:16" ht="21" x14ac:dyDescent="0.4">
      <c r="A15" s="50"/>
      <c r="B15" s="38">
        <f t="shared" ref="B15:B19" si="2">IF(OR(AND($F15="y",$C15=E15,$I15="",$L15=""),AND($F15="",$C15=H15,$I15="y",$L15=""),AND($F15="",$C15=$K15,$I15="",$L15="y")),1,0)</f>
        <v>1</v>
      </c>
      <c r="C15" s="52" t="s">
        <v>69</v>
      </c>
      <c r="D15" s="15">
        <v>12</v>
      </c>
      <c r="E15" s="51" t="s">
        <v>85</v>
      </c>
      <c r="F15" s="8"/>
      <c r="G15" s="25"/>
      <c r="H15" s="51" t="s">
        <v>69</v>
      </c>
      <c r="I15" s="8" t="s">
        <v>47</v>
      </c>
      <c r="J15" s="25"/>
      <c r="K15" s="51" t="s">
        <v>86</v>
      </c>
      <c r="L15" s="8"/>
      <c r="M15" s="9"/>
      <c r="N15" s="35"/>
    </row>
    <row r="16" spans="1:16" ht="21" x14ac:dyDescent="0.4">
      <c r="A16" s="50"/>
      <c r="B16" s="38">
        <f t="shared" si="2"/>
        <v>1</v>
      </c>
      <c r="C16" s="52" t="s">
        <v>70</v>
      </c>
      <c r="D16" s="15">
        <v>13</v>
      </c>
      <c r="E16" s="51" t="s">
        <v>28</v>
      </c>
      <c r="F16" s="8"/>
      <c r="G16" s="25"/>
      <c r="H16" s="51" t="s">
        <v>7</v>
      </c>
      <c r="I16" s="8"/>
      <c r="J16" s="25"/>
      <c r="K16" s="51" t="s">
        <v>70</v>
      </c>
      <c r="L16" s="8" t="s">
        <v>47</v>
      </c>
      <c r="M16" s="9"/>
      <c r="N16" s="35"/>
    </row>
    <row r="17" spans="1:16" ht="21" x14ac:dyDescent="0.4">
      <c r="A17" s="50"/>
      <c r="B17" s="38">
        <f t="shared" si="2"/>
        <v>1</v>
      </c>
      <c r="C17" s="52" t="s">
        <v>71</v>
      </c>
      <c r="D17" s="15">
        <v>14</v>
      </c>
      <c r="E17" s="51" t="s">
        <v>71</v>
      </c>
      <c r="F17" s="8" t="s">
        <v>47</v>
      </c>
      <c r="G17" s="25"/>
      <c r="H17" s="51" t="s">
        <v>87</v>
      </c>
      <c r="I17" s="8"/>
      <c r="J17" s="25"/>
      <c r="K17" s="51" t="s">
        <v>29</v>
      </c>
      <c r="L17" s="8"/>
      <c r="M17" s="9"/>
      <c r="N17" s="35"/>
    </row>
    <row r="18" spans="1:16" ht="21" x14ac:dyDescent="0.4">
      <c r="A18" s="50"/>
      <c r="B18" s="38">
        <f t="shared" si="2"/>
        <v>0</v>
      </c>
      <c r="C18" s="52" t="s">
        <v>72</v>
      </c>
      <c r="D18" s="15">
        <v>15</v>
      </c>
      <c r="E18" s="51" t="s">
        <v>60</v>
      </c>
      <c r="F18" s="8" t="s">
        <v>47</v>
      </c>
      <c r="G18" s="25"/>
      <c r="H18" s="51" t="s">
        <v>72</v>
      </c>
      <c r="I18" s="8"/>
      <c r="J18" s="25"/>
      <c r="K18" s="51" t="s">
        <v>86</v>
      </c>
      <c r="L18" s="8"/>
      <c r="M18" s="9"/>
      <c r="N18" s="35"/>
    </row>
    <row r="19" spans="1:16" ht="21" x14ac:dyDescent="0.4">
      <c r="A19" s="50"/>
      <c r="B19" s="38">
        <f t="shared" si="2"/>
        <v>1</v>
      </c>
      <c r="C19" s="52" t="s">
        <v>28</v>
      </c>
      <c r="D19" s="15">
        <v>16</v>
      </c>
      <c r="E19" s="51" t="s">
        <v>30</v>
      </c>
      <c r="F19" s="8"/>
      <c r="G19" s="25"/>
      <c r="H19" s="51" t="s">
        <v>28</v>
      </c>
      <c r="I19" s="8" t="s">
        <v>47</v>
      </c>
      <c r="J19" s="25"/>
      <c r="K19" s="51" t="s">
        <v>88</v>
      </c>
      <c r="L19" s="8"/>
      <c r="M19" s="9"/>
      <c r="N19" s="35"/>
    </row>
    <row r="20" spans="1:16" ht="21" x14ac:dyDescent="0.4">
      <c r="A20" s="50"/>
      <c r="B20" s="38">
        <f t="shared" si="0"/>
        <v>0</v>
      </c>
      <c r="C20" s="52" t="s">
        <v>48</v>
      </c>
      <c r="D20" s="15">
        <v>17</v>
      </c>
      <c r="E20" s="51" t="s">
        <v>62</v>
      </c>
      <c r="F20" s="8" t="str">
        <f>[1]!wwsInput()</f>
        <v/>
      </c>
      <c r="G20" s="25"/>
      <c r="H20" s="51" t="s">
        <v>31</v>
      </c>
      <c r="I20" s="8" t="s">
        <v>47</v>
      </c>
      <c r="J20" s="25"/>
      <c r="K20" s="51" t="s">
        <v>48</v>
      </c>
      <c r="L20" s="8" t="str">
        <f>[1]!wwsInput()</f>
        <v/>
      </c>
      <c r="M20" s="9"/>
      <c r="N20" s="35"/>
    </row>
    <row r="21" spans="1:16" ht="21" x14ac:dyDescent="0.4">
      <c r="A21" s="50"/>
      <c r="B21" s="38">
        <f t="shared" si="0"/>
        <v>0</v>
      </c>
      <c r="C21" s="52" t="s">
        <v>7</v>
      </c>
      <c r="D21" s="15">
        <v>18</v>
      </c>
      <c r="E21" s="51" t="s">
        <v>70</v>
      </c>
      <c r="F21" s="8" t="str">
        <f>[1]!wwsInput()</f>
        <v/>
      </c>
      <c r="G21" s="25"/>
      <c r="H21" s="51" t="s">
        <v>29</v>
      </c>
      <c r="I21" s="8" t="s">
        <v>47</v>
      </c>
      <c r="J21" s="25"/>
      <c r="K21" s="51" t="s">
        <v>7</v>
      </c>
      <c r="L21" s="8" t="str">
        <f>[1]!wwsInput()</f>
        <v/>
      </c>
      <c r="M21" s="9"/>
      <c r="N21" s="35"/>
    </row>
    <row r="22" spans="1:16" ht="21" x14ac:dyDescent="0.4">
      <c r="A22" s="50"/>
      <c r="B22" s="38">
        <f t="shared" si="0"/>
        <v>1</v>
      </c>
      <c r="C22" s="52" t="s">
        <v>60</v>
      </c>
      <c r="D22" s="15">
        <v>19</v>
      </c>
      <c r="E22" s="51" t="s">
        <v>69</v>
      </c>
      <c r="F22" s="8" t="str">
        <f>[1]!wwsInput()</f>
        <v/>
      </c>
      <c r="G22" s="25"/>
      <c r="H22" s="51" t="s">
        <v>60</v>
      </c>
      <c r="I22" s="8" t="s">
        <v>47</v>
      </c>
      <c r="J22" s="25"/>
      <c r="K22" s="51" t="s">
        <v>72</v>
      </c>
      <c r="L22" s="8" t="str">
        <f>[1]!wwsInput()</f>
        <v/>
      </c>
      <c r="M22" s="9"/>
      <c r="N22" s="35"/>
    </row>
    <row r="23" spans="1:16" ht="21" x14ac:dyDescent="0.4">
      <c r="A23" s="98">
        <f>SUM(B4:B23)/20</f>
        <v>0.6</v>
      </c>
      <c r="B23" s="38">
        <f t="shared" si="0"/>
        <v>0</v>
      </c>
      <c r="C23" s="52" t="s">
        <v>62</v>
      </c>
      <c r="D23" s="15">
        <v>20</v>
      </c>
      <c r="E23" s="51" t="s">
        <v>59</v>
      </c>
      <c r="F23" s="8" t="str">
        <f>[1]!wwsInput()</f>
        <v/>
      </c>
      <c r="G23" s="25"/>
      <c r="H23" s="51" t="s">
        <v>62</v>
      </c>
      <c r="I23" s="8" t="str">
        <f>[1]!wwsInput()</f>
        <v/>
      </c>
      <c r="J23" s="25"/>
      <c r="K23" s="51" t="s">
        <v>63</v>
      </c>
      <c r="L23" s="8" t="s">
        <v>47</v>
      </c>
      <c r="M23" s="9"/>
      <c r="N23" s="35"/>
    </row>
    <row r="24" spans="1:16" ht="21" x14ac:dyDescent="0.4">
      <c r="A24" s="80"/>
      <c r="B24" s="4"/>
      <c r="C24" s="29"/>
      <c r="D24" s="81"/>
      <c r="E24" s="82"/>
      <c r="F24" s="83"/>
      <c r="G24" s="83"/>
      <c r="H24" s="84"/>
      <c r="I24" s="83"/>
      <c r="J24" s="83"/>
      <c r="K24" s="82"/>
      <c r="L24" s="81"/>
      <c r="M24" s="92"/>
      <c r="N24" s="11"/>
      <c r="O24" s="2"/>
      <c r="P24" s="2"/>
    </row>
    <row r="25" spans="1:16" ht="21" x14ac:dyDescent="0.4">
      <c r="A25" s="168"/>
      <c r="B25" s="168"/>
      <c r="C25" s="168"/>
      <c r="D25" s="85"/>
      <c r="E25" s="43"/>
      <c r="F25" s="81"/>
      <c r="G25" s="82"/>
      <c r="H25" s="83"/>
      <c r="I25" s="83"/>
      <c r="J25" s="84"/>
      <c r="K25" s="83"/>
      <c r="L25" s="83"/>
      <c r="M25" s="82"/>
      <c r="N25" s="81"/>
      <c r="O25" s="83"/>
      <c r="P25" s="86" t="s">
        <v>43</v>
      </c>
    </row>
  </sheetData>
  <mergeCells count="3">
    <mergeCell ref="A25:C25"/>
    <mergeCell ref="E2:L2"/>
    <mergeCell ref="A2:D2"/>
  </mergeCells>
  <conditionalFormatting sqref="G6 M14:M19 G14:G19 J14:J19">
    <cfRule type="cellIs" dxfId="195" priority="138" operator="equal">
      <formula>"CORRECT !"</formula>
    </cfRule>
  </conditionalFormatting>
  <conditionalFormatting sqref="G7">
    <cfRule type="cellIs" dxfId="194" priority="137" operator="equal">
      <formula>"CORRECT !"</formula>
    </cfRule>
  </conditionalFormatting>
  <conditionalFormatting sqref="G8">
    <cfRule type="cellIs" dxfId="193" priority="136" operator="equal">
      <formula>"CORRECT !"</formula>
    </cfRule>
  </conditionalFormatting>
  <conditionalFormatting sqref="G23">
    <cfRule type="cellIs" dxfId="192" priority="125" operator="equal">
      <formula>"CORRECT !"</formula>
    </cfRule>
  </conditionalFormatting>
  <conditionalFormatting sqref="J10">
    <cfRule type="cellIs" dxfId="191" priority="124" operator="equal">
      <formula>"CORRECT !"</formula>
    </cfRule>
  </conditionalFormatting>
  <conditionalFormatting sqref="M4">
    <cfRule type="cellIs" dxfId="190" priority="162" operator="equal">
      <formula>"CORRECT !"</formula>
    </cfRule>
  </conditionalFormatting>
  <conditionalFormatting sqref="M5">
    <cfRule type="cellIs" dxfId="189" priority="161" operator="equal">
      <formula>"CORRECT !"</formula>
    </cfRule>
  </conditionalFormatting>
  <conditionalFormatting sqref="M6">
    <cfRule type="cellIs" dxfId="188" priority="160" operator="equal">
      <formula>"CORRECT !"</formula>
    </cfRule>
  </conditionalFormatting>
  <conditionalFormatting sqref="M7">
    <cfRule type="cellIs" dxfId="187" priority="159" operator="equal">
      <formula>"CORRECT !"</formula>
    </cfRule>
  </conditionalFormatting>
  <conditionalFormatting sqref="M8">
    <cfRule type="cellIs" dxfId="186" priority="158" operator="equal">
      <formula>"CORRECT !"</formula>
    </cfRule>
  </conditionalFormatting>
  <conditionalFormatting sqref="M9">
    <cfRule type="cellIs" dxfId="185" priority="157" operator="equal">
      <formula>"CORRECT !"</formula>
    </cfRule>
  </conditionalFormatting>
  <conditionalFormatting sqref="M10">
    <cfRule type="cellIs" dxfId="184" priority="156" operator="equal">
      <formula>"CORRECT !"</formula>
    </cfRule>
  </conditionalFormatting>
  <conditionalFormatting sqref="M11">
    <cfRule type="cellIs" dxfId="183" priority="155" operator="equal">
      <formula>"CORRECT !"</formula>
    </cfRule>
  </conditionalFormatting>
  <conditionalFormatting sqref="M12">
    <cfRule type="cellIs" dxfId="182" priority="154" operator="equal">
      <formula>"CORRECT !"</formula>
    </cfRule>
  </conditionalFormatting>
  <conditionalFormatting sqref="M13">
    <cfRule type="cellIs" dxfId="181" priority="153" operator="equal">
      <formula>"CORRECT !"</formula>
    </cfRule>
  </conditionalFormatting>
  <conditionalFormatting sqref="M20">
    <cfRule type="cellIs" dxfId="180" priority="151" operator="equal">
      <formula>"CORRECT !"</formula>
    </cfRule>
  </conditionalFormatting>
  <conditionalFormatting sqref="M21">
    <cfRule type="cellIs" dxfId="179" priority="150" operator="equal">
      <formula>"CORRECT !"</formula>
    </cfRule>
  </conditionalFormatting>
  <conditionalFormatting sqref="M23">
    <cfRule type="cellIs" dxfId="178" priority="149" operator="equal">
      <formula>"CORRECT !"</formula>
    </cfRule>
  </conditionalFormatting>
  <conditionalFormatting sqref="G4">
    <cfRule type="cellIs" dxfId="177" priority="148" operator="equal">
      <formula>"CORRECT !"</formula>
    </cfRule>
  </conditionalFormatting>
  <conditionalFormatting sqref="J4">
    <cfRule type="cellIs" dxfId="176" priority="147" operator="equal">
      <formula>"CORRECT !"</formula>
    </cfRule>
  </conditionalFormatting>
  <conditionalFormatting sqref="G5">
    <cfRule type="cellIs" dxfId="175" priority="146" operator="equal">
      <formula>"CORRECT !"</formula>
    </cfRule>
  </conditionalFormatting>
  <conditionalFormatting sqref="J5">
    <cfRule type="cellIs" dxfId="174" priority="145" operator="equal">
      <formula>"CORRECT !"</formula>
    </cfRule>
  </conditionalFormatting>
  <conditionalFormatting sqref="G9">
    <cfRule type="cellIs" dxfId="173" priority="144" operator="equal">
      <formula>"CORRECT !"</formula>
    </cfRule>
  </conditionalFormatting>
  <conditionalFormatting sqref="J9">
    <cfRule type="cellIs" dxfId="172" priority="143" operator="equal">
      <formula>"CORRECT !"</formula>
    </cfRule>
  </conditionalFormatting>
  <conditionalFormatting sqref="E4 E14:E19">
    <cfRule type="expression" dxfId="171" priority="141">
      <formula>AND($F4&lt;&gt;"",$C4&lt;&gt;$E4)</formula>
    </cfRule>
    <cfRule type="expression" dxfId="170" priority="142">
      <formula>AND($F4="y",$C4=$E4)</formula>
    </cfRule>
  </conditionalFormatting>
  <conditionalFormatting sqref="E3">
    <cfRule type="expression" dxfId="169" priority="140">
      <formula>$P$1&lt;&gt;""</formula>
    </cfRule>
  </conditionalFormatting>
  <conditionalFormatting sqref="E25">
    <cfRule type="expression" dxfId="168" priority="139">
      <formula>$P$1&lt;&gt;""</formula>
    </cfRule>
  </conditionalFormatting>
  <conditionalFormatting sqref="J6">
    <cfRule type="cellIs" dxfId="167" priority="135" operator="equal">
      <formula>"CORRECT !"</formula>
    </cfRule>
  </conditionalFormatting>
  <conditionalFormatting sqref="J7">
    <cfRule type="cellIs" dxfId="166" priority="134" operator="equal">
      <formula>"CORRECT !"</formula>
    </cfRule>
  </conditionalFormatting>
  <conditionalFormatting sqref="J8">
    <cfRule type="cellIs" dxfId="165" priority="133" operator="equal">
      <formula>"CORRECT !"</formula>
    </cfRule>
  </conditionalFormatting>
  <conditionalFormatting sqref="G10">
    <cfRule type="cellIs" dxfId="164" priority="132" operator="equal">
      <formula>"CORRECT !"</formula>
    </cfRule>
  </conditionalFormatting>
  <conditionalFormatting sqref="G11">
    <cfRule type="cellIs" dxfId="163" priority="131" operator="equal">
      <formula>"CORRECT !"</formula>
    </cfRule>
  </conditionalFormatting>
  <conditionalFormatting sqref="G12">
    <cfRule type="cellIs" dxfId="162" priority="130" operator="equal">
      <formula>"CORRECT !"</formula>
    </cfRule>
  </conditionalFormatting>
  <conditionalFormatting sqref="G13">
    <cfRule type="cellIs" dxfId="161" priority="129" operator="equal">
      <formula>"CORRECT !"</formula>
    </cfRule>
  </conditionalFormatting>
  <conditionalFormatting sqref="G20">
    <cfRule type="cellIs" dxfId="160" priority="127" operator="equal">
      <formula>"CORRECT !"</formula>
    </cfRule>
  </conditionalFormatting>
  <conditionalFormatting sqref="G21">
    <cfRule type="cellIs" dxfId="159" priority="126" operator="equal">
      <formula>"CORRECT !"</formula>
    </cfRule>
  </conditionalFormatting>
  <conditionalFormatting sqref="J11">
    <cfRule type="cellIs" dxfId="158" priority="123" operator="equal">
      <formula>"CORRECT !"</formula>
    </cfRule>
  </conditionalFormatting>
  <conditionalFormatting sqref="J12">
    <cfRule type="cellIs" dxfId="157" priority="122" operator="equal">
      <formula>"CORRECT !"</formula>
    </cfRule>
  </conditionalFormatting>
  <conditionalFormatting sqref="J13">
    <cfRule type="cellIs" dxfId="156" priority="121" operator="equal">
      <formula>"CORRECT !"</formula>
    </cfRule>
  </conditionalFormatting>
  <conditionalFormatting sqref="J20">
    <cfRule type="cellIs" dxfId="155" priority="119" operator="equal">
      <formula>"CORRECT !"</formula>
    </cfRule>
  </conditionalFormatting>
  <conditionalFormatting sqref="J21">
    <cfRule type="cellIs" dxfId="154" priority="118" operator="equal">
      <formula>"CORRECT !"</formula>
    </cfRule>
  </conditionalFormatting>
  <conditionalFormatting sqref="J23">
    <cfRule type="cellIs" dxfId="153" priority="117" operator="equal">
      <formula>"CORRECT !"</formula>
    </cfRule>
  </conditionalFormatting>
  <conditionalFormatting sqref="K4">
    <cfRule type="expression" dxfId="152" priority="115">
      <formula>AND($L4&lt;&gt;"",$C4&lt;&gt;$K4)</formula>
    </cfRule>
    <cfRule type="expression" dxfId="151" priority="116">
      <formula>AND($L4="y",$C4=$K4)</formula>
    </cfRule>
  </conditionalFormatting>
  <conditionalFormatting sqref="M22">
    <cfRule type="cellIs" dxfId="150" priority="114" operator="equal">
      <formula>"CORRECT !"</formula>
    </cfRule>
  </conditionalFormatting>
  <conditionalFormatting sqref="G22">
    <cfRule type="cellIs" dxfId="149" priority="113" operator="equal">
      <formula>"CORRECT !"</formula>
    </cfRule>
  </conditionalFormatting>
  <conditionalFormatting sqref="J22">
    <cfRule type="cellIs" dxfId="148" priority="112" operator="equal">
      <formula>"CORRECT !"</formula>
    </cfRule>
  </conditionalFormatting>
  <conditionalFormatting sqref="H4 H14">
    <cfRule type="expression" dxfId="147" priority="110">
      <formula>AND($I4&lt;&gt;"",$H4&lt;&gt;$C4)</formula>
    </cfRule>
    <cfRule type="expression" dxfId="146" priority="111">
      <formula>AND($I4="y",$C4=$H4)</formula>
    </cfRule>
  </conditionalFormatting>
  <conditionalFormatting sqref="K5 K14:K19">
    <cfRule type="expression" dxfId="145" priority="108">
      <formula>AND($L5="y",$C5&lt;&gt;$K5)</formula>
    </cfRule>
    <cfRule type="expression" dxfId="144" priority="109">
      <formula>AND($L5="y",$C5=$K5)</formula>
    </cfRule>
  </conditionalFormatting>
  <conditionalFormatting sqref="K6">
    <cfRule type="expression" dxfId="143" priority="106">
      <formula>AND($L6="y",$C6&lt;&gt;$K6)</formula>
    </cfRule>
    <cfRule type="expression" dxfId="142" priority="107">
      <formula>AND($L6="y",$C6=$K6)</formula>
    </cfRule>
  </conditionalFormatting>
  <conditionalFormatting sqref="K7">
    <cfRule type="expression" dxfId="141" priority="104">
      <formula>AND($L7="y",$C7&lt;&gt;$K7)</formula>
    </cfRule>
    <cfRule type="expression" dxfId="140" priority="105">
      <formula>AND($L7="y",$C7=$K7)</formula>
    </cfRule>
  </conditionalFormatting>
  <conditionalFormatting sqref="K8">
    <cfRule type="expression" dxfId="139" priority="102">
      <formula>AND($L8="y",$C8&lt;&gt;$K8)</formula>
    </cfRule>
    <cfRule type="expression" dxfId="138" priority="103">
      <formula>AND($L8="y",$C8=$K8)</formula>
    </cfRule>
  </conditionalFormatting>
  <conditionalFormatting sqref="K9">
    <cfRule type="expression" dxfId="137" priority="100">
      <formula>AND($L9="y",$C9&lt;&gt;$K9)</formula>
    </cfRule>
    <cfRule type="expression" dxfId="136" priority="101">
      <formula>AND($L9="y",$C9=$K9)</formula>
    </cfRule>
  </conditionalFormatting>
  <conditionalFormatting sqref="K10">
    <cfRule type="expression" dxfId="135" priority="98">
      <formula>AND($L10="y",$C10&lt;&gt;$K10)</formula>
    </cfRule>
    <cfRule type="expression" dxfId="134" priority="99">
      <formula>AND($L10="y",$C10=$K10)</formula>
    </cfRule>
  </conditionalFormatting>
  <conditionalFormatting sqref="K11">
    <cfRule type="expression" dxfId="133" priority="96">
      <formula>AND($L11="y",$C11&lt;&gt;$K11)</formula>
    </cfRule>
    <cfRule type="expression" dxfId="132" priority="97">
      <formula>AND($L11="y",$C11=$K11)</formula>
    </cfRule>
  </conditionalFormatting>
  <conditionalFormatting sqref="K12">
    <cfRule type="expression" dxfId="131" priority="94">
      <formula>AND($L12="y",$C12&lt;&gt;$K12)</formula>
    </cfRule>
    <cfRule type="expression" dxfId="130" priority="95">
      <formula>AND($L12="y",$C12=$K12)</formula>
    </cfRule>
  </conditionalFormatting>
  <conditionalFormatting sqref="K13">
    <cfRule type="expression" dxfId="129" priority="92">
      <formula>AND($L13="y",$C13&lt;&gt;$K13)</formula>
    </cfRule>
    <cfRule type="expression" dxfId="128" priority="93">
      <formula>AND($L13="y",$C13=$K13)</formula>
    </cfRule>
  </conditionalFormatting>
  <conditionalFormatting sqref="K20">
    <cfRule type="expression" dxfId="127" priority="88">
      <formula>AND($L20="y",$C20&lt;&gt;$K20)</formula>
    </cfRule>
    <cfRule type="expression" dxfId="126" priority="89">
      <formula>AND($L20="y",$C20=$K20)</formula>
    </cfRule>
  </conditionalFormatting>
  <conditionalFormatting sqref="K21">
    <cfRule type="expression" dxfId="125" priority="86">
      <formula>AND($L21="y",$C21&lt;&gt;$K21)</formula>
    </cfRule>
    <cfRule type="expression" dxfId="124" priority="87">
      <formula>AND($L21="y",$C21=$K21)</formula>
    </cfRule>
  </conditionalFormatting>
  <conditionalFormatting sqref="K22">
    <cfRule type="expression" dxfId="123" priority="84">
      <formula>AND($L22="y",$C22&lt;&gt;$K22)</formula>
    </cfRule>
    <cfRule type="expression" dxfId="122" priority="85">
      <formula>AND($L22="y",$C22=$K22)</formula>
    </cfRule>
  </conditionalFormatting>
  <conditionalFormatting sqref="K23">
    <cfRule type="expression" dxfId="121" priority="82">
      <formula>AND($L23="y",$C23&lt;&gt;$K23)</formula>
    </cfRule>
    <cfRule type="expression" dxfId="120" priority="83">
      <formula>AND($L23="y",$C23=$K23)</formula>
    </cfRule>
  </conditionalFormatting>
  <conditionalFormatting sqref="E5">
    <cfRule type="expression" dxfId="119" priority="80">
      <formula>AND($F5&lt;&gt;"",$C5&lt;&gt;$E5)</formula>
    </cfRule>
    <cfRule type="expression" dxfId="118" priority="81">
      <formula>AND($F5="y",$C5=$E5)</formula>
    </cfRule>
  </conditionalFormatting>
  <conditionalFormatting sqref="H5">
    <cfRule type="expression" dxfId="117" priority="78">
      <formula>AND($I5&lt;&gt;"",$H5&lt;&gt;$C5)</formula>
    </cfRule>
    <cfRule type="expression" dxfId="116" priority="79">
      <formula>AND($I5="y",$C5=$H5)</formula>
    </cfRule>
  </conditionalFormatting>
  <conditionalFormatting sqref="E6">
    <cfRule type="expression" dxfId="115" priority="76">
      <formula>AND($F6&lt;&gt;"",$C6&lt;&gt;$E6)</formula>
    </cfRule>
    <cfRule type="expression" dxfId="114" priority="77">
      <formula>AND($F6="y",$C6=$E6)</formula>
    </cfRule>
  </conditionalFormatting>
  <conditionalFormatting sqref="E7">
    <cfRule type="expression" dxfId="113" priority="74">
      <formula>AND($F7&lt;&gt;"",$C7&lt;&gt;$E7)</formula>
    </cfRule>
    <cfRule type="expression" dxfId="112" priority="75">
      <formula>AND($F7="y",$C7=$E7)</formula>
    </cfRule>
  </conditionalFormatting>
  <conditionalFormatting sqref="E8">
    <cfRule type="expression" dxfId="111" priority="72">
      <formula>AND($F8&lt;&gt;"",$C8&lt;&gt;$E8)</formula>
    </cfRule>
    <cfRule type="expression" dxfId="110" priority="73">
      <formula>AND($F8="y",$C8=$E8)</formula>
    </cfRule>
  </conditionalFormatting>
  <conditionalFormatting sqref="E9">
    <cfRule type="expression" dxfId="109" priority="70">
      <formula>AND($F9&lt;&gt;"",$C9&lt;&gt;$E9)</formula>
    </cfRule>
    <cfRule type="expression" dxfId="108" priority="71">
      <formula>AND($F9="y",$C9=$E9)</formula>
    </cfRule>
  </conditionalFormatting>
  <conditionalFormatting sqref="E10">
    <cfRule type="expression" dxfId="107" priority="68">
      <formula>AND($F10&lt;&gt;"",$C10&lt;&gt;$E10)</formula>
    </cfRule>
    <cfRule type="expression" dxfId="106" priority="69">
      <formula>AND($F10="y",$C10=$E10)</formula>
    </cfRule>
  </conditionalFormatting>
  <conditionalFormatting sqref="E11">
    <cfRule type="expression" dxfId="105" priority="66">
      <formula>AND($F11&lt;&gt;"",$C11&lt;&gt;$E11)</formula>
    </cfRule>
    <cfRule type="expression" dxfId="104" priority="67">
      <formula>AND($F11="y",$C11=$E11)</formula>
    </cfRule>
  </conditionalFormatting>
  <conditionalFormatting sqref="E12">
    <cfRule type="expression" dxfId="103" priority="64">
      <formula>AND($F12&lt;&gt;"",$C12&lt;&gt;$E12)</formula>
    </cfRule>
    <cfRule type="expression" dxfId="102" priority="65">
      <formula>AND($F12="y",$C12=$E12)</formula>
    </cfRule>
  </conditionalFormatting>
  <conditionalFormatting sqref="E13">
    <cfRule type="expression" dxfId="101" priority="62">
      <formula>AND($F13&lt;&gt;"",$C13&lt;&gt;$E13)</formula>
    </cfRule>
    <cfRule type="expression" dxfId="100" priority="63">
      <formula>AND($F13="y",$C13=$E13)</formula>
    </cfRule>
  </conditionalFormatting>
  <conditionalFormatting sqref="E20">
    <cfRule type="expression" dxfId="99" priority="58">
      <formula>AND($F20&lt;&gt;"",$C20&lt;&gt;$E20)</formula>
    </cfRule>
    <cfRule type="expression" dxfId="98" priority="59">
      <formula>AND($F20="y",$C20=$E20)</formula>
    </cfRule>
  </conditionalFormatting>
  <conditionalFormatting sqref="E21">
    <cfRule type="expression" dxfId="97" priority="56">
      <formula>AND($F21&lt;&gt;"",$C21&lt;&gt;$E21)</formula>
    </cfRule>
    <cfRule type="expression" dxfId="96" priority="57">
      <formula>AND($F21="y",$C21=$E21)</formula>
    </cfRule>
  </conditionalFormatting>
  <conditionalFormatting sqref="E22">
    <cfRule type="expression" dxfId="95" priority="54">
      <formula>AND($F22&lt;&gt;"",$C22&lt;&gt;$E22)</formula>
    </cfRule>
    <cfRule type="expression" dxfId="94" priority="55">
      <formula>AND($F22="y",$C22=$E22)</formula>
    </cfRule>
  </conditionalFormatting>
  <conditionalFormatting sqref="E23">
    <cfRule type="expression" dxfId="93" priority="52">
      <formula>AND($F23&lt;&gt;"",$C23&lt;&gt;$E23)</formula>
    </cfRule>
    <cfRule type="expression" dxfId="92" priority="53">
      <formula>AND($F23="y",$C23=$E23)</formula>
    </cfRule>
  </conditionalFormatting>
  <conditionalFormatting sqref="H6">
    <cfRule type="expression" dxfId="91" priority="50">
      <formula>AND($I6&lt;&gt;"",$H6&lt;&gt;$C6)</formula>
    </cfRule>
    <cfRule type="expression" dxfId="90" priority="51">
      <formula>AND($I6="y",$C6=$H6)</formula>
    </cfRule>
  </conditionalFormatting>
  <conditionalFormatting sqref="H7">
    <cfRule type="expression" dxfId="89" priority="48">
      <formula>AND($I7&lt;&gt;"",$H7&lt;&gt;$C7)</formula>
    </cfRule>
    <cfRule type="expression" dxfId="88" priority="49">
      <formula>AND($I7="y",$C7=$H7)</formula>
    </cfRule>
  </conditionalFormatting>
  <conditionalFormatting sqref="H8">
    <cfRule type="expression" dxfId="87" priority="46">
      <formula>AND($I8&lt;&gt;"",$H8&lt;&gt;$C8)</formula>
    </cfRule>
    <cfRule type="expression" dxfId="86" priority="47">
      <formula>AND($I8="y",$C8=$H8)</formula>
    </cfRule>
  </conditionalFormatting>
  <conditionalFormatting sqref="H9">
    <cfRule type="expression" dxfId="85" priority="44">
      <formula>AND($I9&lt;&gt;"",$H9&lt;&gt;$C9)</formula>
    </cfRule>
    <cfRule type="expression" dxfId="84" priority="45">
      <formula>AND($I9="y",$C9=$H9)</formula>
    </cfRule>
  </conditionalFormatting>
  <conditionalFormatting sqref="H10">
    <cfRule type="expression" dxfId="83" priority="42">
      <formula>AND($I10&lt;&gt;"",$H10&lt;&gt;$C10)</formula>
    </cfRule>
    <cfRule type="expression" dxfId="82" priority="43">
      <formula>AND($I10="y",$C10=$H10)</formula>
    </cfRule>
  </conditionalFormatting>
  <conditionalFormatting sqref="H11">
    <cfRule type="expression" dxfId="81" priority="40">
      <formula>AND($I11&lt;&gt;"",$H11&lt;&gt;$C11)</formula>
    </cfRule>
    <cfRule type="expression" dxfId="80" priority="41">
      <formula>AND($I11="y",$C11=$H11)</formula>
    </cfRule>
  </conditionalFormatting>
  <conditionalFormatting sqref="H12">
    <cfRule type="expression" dxfId="79" priority="38">
      <formula>AND($I12&lt;&gt;"",$H12&lt;&gt;$C12)</formula>
    </cfRule>
    <cfRule type="expression" dxfId="78" priority="39">
      <formula>AND($I12="y",$C12=$H12)</formula>
    </cfRule>
  </conditionalFormatting>
  <conditionalFormatting sqref="H13">
    <cfRule type="expression" dxfId="77" priority="36">
      <formula>AND($I13&lt;&gt;"",$H13&lt;&gt;$C13)</formula>
    </cfRule>
    <cfRule type="expression" dxfId="76" priority="37">
      <formula>AND($I13="y",$C13=$H13)</formula>
    </cfRule>
  </conditionalFormatting>
  <conditionalFormatting sqref="H20">
    <cfRule type="expression" dxfId="75" priority="32">
      <formula>AND($I20&lt;&gt;"",$H20&lt;&gt;$C20)</formula>
    </cfRule>
    <cfRule type="expression" dxfId="74" priority="33">
      <formula>AND($I20="y",$C20=$H20)</formula>
    </cfRule>
  </conditionalFormatting>
  <conditionalFormatting sqref="H21">
    <cfRule type="expression" dxfId="73" priority="30">
      <formula>AND($I21&lt;&gt;"",$H21&lt;&gt;$C21)</formula>
    </cfRule>
    <cfRule type="expression" dxfId="72" priority="31">
      <formula>AND($I21="y",$C21=$H21)</formula>
    </cfRule>
  </conditionalFormatting>
  <conditionalFormatting sqref="H22">
    <cfRule type="expression" dxfId="71" priority="28">
      <formula>AND($I22&lt;&gt;"",$H22&lt;&gt;$C22)</formula>
    </cfRule>
    <cfRule type="expression" dxfId="70" priority="29">
      <formula>AND($I22="y",$C22=$H22)</formula>
    </cfRule>
  </conditionalFormatting>
  <conditionalFormatting sqref="H23">
    <cfRule type="expression" dxfId="69" priority="26">
      <formula>AND($I23&lt;&gt;"",$H23&lt;&gt;$C23)</formula>
    </cfRule>
    <cfRule type="expression" dxfId="68" priority="27">
      <formula>AND($I23="y",$C23=$H23)</formula>
    </cfRule>
  </conditionalFormatting>
  <conditionalFormatting sqref="F5">
    <cfRule type="expression" dxfId="67" priority="24">
      <formula>OR(I5&lt;&gt;"",L5&lt;&gt;"")</formula>
    </cfRule>
    <cfRule type="expression" dxfId="66" priority="25">
      <formula>"OR(i5&lt;&gt;"""",L5&lt;&gt;"""")"</formula>
    </cfRule>
  </conditionalFormatting>
  <conditionalFormatting sqref="I5">
    <cfRule type="expression" dxfId="65" priority="23">
      <formula>OR(F5&lt;&gt;"",L5&lt;&gt;"")</formula>
    </cfRule>
  </conditionalFormatting>
  <conditionalFormatting sqref="L5">
    <cfRule type="expression" dxfId="64" priority="22">
      <formula>OR(F5&lt;&gt;"",I5&lt;&gt;"")</formula>
    </cfRule>
  </conditionalFormatting>
  <conditionalFormatting sqref="F6:F23">
    <cfRule type="expression" dxfId="63" priority="17">
      <formula>OR($I6&lt;&gt;"",$L6&lt;&gt;"")</formula>
    </cfRule>
  </conditionalFormatting>
  <conditionalFormatting sqref="I6">
    <cfRule type="expression" dxfId="62" priority="16">
      <formula>OR(F6&lt;&gt;"",L6&lt;&gt;"")</formula>
    </cfRule>
  </conditionalFormatting>
  <conditionalFormatting sqref="I7:I23">
    <cfRule type="expression" dxfId="61" priority="15">
      <formula>OR(F7&lt;&gt;"",L7&lt;&gt;"")</formula>
    </cfRule>
  </conditionalFormatting>
  <conditionalFormatting sqref="L6:L23">
    <cfRule type="expression" dxfId="60" priority="13">
      <formula>OR(F6&lt;&gt;"",I6&lt;&gt;"")</formula>
    </cfRule>
  </conditionalFormatting>
  <conditionalFormatting sqref="H15:H19">
    <cfRule type="expression" dxfId="59" priority="1">
      <formula>AND($I15&lt;&gt;"",$H15&lt;&gt;$C15)</formula>
    </cfRule>
    <cfRule type="expression" dxfId="58" priority="2">
      <formula>AND($I15="y",$C15=$H15)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0BBE-FDE7-4414-A4EA-FDFF0251958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H15" sqref="H15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02"/>
  </cols>
  <sheetData>
    <row r="13" spans="2:8" x14ac:dyDescent="0.3">
      <c r="G13" s="101" t="s">
        <v>1</v>
      </c>
    </row>
    <row r="15" spans="2:8" ht="18" x14ac:dyDescent="0.35">
      <c r="B15" s="1"/>
      <c r="C15" s="15"/>
      <c r="D15" s="3"/>
      <c r="E15" s="3"/>
      <c r="F15" s="3"/>
      <c r="G15" s="56"/>
      <c r="H15" s="46"/>
    </row>
    <row r="16" spans="2:8" ht="18" x14ac:dyDescent="0.35">
      <c r="B16" s="163" t="s">
        <v>0</v>
      </c>
      <c r="C16" s="163"/>
      <c r="D16" s="163"/>
      <c r="E16" s="163"/>
      <c r="F16" s="163"/>
      <c r="G16" s="56"/>
      <c r="H16" s="103"/>
    </row>
    <row r="17" spans="2:8" ht="18" x14ac:dyDescent="0.35">
      <c r="B17" s="75"/>
      <c r="C17" s="104"/>
      <c r="D17" s="105"/>
      <c r="E17" s="105"/>
      <c r="F17" s="105"/>
      <c r="G17" s="106"/>
      <c r="H17" s="46"/>
    </row>
    <row r="18" spans="2:8" ht="21" x14ac:dyDescent="0.4">
      <c r="B18" s="48"/>
      <c r="C18" s="104" t="str">
        <f>CONCATENATE(C17+1,".")</f>
        <v>1.</v>
      </c>
      <c r="D18" s="107" t="s">
        <v>4</v>
      </c>
      <c r="E18" s="79" t="s">
        <v>3</v>
      </c>
      <c r="F18" s="107" t="s">
        <v>2</v>
      </c>
      <c r="G18" s="108" t="str">
        <f>IF(CONCATENATE(D18,E18,F18)=H18,$G$13,"")</f>
        <v>√</v>
      </c>
      <c r="H18" s="45" t="s">
        <v>49</v>
      </c>
    </row>
    <row r="19" spans="2:8" ht="21" x14ac:dyDescent="0.4">
      <c r="B19" s="48"/>
      <c r="C19" s="104" t="str">
        <f t="shared" ref="C19:C25" si="0">CONCATENATE(C18+1,".")</f>
        <v>2.</v>
      </c>
      <c r="D19" s="109" t="s">
        <v>91</v>
      </c>
      <c r="E19" s="109" t="s">
        <v>3</v>
      </c>
      <c r="F19" s="109" t="s">
        <v>92</v>
      </c>
      <c r="G19" s="108"/>
      <c r="H19" s="45" t="s">
        <v>30</v>
      </c>
    </row>
    <row r="20" spans="2:8" ht="21" x14ac:dyDescent="0.4">
      <c r="B20" s="48"/>
      <c r="C20" s="104" t="str">
        <f t="shared" si="0"/>
        <v>3.</v>
      </c>
      <c r="D20" s="109" t="s">
        <v>2</v>
      </c>
      <c r="E20" s="109" t="s">
        <v>3</v>
      </c>
      <c r="F20" s="109" t="s">
        <v>2</v>
      </c>
      <c r="G20" s="108" t="str">
        <f t="shared" ref="G20:G25" si="1">IF(CONCATENATE(D20,E20,F20)=H20,$G$13,"")</f>
        <v/>
      </c>
      <c r="H20" s="45" t="s">
        <v>50</v>
      </c>
    </row>
    <row r="21" spans="2:8" ht="21" x14ac:dyDescent="0.4">
      <c r="B21" s="48"/>
      <c r="C21" s="104" t="str">
        <f t="shared" si="0"/>
        <v>4.</v>
      </c>
      <c r="D21" s="107" t="s">
        <v>2</v>
      </c>
      <c r="E21" s="79" t="s">
        <v>3</v>
      </c>
      <c r="F21" s="107" t="s">
        <v>4</v>
      </c>
      <c r="G21" s="108" t="str">
        <f t="shared" si="1"/>
        <v>√</v>
      </c>
      <c r="H21" s="45" t="s">
        <v>5</v>
      </c>
    </row>
    <row r="22" spans="2:8" ht="21" x14ac:dyDescent="0.4">
      <c r="B22" s="48"/>
      <c r="C22" s="104" t="str">
        <f t="shared" si="0"/>
        <v>5.</v>
      </c>
      <c r="D22" s="107" t="s">
        <v>92</v>
      </c>
      <c r="E22" s="79" t="s">
        <v>3</v>
      </c>
      <c r="F22" s="107" t="s">
        <v>92</v>
      </c>
      <c r="G22" s="108" t="str">
        <f t="shared" si="1"/>
        <v>√</v>
      </c>
      <c r="H22" s="45" t="s">
        <v>51</v>
      </c>
    </row>
    <row r="23" spans="2:8" ht="21" x14ac:dyDescent="0.4">
      <c r="B23" s="1"/>
      <c r="C23" s="110" t="str">
        <f t="shared" si="0"/>
        <v>6.</v>
      </c>
      <c r="D23" s="107" t="s">
        <v>92</v>
      </c>
      <c r="E23" s="79" t="s">
        <v>3</v>
      </c>
      <c r="F23" s="107" t="s">
        <v>91</v>
      </c>
      <c r="G23" s="108" t="str">
        <f t="shared" si="1"/>
        <v/>
      </c>
      <c r="H23" s="45" t="s">
        <v>52</v>
      </c>
    </row>
    <row r="24" spans="2:8" ht="21" x14ac:dyDescent="0.4">
      <c r="B24" s="1"/>
      <c r="C24" s="110" t="str">
        <f t="shared" si="0"/>
        <v>7.</v>
      </c>
      <c r="D24" s="111" t="s">
        <v>4</v>
      </c>
      <c r="E24" s="111"/>
      <c r="F24" s="111" t="s">
        <v>4</v>
      </c>
      <c r="G24" s="108" t="str">
        <f t="shared" si="1"/>
        <v/>
      </c>
      <c r="H24" s="45" t="s">
        <v>53</v>
      </c>
    </row>
    <row r="25" spans="2:8" ht="21" x14ac:dyDescent="0.4">
      <c r="B25" s="1"/>
      <c r="C25" s="110" t="str">
        <f t="shared" si="0"/>
        <v>8.</v>
      </c>
      <c r="D25" s="107" t="s">
        <v>92</v>
      </c>
      <c r="E25" s="79" t="s">
        <v>3</v>
      </c>
      <c r="F25" s="107" t="s">
        <v>91</v>
      </c>
      <c r="G25" s="108" t="str">
        <f t="shared" si="1"/>
        <v>√</v>
      </c>
      <c r="H25" s="45" t="s">
        <v>54</v>
      </c>
    </row>
    <row r="26" spans="2:8" x14ac:dyDescent="0.3">
      <c r="C26" s="112"/>
      <c r="D26" s="112"/>
      <c r="E26" s="112"/>
      <c r="F26" s="112"/>
      <c r="G26" s="112"/>
      <c r="H26" s="113"/>
    </row>
  </sheetData>
  <mergeCells count="1">
    <mergeCell ref="B16:F16"/>
  </mergeCells>
  <conditionalFormatting sqref="G18">
    <cfRule type="cellIs" dxfId="57" priority="17" operator="equal">
      <formula>"CORRECT !"</formula>
    </cfRule>
  </conditionalFormatting>
  <conditionalFormatting sqref="H19">
    <cfRule type="expression" dxfId="56" priority="9">
      <formula>$A$4&lt;&gt;""</formula>
    </cfRule>
  </conditionalFormatting>
  <conditionalFormatting sqref="H20">
    <cfRule type="expression" dxfId="55" priority="8">
      <formula>$A$4&lt;&gt;""</formula>
    </cfRule>
  </conditionalFormatting>
  <conditionalFormatting sqref="H21">
    <cfRule type="expression" dxfId="54" priority="7">
      <formula>$A$4&lt;&gt;""</formula>
    </cfRule>
  </conditionalFormatting>
  <conditionalFormatting sqref="H22">
    <cfRule type="expression" dxfId="53" priority="6">
      <formula>$A$4&lt;&gt;""</formula>
    </cfRule>
  </conditionalFormatting>
  <conditionalFormatting sqref="H23">
    <cfRule type="expression" dxfId="52" priority="5">
      <formula>$A$4&lt;&gt;""</formula>
    </cfRule>
  </conditionalFormatting>
  <conditionalFormatting sqref="H24">
    <cfRule type="expression" dxfId="51" priority="4">
      <formula>$A$4&lt;&gt;""</formula>
    </cfRule>
  </conditionalFormatting>
  <conditionalFormatting sqref="H25">
    <cfRule type="expression" dxfId="50" priority="3">
      <formula>$A$4&lt;&gt;""</formula>
    </cfRule>
  </conditionalFormatting>
  <conditionalFormatting sqref="G19:G25">
    <cfRule type="cellIs" dxfId="49" priority="1" operator="equal">
      <formula>"CORRECT !"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M24"/>
  <sheetViews>
    <sheetView workbookViewId="0">
      <selection activeCell="I3" sqref="I3"/>
    </sheetView>
  </sheetViews>
  <sheetFormatPr defaultRowHeight="14.4" x14ac:dyDescent="0.3"/>
  <cols>
    <col min="2" max="2" width="3.77734375" style="93" customWidth="1"/>
    <col min="4" max="4" width="9.5546875" customWidth="1"/>
    <col min="5" max="5" width="8.88671875" customWidth="1"/>
    <col min="6" max="6" width="12.88671875" customWidth="1"/>
    <col min="7" max="7" width="3.77734375" style="89" customWidth="1"/>
    <col min="8" max="8" width="5.21875" style="149" customWidth="1"/>
    <col min="9" max="9" width="7.109375" customWidth="1"/>
  </cols>
  <sheetData>
    <row r="1" spans="1:13" ht="24" thickBot="1" x14ac:dyDescent="0.5">
      <c r="A1" s="38" t="s">
        <v>97</v>
      </c>
      <c r="D1" s="151" t="str">
        <f>[1]!wwsPrintButton("Print","")</f>
        <v>Print</v>
      </c>
      <c r="E1" s="116"/>
      <c r="G1" s="116"/>
      <c r="H1" s="150"/>
      <c r="I1" s="91"/>
      <c r="J1" s="91"/>
      <c r="K1" s="91"/>
      <c r="L1" s="91"/>
      <c r="M1" s="91"/>
    </row>
    <row r="2" spans="1:13" ht="23.4" customHeight="1" x14ac:dyDescent="0.45">
      <c r="A2" s="175" t="s">
        <v>44</v>
      </c>
      <c r="B2" s="175"/>
      <c r="C2" s="175"/>
      <c r="D2" s="175"/>
      <c r="E2" s="175"/>
      <c r="F2" s="175"/>
      <c r="G2" s="175"/>
      <c r="H2" s="148"/>
      <c r="I2" s="73"/>
      <c r="J2" s="73"/>
      <c r="K2" s="73"/>
      <c r="L2" s="73"/>
      <c r="M2" s="73"/>
    </row>
    <row r="3" spans="1:13" ht="18" x14ac:dyDescent="0.35">
      <c r="A3" s="166" t="s">
        <v>82</v>
      </c>
      <c r="B3" s="166"/>
      <c r="C3" s="166"/>
      <c r="D3" s="166"/>
      <c r="E3" s="166"/>
      <c r="F3" s="166"/>
      <c r="G3" s="166"/>
      <c r="H3" s="148"/>
      <c r="I3" s="115"/>
      <c r="J3" s="115"/>
      <c r="K3" s="115"/>
      <c r="L3" s="115"/>
      <c r="M3" s="115"/>
    </row>
    <row r="5" spans="1:13" ht="18" x14ac:dyDescent="0.35">
      <c r="C5" s="174" t="s">
        <v>80</v>
      </c>
      <c r="D5" s="174"/>
      <c r="E5" s="174"/>
      <c r="G5" s="174" t="s">
        <v>81</v>
      </c>
      <c r="H5" s="174"/>
      <c r="I5" s="174"/>
      <c r="J5" s="174"/>
    </row>
    <row r="6" spans="1:13" x14ac:dyDescent="0.3">
      <c r="I6" s="14"/>
    </row>
    <row r="7" spans="1:13" ht="21" x14ac:dyDescent="0.4">
      <c r="B7" s="93">
        <v>1</v>
      </c>
      <c r="C7" s="79" t="s">
        <v>49</v>
      </c>
      <c r="D7" s="89">
        <v>18</v>
      </c>
      <c r="E7" s="79" t="s">
        <v>63</v>
      </c>
      <c r="H7" s="149">
        <v>1</v>
      </c>
      <c r="I7" s="90" t="s">
        <v>66</v>
      </c>
    </row>
    <row r="8" spans="1:13" ht="21" x14ac:dyDescent="0.4">
      <c r="B8" s="93">
        <v>2</v>
      </c>
      <c r="C8" s="79" t="s">
        <v>30</v>
      </c>
      <c r="D8" s="89">
        <v>19</v>
      </c>
      <c r="E8" s="79" t="s">
        <v>64</v>
      </c>
      <c r="H8" s="149">
        <f>1+H7</f>
        <v>2</v>
      </c>
      <c r="I8" s="90" t="s">
        <v>49</v>
      </c>
    </row>
    <row r="9" spans="1:13" ht="21" x14ac:dyDescent="0.4">
      <c r="B9" s="93">
        <v>3</v>
      </c>
      <c r="C9" s="79" t="s">
        <v>50</v>
      </c>
      <c r="D9" s="89">
        <v>20</v>
      </c>
      <c r="E9" s="79" t="s">
        <v>48</v>
      </c>
      <c r="H9" s="149">
        <f t="shared" ref="H9:H21" si="0">1+H8</f>
        <v>3</v>
      </c>
      <c r="I9" s="90" t="s">
        <v>48</v>
      </c>
    </row>
    <row r="10" spans="1:13" ht="21" x14ac:dyDescent="0.4">
      <c r="B10" s="93">
        <v>4</v>
      </c>
      <c r="C10" s="79" t="s">
        <v>5</v>
      </c>
      <c r="D10" s="89">
        <v>21</v>
      </c>
      <c r="E10" s="79" t="s">
        <v>65</v>
      </c>
      <c r="H10" s="149">
        <f t="shared" si="0"/>
        <v>4</v>
      </c>
      <c r="I10" s="90" t="s">
        <v>58</v>
      </c>
    </row>
    <row r="11" spans="1:13" ht="21" x14ac:dyDescent="0.4">
      <c r="B11" s="93">
        <v>5</v>
      </c>
      <c r="C11" s="79" t="s">
        <v>51</v>
      </c>
      <c r="D11" s="89">
        <v>22</v>
      </c>
      <c r="E11" s="79" t="s">
        <v>66</v>
      </c>
      <c r="H11" s="149">
        <f t="shared" si="0"/>
        <v>5</v>
      </c>
      <c r="I11" s="90" t="s">
        <v>75</v>
      </c>
    </row>
    <row r="12" spans="1:13" ht="21" x14ac:dyDescent="0.4">
      <c r="B12" s="93">
        <v>6</v>
      </c>
      <c r="C12" s="79" t="s">
        <v>52</v>
      </c>
      <c r="D12" s="89">
        <v>23</v>
      </c>
      <c r="E12" s="79" t="s">
        <v>67</v>
      </c>
      <c r="H12" s="149">
        <f t="shared" si="0"/>
        <v>6</v>
      </c>
      <c r="I12" s="90" t="s">
        <v>52</v>
      </c>
    </row>
    <row r="13" spans="1:13" ht="21" x14ac:dyDescent="0.4">
      <c r="B13" s="93">
        <v>7</v>
      </c>
      <c r="C13" s="79" t="s">
        <v>53</v>
      </c>
      <c r="D13" s="89">
        <v>24</v>
      </c>
      <c r="E13" s="79" t="s">
        <v>68</v>
      </c>
      <c r="H13" s="149">
        <f t="shared" si="0"/>
        <v>7</v>
      </c>
      <c r="I13" s="90" t="s">
        <v>72</v>
      </c>
    </row>
    <row r="14" spans="1:13" ht="21" x14ac:dyDescent="0.4">
      <c r="B14" s="93">
        <v>8</v>
      </c>
      <c r="C14" s="79" t="s">
        <v>54</v>
      </c>
      <c r="D14" s="89">
        <v>25</v>
      </c>
      <c r="E14" s="79" t="s">
        <v>69</v>
      </c>
      <c r="H14" s="149">
        <f t="shared" si="0"/>
        <v>8</v>
      </c>
      <c r="I14" s="90" t="s">
        <v>55</v>
      </c>
    </row>
    <row r="15" spans="1:13" ht="21" x14ac:dyDescent="0.4">
      <c r="B15" s="93">
        <v>9</v>
      </c>
      <c r="C15" s="79" t="s">
        <v>55</v>
      </c>
      <c r="D15" s="89">
        <v>26</v>
      </c>
      <c r="E15" s="79" t="s">
        <v>70</v>
      </c>
      <c r="H15" s="149">
        <f t="shared" si="0"/>
        <v>9</v>
      </c>
      <c r="I15" s="90" t="s">
        <v>75</v>
      </c>
    </row>
    <row r="16" spans="1:13" ht="21" x14ac:dyDescent="0.4">
      <c r="B16" s="93">
        <v>10</v>
      </c>
      <c r="C16" s="79" t="s">
        <v>56</v>
      </c>
      <c r="D16" s="89">
        <v>27</v>
      </c>
      <c r="E16" s="79" t="s">
        <v>71</v>
      </c>
      <c r="H16" s="149">
        <f t="shared" si="0"/>
        <v>10</v>
      </c>
      <c r="I16" s="90" t="s">
        <v>68</v>
      </c>
    </row>
    <row r="17" spans="2:11" ht="21" x14ac:dyDescent="0.4">
      <c r="B17" s="93">
        <v>11</v>
      </c>
      <c r="C17" s="79" t="s">
        <v>57</v>
      </c>
      <c r="D17" s="89">
        <v>28</v>
      </c>
      <c r="E17" s="79" t="s">
        <v>72</v>
      </c>
      <c r="H17" s="149">
        <f t="shared" si="0"/>
        <v>11</v>
      </c>
      <c r="I17" s="90" t="s">
        <v>64</v>
      </c>
    </row>
    <row r="18" spans="2:11" ht="21" x14ac:dyDescent="0.4">
      <c r="B18" s="93">
        <v>12</v>
      </c>
      <c r="C18" s="79" t="s">
        <v>58</v>
      </c>
      <c r="D18" s="89">
        <v>29</v>
      </c>
      <c r="E18" s="79" t="s">
        <v>28</v>
      </c>
      <c r="H18" s="149">
        <f t="shared" si="0"/>
        <v>12</v>
      </c>
      <c r="I18" s="90" t="s">
        <v>48</v>
      </c>
    </row>
    <row r="19" spans="2:11" ht="21" x14ac:dyDescent="0.4">
      <c r="B19" s="93">
        <v>13</v>
      </c>
      <c r="C19" s="79" t="s">
        <v>59</v>
      </c>
      <c r="D19" s="89">
        <v>30</v>
      </c>
      <c r="E19" s="79" t="s">
        <v>29</v>
      </c>
      <c r="H19" s="149">
        <f t="shared" si="0"/>
        <v>13</v>
      </c>
      <c r="I19" s="90" t="s">
        <v>7</v>
      </c>
    </row>
    <row r="20" spans="2:11" ht="21" x14ac:dyDescent="0.4">
      <c r="B20" s="93">
        <v>14</v>
      </c>
      <c r="C20" s="79" t="s">
        <v>60</v>
      </c>
      <c r="D20" s="89">
        <v>31</v>
      </c>
      <c r="E20" s="79" t="s">
        <v>73</v>
      </c>
      <c r="H20" s="149">
        <f t="shared" si="0"/>
        <v>14</v>
      </c>
      <c r="I20" s="90" t="s">
        <v>60</v>
      </c>
    </row>
    <row r="21" spans="2:11" ht="21" x14ac:dyDescent="0.4">
      <c r="B21" s="93">
        <v>15</v>
      </c>
      <c r="C21" s="79" t="s">
        <v>61</v>
      </c>
      <c r="D21" s="89">
        <v>32</v>
      </c>
      <c r="E21" s="79" t="s">
        <v>74</v>
      </c>
      <c r="H21" s="149">
        <f t="shared" si="0"/>
        <v>15</v>
      </c>
      <c r="I21" s="90" t="s">
        <v>62</v>
      </c>
    </row>
    <row r="22" spans="2:11" ht="21" x14ac:dyDescent="0.4">
      <c r="B22" s="93">
        <v>16</v>
      </c>
      <c r="C22" s="79" t="s">
        <v>62</v>
      </c>
      <c r="D22" s="89">
        <v>33</v>
      </c>
      <c r="E22" s="79" t="s">
        <v>7</v>
      </c>
    </row>
    <row r="23" spans="2:11" ht="21" x14ac:dyDescent="0.4">
      <c r="B23" s="93">
        <v>17</v>
      </c>
      <c r="C23" s="79" t="s">
        <v>31</v>
      </c>
      <c r="D23" s="89">
        <v>34</v>
      </c>
      <c r="E23" s="79" t="s">
        <v>75</v>
      </c>
    </row>
    <row r="24" spans="2:11" x14ac:dyDescent="0.3">
      <c r="K24" t="s">
        <v>43</v>
      </c>
    </row>
  </sheetData>
  <mergeCells count="4">
    <mergeCell ref="C5:E5"/>
    <mergeCell ref="A3:G3"/>
    <mergeCell ref="A2:G2"/>
    <mergeCell ref="G5:J5"/>
  </mergeCells>
  <conditionalFormatting sqref="C7">
    <cfRule type="expression" dxfId="48" priority="49">
      <formula>$A$5&lt;&gt;""</formula>
    </cfRule>
  </conditionalFormatting>
  <conditionalFormatting sqref="C8">
    <cfRule type="expression" dxfId="47" priority="48">
      <formula>$A$5&lt;&gt;""</formula>
    </cfRule>
  </conditionalFormatting>
  <conditionalFormatting sqref="C9">
    <cfRule type="expression" dxfId="46" priority="47">
      <formula>$A$5&lt;&gt;""</formula>
    </cfRule>
  </conditionalFormatting>
  <conditionalFormatting sqref="C10">
    <cfRule type="expression" dxfId="45" priority="46">
      <formula>$A$5&lt;&gt;""</formula>
    </cfRule>
  </conditionalFormatting>
  <conditionalFormatting sqref="C11">
    <cfRule type="expression" dxfId="44" priority="45">
      <formula>$A$5&lt;&gt;""</formula>
    </cfRule>
  </conditionalFormatting>
  <conditionalFormatting sqref="C12">
    <cfRule type="expression" dxfId="43" priority="44">
      <formula>$A$5&lt;&gt;""</formula>
    </cfRule>
  </conditionalFormatting>
  <conditionalFormatting sqref="C13">
    <cfRule type="expression" dxfId="42" priority="43">
      <formula>$A$5&lt;&gt;""</formula>
    </cfRule>
  </conditionalFormatting>
  <conditionalFormatting sqref="C14">
    <cfRule type="expression" dxfId="41" priority="42">
      <formula>$A$5&lt;&gt;""</formula>
    </cfRule>
  </conditionalFormatting>
  <conditionalFormatting sqref="C15">
    <cfRule type="expression" dxfId="40" priority="41">
      <formula>$A$5&lt;&gt;""</formula>
    </cfRule>
  </conditionalFormatting>
  <conditionalFormatting sqref="C16">
    <cfRule type="expression" dxfId="39" priority="40">
      <formula>$A$5&lt;&gt;""</formula>
    </cfRule>
  </conditionalFormatting>
  <conditionalFormatting sqref="C17">
    <cfRule type="expression" dxfId="38" priority="39">
      <formula>$A$5&lt;&gt;""</formula>
    </cfRule>
  </conditionalFormatting>
  <conditionalFormatting sqref="C18">
    <cfRule type="expression" dxfId="37" priority="38">
      <formula>$A$5&lt;&gt;""</formula>
    </cfRule>
  </conditionalFormatting>
  <conditionalFormatting sqref="C19">
    <cfRule type="expression" dxfId="36" priority="37">
      <formula>$A$5&lt;&gt;""</formula>
    </cfRule>
  </conditionalFormatting>
  <conditionalFormatting sqref="C20">
    <cfRule type="expression" dxfId="35" priority="36">
      <formula>$A$5&lt;&gt;""</formula>
    </cfRule>
  </conditionalFormatting>
  <conditionalFormatting sqref="C21">
    <cfRule type="expression" dxfId="34" priority="35">
      <formula>$A$5&lt;&gt;""</formula>
    </cfRule>
  </conditionalFormatting>
  <conditionalFormatting sqref="C22">
    <cfRule type="expression" dxfId="33" priority="34">
      <formula>$A$5&lt;&gt;""</formula>
    </cfRule>
  </conditionalFormatting>
  <conditionalFormatting sqref="C23">
    <cfRule type="expression" dxfId="32" priority="33">
      <formula>$A$5&lt;&gt;""</formula>
    </cfRule>
  </conditionalFormatting>
  <conditionalFormatting sqref="E7">
    <cfRule type="expression" dxfId="31" priority="32">
      <formula>$A$5&lt;&gt;""</formula>
    </cfRule>
  </conditionalFormatting>
  <conditionalFormatting sqref="E8">
    <cfRule type="expression" dxfId="30" priority="31">
      <formula>$A$5&lt;&gt;""</formula>
    </cfRule>
  </conditionalFormatting>
  <conditionalFormatting sqref="E9">
    <cfRule type="expression" dxfId="29" priority="30">
      <formula>$A$5&lt;&gt;""</formula>
    </cfRule>
  </conditionalFormatting>
  <conditionalFormatting sqref="E10">
    <cfRule type="expression" dxfId="28" priority="29">
      <formula>$A$5&lt;&gt;""</formula>
    </cfRule>
  </conditionalFormatting>
  <conditionalFormatting sqref="E11">
    <cfRule type="expression" dxfId="27" priority="28">
      <formula>$A$5&lt;&gt;""</formula>
    </cfRule>
  </conditionalFormatting>
  <conditionalFormatting sqref="E12">
    <cfRule type="expression" dxfId="26" priority="27">
      <formula>$A$5&lt;&gt;""</formula>
    </cfRule>
  </conditionalFormatting>
  <conditionalFormatting sqref="E13">
    <cfRule type="expression" dxfId="25" priority="26">
      <formula>$A$5&lt;&gt;""</formula>
    </cfRule>
  </conditionalFormatting>
  <conditionalFormatting sqref="E14">
    <cfRule type="expression" dxfId="24" priority="25">
      <formula>$A$5&lt;&gt;""</formula>
    </cfRule>
  </conditionalFormatting>
  <conditionalFormatting sqref="E15">
    <cfRule type="expression" dxfId="23" priority="24">
      <formula>$A$5&lt;&gt;""</formula>
    </cfRule>
  </conditionalFormatting>
  <conditionalFormatting sqref="E16">
    <cfRule type="expression" dxfId="22" priority="23">
      <formula>$A$5&lt;&gt;""</formula>
    </cfRule>
  </conditionalFormatting>
  <conditionalFormatting sqref="E17">
    <cfRule type="expression" dxfId="21" priority="22">
      <formula>$A$5&lt;&gt;""</formula>
    </cfRule>
  </conditionalFormatting>
  <conditionalFormatting sqref="E18">
    <cfRule type="expression" dxfId="20" priority="21">
      <formula>$A$5&lt;&gt;""</formula>
    </cfRule>
  </conditionalFormatting>
  <conditionalFormatting sqref="E19">
    <cfRule type="expression" dxfId="19" priority="20">
      <formula>$A$5&lt;&gt;""</formula>
    </cfRule>
  </conditionalFormatting>
  <conditionalFormatting sqref="E20">
    <cfRule type="expression" dxfId="18" priority="19">
      <formula>$A$5&lt;&gt;""</formula>
    </cfRule>
  </conditionalFormatting>
  <conditionalFormatting sqref="E21">
    <cfRule type="expression" dxfId="17" priority="18">
      <formula>$A$5&lt;&gt;""</formula>
    </cfRule>
  </conditionalFormatting>
  <conditionalFormatting sqref="E22">
    <cfRule type="expression" dxfId="16" priority="17">
      <formula>$A$5&lt;&gt;""</formula>
    </cfRule>
  </conditionalFormatting>
  <conditionalFormatting sqref="E23">
    <cfRule type="expression" dxfId="15" priority="16">
      <formula>$A$5&lt;&gt;""</formula>
    </cfRule>
  </conditionalFormatting>
  <conditionalFormatting sqref="I7">
    <cfRule type="expression" dxfId="14" priority="15">
      <formula>$A$6&lt;&gt;""</formula>
    </cfRule>
  </conditionalFormatting>
  <conditionalFormatting sqref="I8">
    <cfRule type="expression" dxfId="13" priority="14">
      <formula>$A$6&lt;&gt;""</formula>
    </cfRule>
  </conditionalFormatting>
  <conditionalFormatting sqref="I9">
    <cfRule type="expression" dxfId="12" priority="13">
      <formula>$A$6&lt;&gt;""</formula>
    </cfRule>
  </conditionalFormatting>
  <conditionalFormatting sqref="I10">
    <cfRule type="expression" dxfId="11" priority="12">
      <formula>$A$6&lt;&gt;""</formula>
    </cfRule>
  </conditionalFormatting>
  <conditionalFormatting sqref="I11">
    <cfRule type="expression" dxfId="10" priority="11">
      <formula>$A$6&lt;&gt;""</formula>
    </cfRule>
  </conditionalFormatting>
  <conditionalFormatting sqref="I12">
    <cfRule type="expression" dxfId="9" priority="10">
      <formula>$A$6&lt;&gt;""</formula>
    </cfRule>
  </conditionalFormatting>
  <conditionalFormatting sqref="I13">
    <cfRule type="expression" dxfId="8" priority="9">
      <formula>$A$6&lt;&gt;""</formula>
    </cfRule>
  </conditionalFormatting>
  <conditionalFormatting sqref="I14">
    <cfRule type="expression" dxfId="7" priority="8">
      <formula>$A$6&lt;&gt;""</formula>
    </cfRule>
  </conditionalFormatting>
  <conditionalFormatting sqref="I15">
    <cfRule type="expression" dxfId="6" priority="7">
      <formula>$A$6&lt;&gt;""</formula>
    </cfRule>
  </conditionalFormatting>
  <conditionalFormatting sqref="I16">
    <cfRule type="expression" dxfId="5" priority="6">
      <formula>$A$6&lt;&gt;""</formula>
    </cfRule>
  </conditionalFormatting>
  <conditionalFormatting sqref="I17">
    <cfRule type="expression" dxfId="4" priority="5">
      <formula>$A$6&lt;&gt;""</formula>
    </cfRule>
  </conditionalFormatting>
  <conditionalFormatting sqref="I18">
    <cfRule type="expression" dxfId="3" priority="4">
      <formula>$A$6&lt;&gt;""</formula>
    </cfRule>
  </conditionalFormatting>
  <conditionalFormatting sqref="I19">
    <cfRule type="expression" dxfId="2" priority="3">
      <formula>$A$6&lt;&gt;""</formula>
    </cfRule>
  </conditionalFormatting>
  <conditionalFormatting sqref="I20">
    <cfRule type="expression" dxfId="1" priority="2">
      <formula>$A$6&lt;&gt;""</formula>
    </cfRule>
  </conditionalFormatting>
  <conditionalFormatting sqref="I21">
    <cfRule type="expression" dxfId="0" priority="1">
      <formula>$A$6&lt;&gt;""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BGMD_fillin</vt:lpstr>
      <vt:lpstr>BGMD_3-choice</vt:lpstr>
      <vt:lpstr>BGMD choice assess</vt:lpstr>
      <vt:lpstr>Sheet1</vt:lpstr>
      <vt:lpstr>BGMD fillin assess</vt:lpstr>
      <vt:lpstr>BGMDmaster</vt:lpstr>
      <vt:lpstr>'BGMD_3-choice'!Print_Area</vt:lpstr>
      <vt:lpstr>BGMDmaster!Print_Area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2020-09-11T22:11:30Z</dcterms:modified>
  <cp:category/>
  <cp:contentStatus/>
</cp:coreProperties>
</file>