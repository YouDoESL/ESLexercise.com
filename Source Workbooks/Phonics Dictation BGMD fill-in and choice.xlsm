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13_ncr:1_{AB64D780-ECDE-4752-9A35-EF4DCA5D751F}" xr6:coauthVersionLast="43" xr6:coauthVersionMax="43" xr10:uidLastSave="{00000000-0000-0000-0000-000000000000}"/>
  <bookViews>
    <workbookView xWindow="-108" yWindow="-108" windowWidth="23256" windowHeight="12576" tabRatio="359" firstSheet="1" activeTab="2" xr2:uid="{00000000-000D-0000-FFFF-FFFF00000000}"/>
  </bookViews>
  <sheets>
    <sheet name="BGMD fillin" sheetId="7" r:id="rId1"/>
    <sheet name="BGMD 3-choice" sheetId="9" r:id="rId2"/>
    <sheet name="BGMD choice assess" sheetId="11" r:id="rId3"/>
    <sheet name="BGMD fillin assess" sheetId="12" r:id="rId4"/>
    <sheet name="BGMDmaster" sheetId="10" r:id="rId5"/>
  </sheets>
  <externalReferences>
    <externalReference r:id="rId6"/>
  </externalReferences>
  <definedNames>
    <definedName name="_xlnm.Print_Area" localSheetId="1">'BGMD 3-choice'!$A$1:$O$22</definedName>
    <definedName name="_xlnm.Print_Area" localSheetId="4">BGMDmaster!$A$1:$J$41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5" i="12" l="1"/>
  <c r="G24" i="12"/>
  <c r="G23" i="12"/>
  <c r="G22" i="12"/>
  <c r="G21" i="12"/>
  <c r="G20" i="12"/>
  <c r="G18" i="12"/>
  <c r="C19" i="12"/>
  <c r="C20" i="12" s="1"/>
  <c r="C21" i="12" s="1"/>
  <c r="C22" i="12" s="1"/>
  <c r="C23" i="12" s="1"/>
  <c r="C24" i="12" s="1"/>
  <c r="C25" i="12" s="1"/>
  <c r="C18" i="12"/>
  <c r="B19" i="11"/>
  <c r="B18" i="11"/>
  <c r="B17" i="11"/>
  <c r="B16" i="11"/>
  <c r="B15" i="11"/>
  <c r="D4" i="11"/>
  <c r="D5" i="11" s="1"/>
  <c r="D6" i="11" s="1"/>
  <c r="D7" i="11" s="1"/>
  <c r="D8" i="11" s="1"/>
  <c r="D9" i="11" s="1"/>
  <c r="D10" i="11" s="1"/>
  <c r="D11" i="11" s="1"/>
  <c r="D12" i="11" s="1"/>
  <c r="D13" i="11" s="1"/>
  <c r="D14" i="11" s="1"/>
  <c r="B4" i="11"/>
  <c r="F22" i="11"/>
  <c r="I9" i="11"/>
  <c r="L12" i="11"/>
  <c r="L7" i="11"/>
  <c r="I13" i="11"/>
  <c r="F20" i="11"/>
  <c r="F10" i="11"/>
  <c r="F11" i="11"/>
  <c r="L22" i="11"/>
  <c r="I11" i="11"/>
  <c r="L14" i="11"/>
  <c r="L8" i="11"/>
  <c r="L20" i="11"/>
  <c r="I10" i="11"/>
  <c r="F23" i="11"/>
  <c r="I14" i="11"/>
  <c r="F9" i="11"/>
  <c r="L13" i="11"/>
  <c r="I23" i="11"/>
  <c r="L21" i="11"/>
  <c r="F21" i="11"/>
  <c r="I12" i="11"/>
  <c r="B6" i="11" l="1"/>
  <c r="B5" i="11"/>
  <c r="B23" i="11"/>
  <c r="B10" i="11"/>
  <c r="B21" i="11"/>
  <c r="B9" i="11"/>
  <c r="B20" i="11"/>
  <c r="B8" i="11"/>
  <c r="B14" i="11"/>
  <c r="B7" i="11"/>
  <c r="B13" i="11"/>
  <c r="B12" i="11"/>
  <c r="B11" i="11"/>
  <c r="B22" i="11"/>
  <c r="G7" i="10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B8" i="10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B7" i="10"/>
  <c r="A23" i="11" l="1"/>
  <c r="C3" i="11" s="1"/>
  <c r="F9" i="7"/>
  <c r="H9" i="7" s="1"/>
  <c r="D7" i="9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D19" i="9" s="1"/>
  <c r="D20" i="9" s="1"/>
  <c r="D21" i="9" s="1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I9" i="9"/>
  <c r="E30" i="7"/>
  <c r="E34" i="7"/>
  <c r="F19" i="9"/>
  <c r="C18" i="7"/>
  <c r="C30" i="7"/>
  <c r="I17" i="9"/>
  <c r="F20" i="9"/>
  <c r="F10" i="9"/>
  <c r="I19" i="9"/>
  <c r="C19" i="7"/>
  <c r="C29" i="7"/>
  <c r="L11" i="9"/>
  <c r="L15" i="9"/>
  <c r="E11" i="7"/>
  <c r="E31" i="7"/>
  <c r="E35" i="7"/>
  <c r="C24" i="7"/>
  <c r="E39" i="7"/>
  <c r="E40" i="7"/>
  <c r="I18" i="9"/>
  <c r="E18" i="7"/>
  <c r="E33" i="7"/>
  <c r="I13" i="9"/>
  <c r="C15" i="7"/>
  <c r="C31" i="7"/>
  <c r="E16" i="7"/>
  <c r="E19" i="7"/>
  <c r="E23" i="7"/>
  <c r="I16" i="9"/>
  <c r="L21" i="9"/>
  <c r="L13" i="9"/>
  <c r="C12" i="7"/>
  <c r="F14" i="9"/>
  <c r="I21" i="9"/>
  <c r="E42" i="7"/>
  <c r="F9" i="9"/>
  <c r="E26" i="7"/>
  <c r="C28" i="7"/>
  <c r="C32" i="7"/>
  <c r="E12" i="7"/>
  <c r="C14" i="7"/>
  <c r="I15" i="9"/>
  <c r="I14" i="9"/>
  <c r="C34" i="7"/>
  <c r="L14" i="9"/>
  <c r="C36" i="7"/>
  <c r="E15" i="7"/>
  <c r="L8" i="9"/>
  <c r="E14" i="7"/>
  <c r="C16" i="7"/>
  <c r="C20" i="7"/>
  <c r="F13" i="9"/>
  <c r="E27" i="7"/>
  <c r="E13" i="7"/>
  <c r="E17" i="7"/>
  <c r="C35" i="7"/>
  <c r="C21" i="7"/>
  <c r="C33" i="7"/>
  <c r="E10" i="7"/>
  <c r="C23" i="7"/>
  <c r="I20" i="9"/>
  <c r="L9" i="9"/>
  <c r="F11" i="9"/>
  <c r="C10" i="7"/>
  <c r="L20" i="9"/>
  <c r="F15" i="9"/>
  <c r="L16" i="9"/>
  <c r="E22" i="7"/>
  <c r="I11" i="9"/>
  <c r="E25" i="7"/>
  <c r="E29" i="7"/>
  <c r="L19" i="9"/>
  <c r="C11" i="7"/>
  <c r="I8" i="9"/>
  <c r="I12" i="9"/>
  <c r="L12" i="9"/>
  <c r="C41" i="7"/>
  <c r="C39" i="7"/>
  <c r="F8" i="9"/>
  <c r="E36" i="7"/>
  <c r="C40" i="7"/>
  <c r="F12" i="9"/>
  <c r="C38" i="7"/>
  <c r="E20" i="7"/>
  <c r="C22" i="7"/>
  <c r="C26" i="7"/>
  <c r="E38" i="7"/>
  <c r="F18" i="9"/>
  <c r="E24" i="7"/>
  <c r="E28" i="7"/>
  <c r="I10" i="9"/>
  <c r="L18" i="9"/>
  <c r="F17" i="9"/>
  <c r="F21" i="9"/>
  <c r="C13" i="7"/>
  <c r="E37" i="7"/>
  <c r="E41" i="7"/>
  <c r="C42" i="7"/>
  <c r="L10" i="9"/>
  <c r="C27" i="7"/>
  <c r="C37" i="7"/>
  <c r="C17" i="7"/>
  <c r="F16" i="9"/>
  <c r="C25" i="7"/>
  <c r="L17" i="9"/>
  <c r="E32" i="7"/>
  <c r="E21" i="7"/>
  <c r="F42" i="7" l="1"/>
  <c r="H42" i="7" s="1"/>
  <c r="F41" i="7"/>
  <c r="H41" i="7" s="1"/>
  <c r="F40" i="7"/>
  <c r="H40" i="7" s="1"/>
  <c r="F39" i="7"/>
  <c r="H39" i="7" s="1"/>
  <c r="F38" i="7"/>
  <c r="H38" i="7" s="1"/>
  <c r="F37" i="7"/>
  <c r="H37" i="7" s="1"/>
  <c r="F36" i="7"/>
  <c r="H36" i="7" s="1"/>
  <c r="F35" i="7"/>
  <c r="H35" i="7" s="1"/>
  <c r="F34" i="7"/>
  <c r="H34" i="7" s="1"/>
  <c r="F33" i="7"/>
  <c r="H33" i="7" s="1"/>
  <c r="F32" i="7"/>
  <c r="H32" i="7" s="1"/>
  <c r="F31" i="7"/>
  <c r="H31" i="7" s="1"/>
  <c r="F30" i="7"/>
  <c r="H30" i="7" s="1"/>
  <c r="F29" i="7"/>
  <c r="H29" i="7" s="1"/>
  <c r="F28" i="7"/>
  <c r="H28" i="7" s="1"/>
  <c r="F27" i="7"/>
  <c r="H27" i="7" s="1"/>
  <c r="F26" i="7"/>
  <c r="H26" i="7" s="1"/>
  <c r="F25" i="7"/>
  <c r="H25" i="7" s="1"/>
  <c r="F24" i="7"/>
  <c r="H24" i="7" s="1"/>
  <c r="F23" i="7"/>
  <c r="H23" i="7" s="1"/>
  <c r="F22" i="7"/>
  <c r="H22" i="7" s="1"/>
  <c r="F21" i="7"/>
  <c r="H21" i="7" s="1"/>
  <c r="F20" i="7"/>
  <c r="H20" i="7" s="1"/>
  <c r="F19" i="7"/>
  <c r="H19" i="7" s="1"/>
  <c r="F18" i="7"/>
  <c r="H18" i="7" s="1"/>
  <c r="F17" i="7"/>
  <c r="H17" i="7" s="1"/>
  <c r="F16" i="7"/>
  <c r="H16" i="7" s="1"/>
  <c r="F15" i="7"/>
  <c r="H15" i="7" s="1"/>
  <c r="F14" i="7"/>
  <c r="H14" i="7" s="1"/>
  <c r="F13" i="7"/>
  <c r="H13" i="7" s="1"/>
  <c r="F12" i="7"/>
  <c r="H12" i="7" s="1"/>
  <c r="F11" i="7"/>
  <c r="H11" i="7" s="1"/>
  <c r="F10" i="7"/>
  <c r="H10" i="7" s="1"/>
  <c r="B7" i="9"/>
  <c r="B9" i="9"/>
  <c r="B11" i="9"/>
  <c r="B12" i="9"/>
  <c r="B13" i="9"/>
  <c r="B14" i="9"/>
  <c r="B15" i="9"/>
  <c r="B16" i="9"/>
  <c r="B17" i="9"/>
  <c r="B18" i="9"/>
  <c r="B19" i="9"/>
  <c r="B20" i="9"/>
  <c r="B21" i="9"/>
  <c r="B8" i="9"/>
  <c r="B10" i="9"/>
  <c r="A21" i="9" l="1"/>
  <c r="G43" i="7"/>
</calcChain>
</file>

<file path=xl/sharedStrings.xml><?xml version="1.0" encoding="utf-8"?>
<sst xmlns="http://schemas.openxmlformats.org/spreadsheetml/2006/main" count="416" uniqueCount="93">
  <si>
    <t>Type what you hear:</t>
  </si>
  <si>
    <t>√</t>
  </si>
  <si>
    <t>b</t>
  </si>
  <si>
    <t>a</t>
  </si>
  <si>
    <t>g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</si>
  <si>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</si>
  <si>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</si>
  <si>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</si>
  <si>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</si>
  <si>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</si>
  <si>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</si>
  <si>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</si>
  <si>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</si>
  <si>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</si>
  <si>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</si>
  <si>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</si>
  <si>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</si>
  <si>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</si>
  <si>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</si>
  <si>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</si>
  <si>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</si>
  <si>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</si>
  <si>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</si>
  <si>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</si>
  <si>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</si>
  <si>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</si>
  <si>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</si>
  <si>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</si>
  <si>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</si>
  <si>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</si>
  <si>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</si>
  <si>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</si>
  <si>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</si>
  <si>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</si>
  <si>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</si>
  <si>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</si>
  <si>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</si>
  <si>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</si>
  <si>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</si>
  <si>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</si>
  <si>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</si>
  <si>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i</t>
  </si>
  <si>
    <t>u</t>
  </si>
  <si>
    <t>#end</t>
  </si>
  <si>
    <t>Howard Area Community Center -- ESL</t>
  </si>
  <si>
    <t>Mark 'y' next to the word you hear:</t>
  </si>
  <si>
    <t>fgh</t>
  </si>
  <si>
    <t>y</t>
  </si>
  <si>
    <t>big</t>
  </si>
  <si>
    <t>gab</t>
  </si>
  <si>
    <t>dab</t>
  </si>
  <si>
    <t>dad</t>
  </si>
  <si>
    <t>bam</t>
  </si>
  <si>
    <t>gag</t>
  </si>
  <si>
    <t>dam</t>
  </si>
  <si>
    <t>bad</t>
  </si>
  <si>
    <t>bed</t>
  </si>
  <si>
    <t>dem</t>
  </si>
  <si>
    <t>beg</t>
  </si>
  <si>
    <t>did</t>
  </si>
  <si>
    <t>mum</t>
  </si>
  <si>
    <t>bid</t>
  </si>
  <si>
    <t>gig</t>
  </si>
  <si>
    <t>bib</t>
  </si>
  <si>
    <t>dim</t>
  </si>
  <si>
    <t>bob</t>
  </si>
  <si>
    <t>mod</t>
  </si>
  <si>
    <t>gob</t>
  </si>
  <si>
    <t>mob</t>
  </si>
  <si>
    <t>gum</t>
  </si>
  <si>
    <t>mug</t>
  </si>
  <si>
    <t>dud</t>
  </si>
  <si>
    <t>bum</t>
  </si>
  <si>
    <t>bub</t>
  </si>
  <si>
    <t>bud</t>
  </si>
  <si>
    <t>dub</t>
  </si>
  <si>
    <t>e</t>
  </si>
  <si>
    <t>o</t>
  </si>
  <si>
    <t>Phonics Dictation with immediate feedback (trial and error)</t>
  </si>
  <si>
    <t>Phonics 3-choice with immediate feedback (trial and error)</t>
  </si>
  <si>
    <t>BGMD fill-in</t>
  </si>
  <si>
    <t>BGMD 3-choice</t>
  </si>
  <si>
    <t>3-letter words for BGMD exercises -- ESL4, Stan Levin</t>
  </si>
  <si>
    <t>Teacher list:</t>
  </si>
  <si>
    <t>here</t>
  </si>
  <si>
    <t>sum</t>
  </si>
  <si>
    <t>rum</t>
  </si>
  <si>
    <t>cud</t>
  </si>
  <si>
    <t>mid</t>
  </si>
  <si>
    <t>Student:</t>
  </si>
  <si>
    <t>Galina</t>
  </si>
  <si>
    <t>m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</si>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</sst>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8"/>
      <color theme="0"/>
      <name val="Calibri"/>
      <family val="2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222222"/>
      <name val="Arial"/>
      <family val="2"/>
    </font>
    <font>
      <sz val="16"/>
      <color theme="0"/>
      <name val="Calibri Light"/>
      <family val="2"/>
      <scheme val="major"/>
    </font>
    <font>
      <sz val="14"/>
      <name val="Calibri"/>
      <family val="2"/>
      <scheme val="minor"/>
    </font>
    <font>
      <sz val="16"/>
      <color rgb="FF222222"/>
      <name val="Calibri"/>
      <family val="2"/>
      <scheme val="minor"/>
    </font>
    <font>
      <i/>
      <sz val="11"/>
      <color rgb="FFC0C0C0"/>
      <name val="Calibri"/>
      <family val="2"/>
      <scheme val="minor"/>
    </font>
    <font>
      <u/>
      <sz val="11"/>
      <color rgb="FFC0C0C0"/>
      <name val="Calibri"/>
      <family val="2"/>
      <scheme val="minor"/>
    </font>
    <font>
      <b/>
      <sz val="16"/>
      <color rgb="FF92D050"/>
      <name val="Calibri"/>
      <family val="2"/>
      <scheme val="minor"/>
    </font>
    <font>
      <i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6"/>
      <color rgb="FFEAEAEA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i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136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2" borderId="0" xfId="0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/>
    <xf numFmtId="1" fontId="1" fillId="0" borderId="0" xfId="0" applyNumberFormat="1" applyFont="1" applyAlignment="1" applyProtection="1">
      <alignment horizontal="center"/>
    </xf>
    <xf numFmtId="0" fontId="13" fillId="0" borderId="0" xfId="0" applyFont="1"/>
    <xf numFmtId="0" fontId="3" fillId="0" borderId="0" xfId="0" applyFont="1"/>
    <xf numFmtId="0" fontId="16" fillId="0" borderId="0" xfId="0" applyFont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0" fontId="8" fillId="2" borderId="1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left"/>
    </xf>
    <xf numFmtId="0" fontId="20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/>
    </xf>
    <xf numFmtId="1" fontId="2" fillId="2" borderId="0" xfId="0" applyNumberFormat="1" applyFont="1" applyFill="1" applyBorder="1" applyAlignment="1" applyProtection="1">
      <alignment horizontal="center"/>
    </xf>
    <xf numFmtId="0" fontId="20" fillId="2" borderId="0" xfId="0" applyFont="1" applyFill="1" applyBorder="1" applyAlignment="1" applyProtection="1">
      <alignment horizontal="center"/>
    </xf>
    <xf numFmtId="0" fontId="21" fillId="2" borderId="0" xfId="0" applyFont="1" applyFill="1" applyBorder="1" applyAlignment="1" applyProtection="1">
      <alignment horizontal="center"/>
      <protection locked="0"/>
    </xf>
    <xf numFmtId="0" fontId="7" fillId="2" borderId="0" xfId="0" applyFont="1" applyFill="1" applyBorder="1" applyAlignment="1" applyProtection="1">
      <alignment horizontal="left"/>
    </xf>
    <xf numFmtId="0" fontId="22" fillId="0" borderId="0" xfId="0" applyFont="1" applyBorder="1" applyAlignment="1">
      <alignment vertical="center" wrapText="1"/>
    </xf>
    <xf numFmtId="0" fontId="0" fillId="2" borderId="0" xfId="0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9" fontId="8" fillId="0" borderId="0" xfId="2" applyFont="1" applyAlignment="1">
      <alignment horizontal="center"/>
    </xf>
    <xf numFmtId="0" fontId="2" fillId="0" borderId="0" xfId="0" applyFont="1"/>
    <xf numFmtId="0" fontId="2" fillId="2" borderId="0" xfId="0" applyFont="1" applyFill="1" applyBorder="1" applyAlignment="1">
      <alignment horizontal="left"/>
    </xf>
    <xf numFmtId="0" fontId="20" fillId="2" borderId="0" xfId="0" applyFont="1" applyFill="1" applyBorder="1" applyAlignment="1" applyProtection="1">
      <alignment horizontal="left"/>
    </xf>
    <xf numFmtId="1" fontId="2" fillId="2" borderId="0" xfId="0" applyNumberFormat="1" applyFont="1" applyFill="1" applyBorder="1" applyAlignment="1">
      <alignment horizontal="center"/>
    </xf>
    <xf numFmtId="0" fontId="21" fillId="2" borderId="0" xfId="0" applyFont="1" applyFill="1" applyBorder="1" applyAlignment="1" applyProtection="1">
      <alignment horizontal="center"/>
    </xf>
    <xf numFmtId="0" fontId="23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 applyProtection="1">
      <alignment horizontal="left"/>
    </xf>
    <xf numFmtId="1" fontId="5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/>
    </xf>
    <xf numFmtId="0" fontId="24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0" fontId="25" fillId="0" borderId="1" xfId="0" applyFont="1" applyBorder="1" applyAlignment="1">
      <alignment horizontal="center" vertical="center" wrapText="1"/>
    </xf>
    <xf numFmtId="0" fontId="20" fillId="0" borderId="0" xfId="0" applyFont="1" applyBorder="1" applyAlignment="1" applyProtection="1">
      <alignment horizontal="left"/>
    </xf>
    <xf numFmtId="0" fontId="21" fillId="0" borderId="0" xfId="0" applyFont="1" applyProtection="1"/>
    <xf numFmtId="0" fontId="28" fillId="0" borderId="0" xfId="0" applyFont="1" applyAlignment="1" applyProtection="1">
      <alignment horizontal="left"/>
    </xf>
    <xf numFmtId="0" fontId="8" fillId="3" borderId="1" xfId="0" applyFont="1" applyFill="1" applyBorder="1" applyAlignment="1" applyProtection="1">
      <alignment horizontal="center"/>
    </xf>
    <xf numFmtId="0" fontId="30" fillId="0" borderId="0" xfId="0" applyFont="1" applyAlignment="1" applyProtection="1">
      <alignment horizontal="left"/>
    </xf>
    <xf numFmtId="0" fontId="30" fillId="0" borderId="0" xfId="0" applyFont="1" applyAlignment="1">
      <alignment horizontal="left"/>
    </xf>
    <xf numFmtId="0" fontId="8" fillId="3" borderId="1" xfId="0" applyFont="1" applyFill="1" applyBorder="1" applyAlignment="1" applyProtection="1">
      <alignment horizontal="center"/>
      <protection locked="0"/>
    </xf>
    <xf numFmtId="0" fontId="26" fillId="0" borderId="0" xfId="0" applyFont="1" applyProtection="1"/>
    <xf numFmtId="0" fontId="10" fillId="0" borderId="0" xfId="0" applyFont="1" applyAlignment="1" applyProtection="1">
      <alignment horizontal="right"/>
    </xf>
    <xf numFmtId="0" fontId="27" fillId="0" borderId="0" xfId="1" applyFont="1" applyBorder="1" applyAlignment="1" applyProtection="1">
      <alignment horizontal="center"/>
    </xf>
    <xf numFmtId="0" fontId="6" fillId="0" borderId="0" xfId="0" applyFont="1" applyProtection="1"/>
    <xf numFmtId="0" fontId="29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center"/>
    </xf>
    <xf numFmtId="0" fontId="13" fillId="0" borderId="0" xfId="0" applyFont="1" applyAlignment="1" applyProtection="1"/>
    <xf numFmtId="0" fontId="14" fillId="0" borderId="0" xfId="0" applyFont="1" applyAlignment="1" applyProtection="1"/>
    <xf numFmtId="0" fontId="14" fillId="2" borderId="0" xfId="0" applyFont="1" applyFill="1" applyBorder="1" applyProtection="1"/>
    <xf numFmtId="0" fontId="13" fillId="0" borderId="0" xfId="0" applyFont="1" applyProtection="1"/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5" fillId="2" borderId="0" xfId="0" applyFont="1" applyFill="1" applyBorder="1" applyProtection="1"/>
    <xf numFmtId="0" fontId="0" fillId="0" borderId="0" xfId="0" applyFont="1" applyProtection="1"/>
    <xf numFmtId="0" fontId="11" fillId="0" borderId="0" xfId="0" applyFont="1" applyProtection="1"/>
    <xf numFmtId="1" fontId="1" fillId="0" borderId="0" xfId="0" applyNumberFormat="1" applyFont="1" applyAlignment="1" applyProtection="1">
      <alignment horizontal="center"/>
    </xf>
    <xf numFmtId="0" fontId="31" fillId="0" borderId="0" xfId="0" applyFont="1" applyAlignment="1" applyProtection="1">
      <alignment horizontal="center"/>
    </xf>
    <xf numFmtId="0" fontId="27" fillId="0" borderId="3" xfId="1" applyFont="1" applyBorder="1" applyAlignment="1" applyProtection="1">
      <alignment horizontal="left"/>
      <protection locked="0"/>
    </xf>
    <xf numFmtId="0" fontId="8" fillId="2" borderId="0" xfId="0" applyFont="1" applyFill="1" applyBorder="1" applyAlignment="1" applyProtection="1">
      <alignment horizontal="center"/>
    </xf>
    <xf numFmtId="0" fontId="9" fillId="0" borderId="2" xfId="1" applyBorder="1" applyProtection="1">
      <protection locked="0"/>
    </xf>
    <xf numFmtId="1" fontId="10" fillId="0" borderId="0" xfId="0" applyNumberFormat="1" applyFont="1" applyAlignment="1" applyProtection="1">
      <alignment horizontal="center"/>
    </xf>
    <xf numFmtId="0" fontId="9" fillId="0" borderId="0" xfId="1" applyBorder="1" applyProtection="1"/>
    <xf numFmtId="1" fontId="13" fillId="0" borderId="0" xfId="0" applyNumberFormat="1" applyFont="1" applyAlignment="1" applyProtection="1">
      <alignment horizontal="center"/>
    </xf>
    <xf numFmtId="0" fontId="19" fillId="0" borderId="0" xfId="0" applyFont="1" applyProtection="1"/>
    <xf numFmtId="1" fontId="5" fillId="0" borderId="0" xfId="0" applyNumberFormat="1" applyFont="1" applyAlignment="1" applyProtection="1">
      <alignment horizontal="center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17" fillId="0" borderId="0" xfId="0" applyFont="1" applyAlignment="1" applyProtection="1">
      <alignment horizontal="center"/>
    </xf>
    <xf numFmtId="0" fontId="5" fillId="2" borderId="0" xfId="0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25" fillId="0" borderId="1" xfId="0" applyFont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right"/>
    </xf>
    <xf numFmtId="0" fontId="8" fillId="0" borderId="0" xfId="0" applyFont="1" applyBorder="1" applyAlignment="1" applyProtection="1">
      <alignment horizontal="center"/>
    </xf>
    <xf numFmtId="0" fontId="1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26" fillId="0" borderId="0" xfId="0" applyFont="1" applyAlignment="1" applyProtection="1">
      <alignment horizontal="center"/>
    </xf>
    <xf numFmtId="0" fontId="26" fillId="0" borderId="0" xfId="0" applyFont="1" applyAlignment="1" applyProtection="1">
      <alignment horizontal="right"/>
    </xf>
    <xf numFmtId="0" fontId="27" fillId="0" borderId="0" xfId="1" applyFont="1" applyBorder="1" applyAlignment="1" applyProtection="1">
      <alignment horizontal="left"/>
      <protection locked="0"/>
    </xf>
    <xf numFmtId="9" fontId="20" fillId="0" borderId="0" xfId="2" applyFont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1" fontId="1" fillId="0" borderId="0" xfId="0" applyNumberFormat="1" applyFont="1" applyAlignment="1" applyProtection="1">
      <alignment horizontal="right"/>
    </xf>
    <xf numFmtId="9" fontId="8" fillId="0" borderId="0" xfId="2" applyFont="1" applyAlignment="1">
      <alignment horizontal="right"/>
    </xf>
    <xf numFmtId="1" fontId="1" fillId="2" borderId="0" xfId="0" applyNumberFormat="1" applyFont="1" applyFill="1" applyAlignment="1" applyProtection="1">
      <alignment horizontal="right"/>
    </xf>
    <xf numFmtId="9" fontId="1" fillId="2" borderId="0" xfId="2" applyFont="1" applyFill="1" applyAlignment="1" applyProtection="1">
      <alignment horizontal="right"/>
    </xf>
    <xf numFmtId="0" fontId="33" fillId="0" borderId="0" xfId="0" applyFont="1"/>
    <xf numFmtId="0" fontId="5" fillId="0" borderId="0" xfId="0" applyFont="1"/>
    <xf numFmtId="0" fontId="34" fillId="0" borderId="0" xfId="0" applyFont="1" applyProtection="1"/>
    <xf numFmtId="1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Protection="1"/>
    <xf numFmtId="0" fontId="30" fillId="0" borderId="0" xfId="0" applyFont="1" applyBorder="1" applyAlignment="1" applyProtection="1">
      <alignment horizontal="left"/>
    </xf>
    <xf numFmtId="0" fontId="8" fillId="3" borderId="0" xfId="0" applyFont="1" applyFill="1" applyBorder="1" applyAlignment="1" applyProtection="1">
      <alignment horizontal="center"/>
    </xf>
    <xf numFmtId="0" fontId="28" fillId="0" borderId="0" xfId="0" applyFont="1" applyBorder="1" applyAlignment="1" applyProtection="1">
      <alignment horizontal="left"/>
    </xf>
    <xf numFmtId="0" fontId="17" fillId="4" borderId="0" xfId="0" applyFont="1" applyFill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0" fontId="8" fillId="4" borderId="0" xfId="0" applyFont="1" applyFill="1" applyBorder="1" applyAlignment="1" applyProtection="1">
      <alignment horizontal="center"/>
    </xf>
    <xf numFmtId="0" fontId="0" fillId="0" borderId="0" xfId="0" applyBorder="1"/>
    <xf numFmtId="0" fontId="5" fillId="0" borderId="0" xfId="0" applyFont="1" applyBorder="1"/>
    <xf numFmtId="0" fontId="13" fillId="0" borderId="0" xfId="0" applyFont="1" applyAlignment="1" applyProtection="1"/>
    <xf numFmtId="1" fontId="1" fillId="0" borderId="0" xfId="0" applyNumberFormat="1" applyFont="1" applyAlignment="1" applyProtection="1">
      <alignment horizontal="right"/>
    </xf>
    <xf numFmtId="0" fontId="3" fillId="0" borderId="0" xfId="0" applyFont="1" applyAlignment="1" applyProtection="1">
      <alignment horizontal="left"/>
    </xf>
    <xf numFmtId="1" fontId="24" fillId="2" borderId="0" xfId="0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3" fillId="0" borderId="0" xfId="0" applyFont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0" fontId="1" fillId="3" borderId="0" xfId="0" applyFont="1" applyFill="1" applyAlignment="1">
      <alignment horizontal="right"/>
    </xf>
    <xf numFmtId="0" fontId="13" fillId="0" borderId="0" xfId="0" applyFont="1" applyAlignment="1" applyProtection="1">
      <alignment horizontal="left"/>
    </xf>
    <xf numFmtId="0" fontId="0" fillId="0" borderId="0" xfId="0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748">
    <dxf>
      <font>
        <color auto="1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C0C0C0"/>
      <color rgb="FFEAEAEA"/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kaye.com/HACC/BGMDmaster.ht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aye.com/HACC/BGMD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U51"/>
  <sheetViews>
    <sheetView showGridLines="0" workbookViewId="0">
      <selection activeCell="A6" sqref="A6:G16"/>
    </sheetView>
  </sheetViews>
  <sheetFormatPr defaultRowHeight="21" x14ac:dyDescent="0.4"/>
  <cols>
    <col min="1" max="1" width="12.77734375" customWidth="1"/>
    <col min="2" max="2" width="5.77734375" style="16" customWidth="1"/>
    <col min="3" max="3" width="3.44140625" customWidth="1"/>
    <col min="4" max="4" width="3.33203125" customWidth="1"/>
    <col min="5" max="5" width="3" customWidth="1"/>
    <col min="6" max="6" width="9.77734375" style="60" customWidth="1"/>
    <col min="7" max="7" width="9.77734375" style="44" customWidth="1"/>
    <col min="8" max="8" width="5.77734375" style="40" customWidth="1"/>
    <col min="9" max="9" width="3.44140625" style="19" customWidth="1"/>
    <col min="10" max="10" width="9.109375" style="20" customWidth="1"/>
    <col min="11" max="11" width="3.44140625" style="10" customWidth="1"/>
    <col min="12" max="12" width="3.44140625" style="19" customWidth="1"/>
    <col min="13" max="13" width="9.109375" style="14" customWidth="1"/>
    <col min="14" max="14" width="6.77734375" customWidth="1"/>
    <col min="15" max="15" width="10.21875" style="10" customWidth="1"/>
    <col min="16" max="16" width="8.88671875" style="13"/>
  </cols>
  <sheetData>
    <row r="1" spans="1:21" x14ac:dyDescent="0.4">
      <c r="A1" s="105" t="s">
        <v>83</v>
      </c>
      <c r="B1" s="83" t="s">
        <v>84</v>
      </c>
    </row>
    <row r="3" spans="1:21" s="21" customFormat="1" ht="21" customHeight="1" x14ac:dyDescent="0.4">
      <c r="A3" s="62"/>
      <c r="B3" s="63"/>
      <c r="D3" s="64"/>
      <c r="E3" s="65" t="s">
        <v>1</v>
      </c>
      <c r="F3" s="66"/>
      <c r="G3" s="44"/>
      <c r="H3" s="80"/>
      <c r="I3" s="69"/>
      <c r="J3" s="70"/>
      <c r="K3" s="68"/>
      <c r="O3" s="67"/>
      <c r="P3" s="67"/>
      <c r="Q3" s="30" t="s">
        <v>46</v>
      </c>
      <c r="R3" s="67"/>
      <c r="S3" s="67"/>
    </row>
    <row r="4" spans="1:21" s="23" customFormat="1" ht="21" customHeight="1" x14ac:dyDescent="0.45">
      <c r="A4" s="106"/>
      <c r="B4" s="126" t="s">
        <v>44</v>
      </c>
      <c r="C4" s="126"/>
      <c r="D4" s="126"/>
      <c r="E4" s="126"/>
      <c r="F4" s="126"/>
      <c r="G4" s="126"/>
      <c r="H4" s="126"/>
      <c r="I4" s="126"/>
      <c r="J4" s="126"/>
      <c r="K4" s="71"/>
      <c r="L4" s="72"/>
      <c r="M4" s="71"/>
      <c r="N4" s="71"/>
      <c r="O4" s="71"/>
      <c r="P4" s="73"/>
      <c r="Q4" s="74"/>
      <c r="R4" s="74"/>
      <c r="S4" s="74"/>
    </row>
    <row r="5" spans="1:21" s="24" customFormat="1" ht="21" customHeight="1" x14ac:dyDescent="0.35">
      <c r="A5" s="75"/>
      <c r="B5" s="76"/>
      <c r="C5" s="128" t="s">
        <v>78</v>
      </c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75"/>
      <c r="O5" s="6"/>
      <c r="P5" s="78"/>
      <c r="Q5" s="75"/>
      <c r="R5" s="75"/>
      <c r="S5" s="75"/>
    </row>
    <row r="6" spans="1:21" x14ac:dyDescent="0.4">
      <c r="A6" s="1"/>
      <c r="B6" s="15"/>
      <c r="C6" s="3"/>
      <c r="D6" s="3"/>
      <c r="E6" s="3"/>
      <c r="F6" s="59"/>
      <c r="H6" s="4"/>
      <c r="I6" s="17"/>
      <c r="J6" s="38"/>
      <c r="K6" s="5"/>
      <c r="L6" s="17"/>
      <c r="M6" s="37"/>
      <c r="N6" s="7"/>
      <c r="O6" s="5"/>
      <c r="P6" s="11"/>
      <c r="Q6" s="2"/>
      <c r="R6" s="2"/>
      <c r="S6" s="2"/>
    </row>
    <row r="7" spans="1:21" x14ac:dyDescent="0.4">
      <c r="A7" s="127" t="s">
        <v>0</v>
      </c>
      <c r="B7" s="127"/>
      <c r="C7" s="127"/>
      <c r="D7" s="127"/>
      <c r="E7" s="127"/>
      <c r="F7" s="59"/>
      <c r="G7" s="80"/>
      <c r="H7" s="4"/>
      <c r="I7" s="17"/>
      <c r="J7" s="38"/>
      <c r="K7" s="5"/>
      <c r="L7" s="17"/>
      <c r="M7" s="1"/>
      <c r="N7" s="2"/>
      <c r="O7" s="5"/>
      <c r="P7" s="11"/>
      <c r="Q7" s="2"/>
      <c r="R7" s="2"/>
      <c r="S7" s="2"/>
    </row>
    <row r="8" spans="1:21" x14ac:dyDescent="0.4">
      <c r="A8" s="79"/>
      <c r="B8" s="52"/>
      <c r="C8" s="79"/>
      <c r="D8" s="79"/>
      <c r="E8" s="79"/>
      <c r="F8" s="59"/>
      <c r="H8" s="4"/>
      <c r="I8" s="17"/>
      <c r="J8" s="38"/>
      <c r="K8" s="5"/>
      <c r="L8" s="17"/>
      <c r="M8" s="1"/>
      <c r="N8" s="2"/>
      <c r="O8" s="5"/>
      <c r="P8" s="11"/>
      <c r="Q8" s="2"/>
      <c r="R8" s="2"/>
      <c r="S8" s="2"/>
    </row>
    <row r="9" spans="1:21" x14ac:dyDescent="0.4">
      <c r="A9" s="51"/>
      <c r="B9" s="52" t="str">
        <f>CONCATENATE(B8+1,".")</f>
        <v>1.</v>
      </c>
      <c r="C9" s="58" t="s">
        <v>4</v>
      </c>
      <c r="D9" s="28" t="s">
        <v>3</v>
      </c>
      <c r="E9" s="58" t="s">
        <v>2</v>
      </c>
      <c r="F9" s="57" t="str">
        <f>IF(CONCATENATE(C9,D9,E9)=G9,$E$3,"")</f>
        <v>√</v>
      </c>
      <c r="G9" s="33" t="s">
        <v>49</v>
      </c>
      <c r="H9" s="32">
        <f>IF(F9=$E$3,1,0)</f>
        <v>1</v>
      </c>
      <c r="I9" s="35"/>
      <c r="J9" s="33"/>
      <c r="K9" s="44"/>
      <c r="L9" s="35"/>
      <c r="M9" s="33"/>
      <c r="N9" s="44"/>
      <c r="O9" s="9"/>
      <c r="P9" s="29"/>
      <c r="Q9" s="2"/>
      <c r="R9" s="18" t="s">
        <v>5</v>
      </c>
      <c r="S9" s="18" t="s">
        <v>6</v>
      </c>
      <c r="T9" s="18" t="s">
        <v>5</v>
      </c>
      <c r="U9" s="12" t="s">
        <v>33</v>
      </c>
    </row>
    <row r="10" spans="1:21" x14ac:dyDescent="0.4">
      <c r="A10" s="51"/>
      <c r="B10" s="52" t="str">
        <f t="shared" ref="B10:B42" si="0">CONCATENATE(B9+1,".")</f>
        <v>2.</v>
      </c>
      <c r="C10" s="61" t="str">
        <f>[1]!wwsInput()</f>
        <v/>
      </c>
      <c r="D10" s="28" t="s">
        <v>3</v>
      </c>
      <c r="E10" s="61" t="str">
        <f>[1]!wwsInput()</f>
        <v/>
      </c>
      <c r="F10" s="57" t="str">
        <f t="shared" ref="F10:F42" si="1">IF(CONCATENATE(C10,D10,E10)=G10,$E$3,"")</f>
        <v/>
      </c>
      <c r="G10" s="33" t="s">
        <v>30</v>
      </c>
      <c r="H10" s="32">
        <f t="shared" ref="H10:H42" si="2">IF(F10=$E$3,1,0)</f>
        <v>0</v>
      </c>
      <c r="I10" s="35"/>
      <c r="J10" s="33"/>
      <c r="K10" s="44"/>
      <c r="L10" s="35"/>
      <c r="M10" s="33"/>
      <c r="N10" s="44"/>
      <c r="O10" s="9"/>
      <c r="P10" s="29"/>
      <c r="Q10" s="2"/>
      <c r="R10" s="18" t="s">
        <v>7</v>
      </c>
      <c r="S10" s="18" t="s">
        <v>8</v>
      </c>
      <c r="T10" s="18" t="s">
        <v>9</v>
      </c>
      <c r="U10" s="12" t="s">
        <v>25</v>
      </c>
    </row>
    <row r="11" spans="1:21" x14ac:dyDescent="0.4">
      <c r="A11" s="51"/>
      <c r="B11" s="52" t="str">
        <f t="shared" si="0"/>
        <v>3.</v>
      </c>
      <c r="C11" s="61" t="str">
        <f>[1]!wwsInput()</f>
        <v/>
      </c>
      <c r="D11" s="28" t="s">
        <v>3</v>
      </c>
      <c r="E11" s="61" t="str">
        <f>[1]!wwsInput()</f>
        <v/>
      </c>
      <c r="F11" s="57" t="str">
        <f t="shared" si="1"/>
        <v/>
      </c>
      <c r="G11" s="33" t="s">
        <v>50</v>
      </c>
      <c r="H11" s="32">
        <f t="shared" si="2"/>
        <v>0</v>
      </c>
      <c r="I11" s="35"/>
      <c r="J11" s="33"/>
      <c r="K11" s="44"/>
      <c r="L11" s="35"/>
      <c r="M11" s="33"/>
      <c r="N11" s="44"/>
      <c r="O11" s="9"/>
      <c r="P11" s="29"/>
      <c r="Q11" s="2"/>
      <c r="R11" s="18" t="s">
        <v>9</v>
      </c>
      <c r="S11" s="18" t="s">
        <v>10</v>
      </c>
      <c r="T11" s="18" t="s">
        <v>7</v>
      </c>
      <c r="U11" s="12" t="s">
        <v>13</v>
      </c>
    </row>
    <row r="12" spans="1:21" x14ac:dyDescent="0.4">
      <c r="A12" s="51"/>
      <c r="B12" s="52" t="str">
        <f t="shared" si="0"/>
        <v>4.</v>
      </c>
      <c r="C12" s="61" t="str">
        <f>[1]!wwsInput()</f>
        <v/>
      </c>
      <c r="D12" s="28" t="s">
        <v>3</v>
      </c>
      <c r="E12" s="61" t="str">
        <f>[1]!wwsInput()</f>
        <v/>
      </c>
      <c r="F12" s="57" t="str">
        <f t="shared" si="1"/>
        <v/>
      </c>
      <c r="G12" s="33" t="s">
        <v>5</v>
      </c>
      <c r="H12" s="32">
        <f t="shared" si="2"/>
        <v>0</v>
      </c>
      <c r="I12" s="35"/>
      <c r="J12" s="33"/>
      <c r="K12" s="44"/>
      <c r="L12" s="35"/>
      <c r="M12" s="33"/>
      <c r="N12" s="44"/>
      <c r="O12" s="9"/>
      <c r="P12" s="29"/>
      <c r="Q12" s="2"/>
      <c r="R12" s="18" t="s">
        <v>11</v>
      </c>
      <c r="S12" s="18" t="s">
        <v>12</v>
      </c>
      <c r="T12" s="18" t="s">
        <v>11</v>
      </c>
      <c r="U12" s="12" t="s">
        <v>8</v>
      </c>
    </row>
    <row r="13" spans="1:21" x14ac:dyDescent="0.4">
      <c r="A13" s="51"/>
      <c r="B13" s="52" t="str">
        <f t="shared" si="0"/>
        <v>5.</v>
      </c>
      <c r="C13" s="61" t="str">
        <f>[1]!wwsInput()</f>
        <v/>
      </c>
      <c r="D13" s="28" t="s">
        <v>3</v>
      </c>
      <c r="E13" s="61" t="str">
        <f>[1]!wwsInput()</f>
        <v/>
      </c>
      <c r="F13" s="57" t="str">
        <f t="shared" si="1"/>
        <v/>
      </c>
      <c r="G13" s="33" t="s">
        <v>51</v>
      </c>
      <c r="H13" s="32">
        <f t="shared" si="2"/>
        <v>0</v>
      </c>
      <c r="I13" s="35"/>
      <c r="J13" s="33"/>
      <c r="K13" s="44"/>
      <c r="L13" s="35"/>
      <c r="M13" s="33"/>
      <c r="N13" s="44"/>
      <c r="O13" s="9"/>
      <c r="P13" s="29"/>
      <c r="Q13" s="2"/>
      <c r="R13" s="18" t="s">
        <v>13</v>
      </c>
      <c r="S13" s="18" t="s">
        <v>14</v>
      </c>
      <c r="T13" s="18" t="s">
        <v>26</v>
      </c>
      <c r="U13" s="12" t="s">
        <v>18</v>
      </c>
    </row>
    <row r="14" spans="1:21" x14ac:dyDescent="0.4">
      <c r="A14" s="1"/>
      <c r="B14" s="15" t="str">
        <f t="shared" si="0"/>
        <v>6.</v>
      </c>
      <c r="C14" s="61" t="str">
        <f>[1]!wwsInput()</f>
        <v/>
      </c>
      <c r="D14" s="28" t="s">
        <v>3</v>
      </c>
      <c r="E14" s="61" t="str">
        <f>[1]!wwsInput()</f>
        <v/>
      </c>
      <c r="F14" s="57" t="str">
        <f t="shared" si="1"/>
        <v/>
      </c>
      <c r="G14" s="33" t="s">
        <v>52</v>
      </c>
      <c r="H14" s="32">
        <f t="shared" si="2"/>
        <v>0</v>
      </c>
      <c r="I14" s="35"/>
      <c r="J14" s="33"/>
      <c r="K14" s="44"/>
      <c r="L14" s="35"/>
      <c r="M14" s="33"/>
      <c r="N14" s="44"/>
      <c r="O14" s="9"/>
      <c r="P14" s="29"/>
      <c r="Q14" s="2"/>
      <c r="R14" s="18" t="s">
        <v>15</v>
      </c>
      <c r="S14" s="18" t="s">
        <v>16</v>
      </c>
      <c r="T14" s="18" t="s">
        <v>22</v>
      </c>
      <c r="U14" s="12" t="s">
        <v>31</v>
      </c>
    </row>
    <row r="15" spans="1:21" x14ac:dyDescent="0.4">
      <c r="A15" s="1"/>
      <c r="B15" s="15" t="str">
        <f t="shared" si="0"/>
        <v>7.</v>
      </c>
      <c r="C15" s="61" t="str">
        <f>[1]!wwsInput()</f>
        <v/>
      </c>
      <c r="D15" s="28" t="s">
        <v>3</v>
      </c>
      <c r="E15" s="61" t="str">
        <f>[1]!wwsInput()</f>
        <v/>
      </c>
      <c r="F15" s="57" t="str">
        <f t="shared" si="1"/>
        <v/>
      </c>
      <c r="G15" s="33" t="s">
        <v>53</v>
      </c>
      <c r="H15" s="32">
        <f t="shared" si="2"/>
        <v>0</v>
      </c>
      <c r="I15" s="35"/>
      <c r="J15" s="33"/>
      <c r="K15" s="44"/>
      <c r="L15" s="35"/>
      <c r="M15" s="33"/>
      <c r="N15" s="44"/>
      <c r="O15" s="9"/>
      <c r="P15" s="29"/>
      <c r="Q15" s="2"/>
      <c r="R15" s="18" t="s">
        <v>17</v>
      </c>
      <c r="S15" s="18" t="s">
        <v>18</v>
      </c>
      <c r="T15" s="18" t="s">
        <v>20</v>
      </c>
      <c r="U15" s="12" t="s">
        <v>10</v>
      </c>
    </row>
    <row r="16" spans="1:21" x14ac:dyDescent="0.4">
      <c r="A16" s="1"/>
      <c r="B16" s="15" t="str">
        <f t="shared" si="0"/>
        <v>8.</v>
      </c>
      <c r="C16" s="61" t="str">
        <f>[1]!wwsInput()</f>
        <v/>
      </c>
      <c r="D16" s="28" t="s">
        <v>3</v>
      </c>
      <c r="E16" s="61" t="str">
        <f>[1]!wwsInput()</f>
        <v/>
      </c>
      <c r="F16" s="57" t="str">
        <f t="shared" si="1"/>
        <v/>
      </c>
      <c r="G16" s="33" t="s">
        <v>54</v>
      </c>
      <c r="H16" s="32">
        <f t="shared" si="2"/>
        <v>0</v>
      </c>
      <c r="I16" s="35"/>
      <c r="J16" s="33"/>
      <c r="K16" s="44"/>
      <c r="L16" s="35"/>
      <c r="M16" s="33"/>
      <c r="N16" s="44"/>
      <c r="O16" s="9"/>
      <c r="P16" s="29"/>
      <c r="Q16" s="2"/>
      <c r="R16" s="18" t="s">
        <v>19</v>
      </c>
      <c r="S16" s="18" t="s">
        <v>20</v>
      </c>
      <c r="T16" s="18" t="s">
        <v>24</v>
      </c>
      <c r="U16" s="12" t="s">
        <v>21</v>
      </c>
    </row>
    <row r="17" spans="1:21" x14ac:dyDescent="0.4">
      <c r="A17" s="1"/>
      <c r="B17" s="15" t="str">
        <f t="shared" si="0"/>
        <v>9.</v>
      </c>
      <c r="C17" s="61" t="str">
        <f>[1]!wwsInput()</f>
        <v/>
      </c>
      <c r="D17" s="28" t="s">
        <v>3</v>
      </c>
      <c r="E17" s="61" t="str">
        <f>[1]!wwsInput()</f>
        <v/>
      </c>
      <c r="F17" s="57" t="str">
        <f t="shared" si="1"/>
        <v/>
      </c>
      <c r="G17" s="33" t="s">
        <v>55</v>
      </c>
      <c r="H17" s="32">
        <f t="shared" si="2"/>
        <v>0</v>
      </c>
      <c r="I17" s="35"/>
      <c r="J17" s="33"/>
      <c r="K17" s="44"/>
      <c r="L17" s="35"/>
      <c r="M17" s="33"/>
      <c r="N17" s="44"/>
      <c r="O17" s="9"/>
      <c r="P17" s="29"/>
      <c r="Q17" s="2"/>
      <c r="R17" s="18" t="s">
        <v>20</v>
      </c>
      <c r="S17" s="18" t="s">
        <v>21</v>
      </c>
      <c r="T17" s="18" t="s">
        <v>17</v>
      </c>
      <c r="U17" s="12" t="s">
        <v>35</v>
      </c>
    </row>
    <row r="18" spans="1:21" x14ac:dyDescent="0.4">
      <c r="A18" s="1"/>
      <c r="B18" s="15" t="str">
        <f t="shared" si="0"/>
        <v>10.</v>
      </c>
      <c r="C18" s="61" t="str">
        <f>[1]!wwsInput()</f>
        <v/>
      </c>
      <c r="D18" s="28" t="s">
        <v>76</v>
      </c>
      <c r="E18" s="61" t="str">
        <f>[1]!wwsInput()</f>
        <v/>
      </c>
      <c r="F18" s="57" t="str">
        <f t="shared" si="1"/>
        <v/>
      </c>
      <c r="G18" s="33" t="s">
        <v>56</v>
      </c>
      <c r="H18" s="32">
        <f t="shared" si="2"/>
        <v>0</v>
      </c>
      <c r="I18" s="35"/>
      <c r="J18" s="33"/>
      <c r="K18" s="44"/>
      <c r="L18" s="35"/>
      <c r="M18" s="33"/>
      <c r="N18" s="44"/>
      <c r="O18" s="9"/>
      <c r="P18" s="29"/>
      <c r="Q18" s="2"/>
      <c r="R18" s="18" t="s">
        <v>22</v>
      </c>
      <c r="S18" s="18" t="s">
        <v>23</v>
      </c>
      <c r="T18" s="18" t="s">
        <v>15</v>
      </c>
      <c r="U18" s="12" t="s">
        <v>40</v>
      </c>
    </row>
    <row r="19" spans="1:21" x14ac:dyDescent="0.4">
      <c r="A19" s="1"/>
      <c r="B19" s="15" t="str">
        <f t="shared" si="0"/>
        <v>11.</v>
      </c>
      <c r="C19" s="61" t="str">
        <f>[1]!wwsInput()</f>
        <v/>
      </c>
      <c r="D19" s="28" t="s">
        <v>76</v>
      </c>
      <c r="E19" s="61" t="str">
        <f>[1]!wwsInput()</f>
        <v/>
      </c>
      <c r="F19" s="57" t="str">
        <f t="shared" si="1"/>
        <v/>
      </c>
      <c r="G19" s="33" t="s">
        <v>57</v>
      </c>
      <c r="H19" s="32">
        <f t="shared" si="2"/>
        <v>0</v>
      </c>
      <c r="I19" s="35"/>
      <c r="J19" s="33"/>
      <c r="K19" s="44"/>
      <c r="L19" s="35"/>
      <c r="M19" s="33"/>
      <c r="N19" s="44"/>
      <c r="O19" s="9"/>
      <c r="P19" s="29"/>
      <c r="Q19" s="2"/>
      <c r="R19" s="18" t="s">
        <v>24</v>
      </c>
      <c r="S19" s="18" t="s">
        <v>25</v>
      </c>
      <c r="T19" s="18" t="s">
        <v>19</v>
      </c>
      <c r="U19" s="12" t="s">
        <v>8</v>
      </c>
    </row>
    <row r="20" spans="1:21" x14ac:dyDescent="0.4">
      <c r="A20" s="1"/>
      <c r="B20" s="15" t="str">
        <f t="shared" si="0"/>
        <v>12.</v>
      </c>
      <c r="C20" s="61" t="str">
        <f>[1]!wwsInput()</f>
        <v/>
      </c>
      <c r="D20" s="28" t="s">
        <v>76</v>
      </c>
      <c r="E20" s="61" t="str">
        <f>[1]!wwsInput()</f>
        <v/>
      </c>
      <c r="F20" s="57" t="str">
        <f t="shared" si="1"/>
        <v/>
      </c>
      <c r="G20" s="33" t="s">
        <v>58</v>
      </c>
      <c r="H20" s="32">
        <f t="shared" si="2"/>
        <v>0</v>
      </c>
      <c r="I20" s="35"/>
      <c r="J20" s="33"/>
      <c r="K20" s="44"/>
      <c r="L20" s="35"/>
      <c r="M20" s="33"/>
      <c r="N20" s="44"/>
      <c r="O20" s="9"/>
      <c r="P20" s="29"/>
      <c r="Q20" s="2"/>
      <c r="R20" s="18" t="s">
        <v>26</v>
      </c>
      <c r="S20" s="18" t="s">
        <v>27</v>
      </c>
      <c r="T20" s="18" t="s">
        <v>13</v>
      </c>
      <c r="U20" s="12" t="s">
        <v>26</v>
      </c>
    </row>
    <row r="21" spans="1:21" x14ac:dyDescent="0.4">
      <c r="A21" s="1"/>
      <c r="B21" s="15" t="str">
        <f t="shared" si="0"/>
        <v>13.</v>
      </c>
      <c r="C21" s="61" t="str">
        <f>[1]!wwsInput()</f>
        <v/>
      </c>
      <c r="D21" s="28" t="s">
        <v>41</v>
      </c>
      <c r="E21" s="61" t="str">
        <f>[1]!wwsInput()</f>
        <v/>
      </c>
      <c r="F21" s="57" t="str">
        <f t="shared" si="1"/>
        <v/>
      </c>
      <c r="G21" s="33" t="s">
        <v>59</v>
      </c>
      <c r="H21" s="32">
        <f t="shared" si="2"/>
        <v>0</v>
      </c>
      <c r="I21" s="35"/>
      <c r="J21" s="33"/>
      <c r="K21" s="44"/>
      <c r="L21" s="35"/>
      <c r="M21" s="33"/>
      <c r="N21" s="44"/>
      <c r="O21" s="9"/>
      <c r="P21" s="29"/>
      <c r="Q21" s="2"/>
      <c r="R21" s="18" t="s">
        <v>28</v>
      </c>
      <c r="S21" s="18" t="s">
        <v>29</v>
      </c>
      <c r="T21" s="18" t="s">
        <v>36</v>
      </c>
      <c r="U21" s="12" t="s">
        <v>12</v>
      </c>
    </row>
    <row r="22" spans="1:21" x14ac:dyDescent="0.4">
      <c r="A22" s="1"/>
      <c r="B22" s="15" t="str">
        <f t="shared" si="0"/>
        <v>14.</v>
      </c>
      <c r="C22" s="61" t="str">
        <f>[1]!wwsInput()</f>
        <v/>
      </c>
      <c r="D22" s="28" t="s">
        <v>42</v>
      </c>
      <c r="E22" s="61" t="str">
        <f>[1]!wwsInput()</f>
        <v/>
      </c>
      <c r="F22" s="57" t="str">
        <f t="shared" si="1"/>
        <v/>
      </c>
      <c r="G22" s="33" t="s">
        <v>60</v>
      </c>
      <c r="H22" s="32">
        <f t="shared" si="2"/>
        <v>0</v>
      </c>
      <c r="I22" s="35"/>
      <c r="J22" s="33"/>
      <c r="K22" s="44"/>
      <c r="L22" s="35"/>
      <c r="M22" s="33"/>
      <c r="N22" s="44"/>
      <c r="O22" s="9"/>
      <c r="P22" s="29"/>
      <c r="Q22" s="2"/>
      <c r="R22" s="18" t="s">
        <v>30</v>
      </c>
      <c r="S22" s="18" t="s">
        <v>31</v>
      </c>
      <c r="T22" s="18" t="s">
        <v>37</v>
      </c>
      <c r="U22" s="12" t="s">
        <v>16</v>
      </c>
    </row>
    <row r="23" spans="1:21" x14ac:dyDescent="0.4">
      <c r="A23" s="1"/>
      <c r="B23" s="15" t="str">
        <f t="shared" si="0"/>
        <v>15.</v>
      </c>
      <c r="C23" s="61">
        <f>[1]!wwsInput()</f>
        <v>0</v>
      </c>
      <c r="D23" s="28" t="s">
        <v>41</v>
      </c>
      <c r="E23" s="61" t="str">
        <f>[1]!wwsInput()</f>
        <v/>
      </c>
      <c r="F23" s="57" t="str">
        <f t="shared" si="1"/>
        <v/>
      </c>
      <c r="G23" s="33" t="s">
        <v>61</v>
      </c>
      <c r="H23" s="32">
        <f t="shared" si="2"/>
        <v>0</v>
      </c>
      <c r="I23" s="35"/>
      <c r="J23" s="33"/>
      <c r="K23" s="44"/>
      <c r="L23" s="35"/>
      <c r="M23" s="33"/>
      <c r="N23" s="44"/>
      <c r="O23" s="9"/>
      <c r="P23" s="29"/>
      <c r="Q23" s="2"/>
      <c r="R23" s="18" t="s">
        <v>32</v>
      </c>
      <c r="S23" s="18" t="s">
        <v>33</v>
      </c>
      <c r="T23" s="18" t="s">
        <v>30</v>
      </c>
      <c r="U23" s="12" t="s">
        <v>23</v>
      </c>
    </row>
    <row r="24" spans="1:21" x14ac:dyDescent="0.4">
      <c r="A24" s="1"/>
      <c r="B24" s="15" t="str">
        <f t="shared" si="0"/>
        <v>16.</v>
      </c>
      <c r="C24" s="61" t="str">
        <f>[1]!wwsInput()</f>
        <v/>
      </c>
      <c r="D24" s="28" t="s">
        <v>41</v>
      </c>
      <c r="E24" s="61" t="str">
        <f>[1]!wwsInput()</f>
        <v/>
      </c>
      <c r="F24" s="57" t="str">
        <f t="shared" si="1"/>
        <v/>
      </c>
      <c r="G24" s="33" t="s">
        <v>62</v>
      </c>
      <c r="H24" s="32">
        <f t="shared" si="2"/>
        <v>0</v>
      </c>
      <c r="I24" s="35"/>
      <c r="J24" s="33"/>
      <c r="K24" s="44"/>
      <c r="L24" s="35"/>
      <c r="M24" s="33"/>
      <c r="N24" s="44"/>
      <c r="O24" s="9"/>
      <c r="P24" s="29"/>
      <c r="Q24" s="2"/>
      <c r="R24" s="18" t="s">
        <v>34</v>
      </c>
      <c r="S24" s="18" t="s">
        <v>35</v>
      </c>
      <c r="T24" s="18" t="s">
        <v>28</v>
      </c>
      <c r="U24" s="12" t="s">
        <v>21</v>
      </c>
    </row>
    <row r="25" spans="1:21" x14ac:dyDescent="0.4">
      <c r="A25" s="1"/>
      <c r="B25" s="15" t="str">
        <f t="shared" si="0"/>
        <v>17.</v>
      </c>
      <c r="C25" s="61" t="str">
        <f>[1]!wwsInput()</f>
        <v/>
      </c>
      <c r="D25" s="28" t="s">
        <v>41</v>
      </c>
      <c r="E25" s="61" t="str">
        <f>[1]!wwsInput()</f>
        <v/>
      </c>
      <c r="F25" s="57" t="str">
        <f t="shared" si="1"/>
        <v/>
      </c>
      <c r="G25" s="33" t="s">
        <v>31</v>
      </c>
      <c r="H25" s="32">
        <f t="shared" si="2"/>
        <v>0</v>
      </c>
      <c r="I25" s="35"/>
      <c r="J25" s="33"/>
      <c r="K25" s="44"/>
      <c r="L25" s="35"/>
      <c r="M25" s="33"/>
      <c r="N25" s="44"/>
      <c r="O25" s="9"/>
      <c r="P25" s="29"/>
      <c r="Q25" s="2"/>
      <c r="R25" s="18" t="s">
        <v>36</v>
      </c>
      <c r="S25" s="18" t="s">
        <v>13</v>
      </c>
      <c r="T25" s="18" t="s">
        <v>39</v>
      </c>
      <c r="U25" s="12" t="s">
        <v>27</v>
      </c>
    </row>
    <row r="26" spans="1:21" x14ac:dyDescent="0.4">
      <c r="A26" s="1"/>
      <c r="B26" s="15" t="str">
        <f t="shared" si="0"/>
        <v>18.</v>
      </c>
      <c r="C26" s="61" t="str">
        <f>[1]!wwsInput()</f>
        <v/>
      </c>
      <c r="D26" s="28" t="s">
        <v>41</v>
      </c>
      <c r="E26" s="61" t="str">
        <f>[1]!wwsInput()</f>
        <v/>
      </c>
      <c r="F26" s="57" t="str">
        <f t="shared" si="1"/>
        <v/>
      </c>
      <c r="G26" s="33" t="s">
        <v>63</v>
      </c>
      <c r="H26" s="32">
        <f t="shared" si="2"/>
        <v>0</v>
      </c>
      <c r="I26" s="35"/>
      <c r="J26" s="33"/>
      <c r="K26" s="44"/>
      <c r="L26" s="35"/>
      <c r="M26" s="33"/>
      <c r="N26" s="44"/>
      <c r="O26" s="9"/>
      <c r="P26" s="29"/>
      <c r="Q26" s="2"/>
      <c r="R26" s="18" t="s">
        <v>37</v>
      </c>
      <c r="S26" s="18" t="s">
        <v>26</v>
      </c>
      <c r="T26" s="18" t="s">
        <v>38</v>
      </c>
      <c r="U26" s="12" t="s">
        <v>13</v>
      </c>
    </row>
    <row r="27" spans="1:21" x14ac:dyDescent="0.4">
      <c r="A27" s="1"/>
      <c r="B27" s="15" t="str">
        <f t="shared" si="0"/>
        <v>19.</v>
      </c>
      <c r="C27" s="61" t="str">
        <f>[1]!wwsInput()</f>
        <v/>
      </c>
      <c r="D27" s="28" t="s">
        <v>41</v>
      </c>
      <c r="E27" s="61" t="str">
        <f>[1]!wwsInput()</f>
        <v/>
      </c>
      <c r="F27" s="57" t="str">
        <f t="shared" si="1"/>
        <v/>
      </c>
      <c r="G27" s="33" t="s">
        <v>64</v>
      </c>
      <c r="H27" s="32">
        <f t="shared" si="2"/>
        <v>0</v>
      </c>
      <c r="I27" s="35"/>
      <c r="J27" s="33"/>
      <c r="K27" s="44"/>
      <c r="L27" s="35"/>
      <c r="M27" s="33"/>
      <c r="N27" s="44"/>
      <c r="O27" s="9"/>
      <c r="P27" s="29"/>
      <c r="Q27" s="2"/>
      <c r="R27" s="18" t="s">
        <v>38</v>
      </c>
      <c r="S27" s="18" t="s">
        <v>8</v>
      </c>
      <c r="T27" s="18" t="s">
        <v>34</v>
      </c>
      <c r="U27" s="12" t="s">
        <v>20</v>
      </c>
    </row>
    <row r="28" spans="1:21" x14ac:dyDescent="0.4">
      <c r="A28" s="1"/>
      <c r="B28" s="15" t="str">
        <f t="shared" si="0"/>
        <v>20.</v>
      </c>
      <c r="C28" s="61" t="str">
        <f>[1]!wwsInput()</f>
        <v/>
      </c>
      <c r="D28" s="28" t="s">
        <v>41</v>
      </c>
      <c r="E28" s="61" t="str">
        <f>[1]!wwsInput()</f>
        <v/>
      </c>
      <c r="F28" s="57" t="str">
        <f t="shared" si="1"/>
        <v/>
      </c>
      <c r="G28" s="33" t="s">
        <v>48</v>
      </c>
      <c r="H28" s="32">
        <f t="shared" si="2"/>
        <v>0</v>
      </c>
      <c r="I28" s="35"/>
      <c r="J28" s="33"/>
      <c r="K28" s="44"/>
      <c r="L28" s="35"/>
      <c r="M28" s="33"/>
      <c r="N28" s="44"/>
      <c r="O28" s="9"/>
      <c r="P28" s="29"/>
      <c r="Q28" s="2"/>
      <c r="R28" s="18" t="s">
        <v>39</v>
      </c>
      <c r="S28" s="18"/>
      <c r="T28" s="18" t="s">
        <v>32</v>
      </c>
      <c r="U28" s="12" t="s">
        <v>29</v>
      </c>
    </row>
    <row r="29" spans="1:21" x14ac:dyDescent="0.4">
      <c r="A29" s="2"/>
      <c r="B29" s="15" t="str">
        <f t="shared" si="0"/>
        <v>21.</v>
      </c>
      <c r="C29" s="61" t="str">
        <f>[1]!wwsInput()</f>
        <v/>
      </c>
      <c r="D29" s="28" t="s">
        <v>77</v>
      </c>
      <c r="E29" s="61" t="str">
        <f>[1]!wwsInput()</f>
        <v/>
      </c>
      <c r="F29" s="57" t="str">
        <f t="shared" si="1"/>
        <v/>
      </c>
      <c r="G29" s="33" t="s">
        <v>65</v>
      </c>
      <c r="H29" s="32">
        <f t="shared" si="2"/>
        <v>0</v>
      </c>
      <c r="I29" s="17"/>
      <c r="J29" s="38"/>
      <c r="K29" s="5"/>
      <c r="L29" s="17"/>
      <c r="M29" s="1"/>
      <c r="N29" s="2"/>
      <c r="O29" s="5"/>
      <c r="P29" s="11"/>
      <c r="Q29" s="2"/>
      <c r="R29" s="2"/>
      <c r="S29" s="2"/>
    </row>
    <row r="30" spans="1:21" x14ac:dyDescent="0.4">
      <c r="A30" s="2"/>
      <c r="B30" s="15" t="str">
        <f t="shared" si="0"/>
        <v>22.</v>
      </c>
      <c r="C30" s="61" t="str">
        <f>[1]!wwsInput()</f>
        <v/>
      </c>
      <c r="D30" s="28" t="s">
        <v>77</v>
      </c>
      <c r="E30" s="61" t="str">
        <f>[1]!wwsInput()</f>
        <v/>
      </c>
      <c r="F30" s="57" t="str">
        <f t="shared" si="1"/>
        <v/>
      </c>
      <c r="G30" s="33" t="s">
        <v>66</v>
      </c>
      <c r="H30" s="32">
        <f t="shared" si="2"/>
        <v>0</v>
      </c>
      <c r="I30" s="17"/>
      <c r="J30" s="38"/>
      <c r="K30" s="5"/>
      <c r="L30" s="17"/>
      <c r="M30" s="1"/>
      <c r="N30" s="2"/>
      <c r="O30" s="5"/>
      <c r="P30" s="11"/>
      <c r="Q30" s="2"/>
      <c r="R30" s="2"/>
      <c r="S30" s="2"/>
    </row>
    <row r="31" spans="1:21" x14ac:dyDescent="0.4">
      <c r="A31" s="2"/>
      <c r="B31" s="15" t="str">
        <f t="shared" si="0"/>
        <v>23.</v>
      </c>
      <c r="C31" s="61" t="str">
        <f>[1]!wwsInput()</f>
        <v/>
      </c>
      <c r="D31" s="28" t="s">
        <v>77</v>
      </c>
      <c r="E31" s="61" t="str">
        <f>[1]!wwsInput()</f>
        <v/>
      </c>
      <c r="F31" s="57" t="str">
        <f t="shared" si="1"/>
        <v/>
      </c>
      <c r="G31" s="33" t="s">
        <v>67</v>
      </c>
      <c r="H31" s="32">
        <f t="shared" si="2"/>
        <v>0</v>
      </c>
      <c r="I31" s="17"/>
      <c r="J31" s="38"/>
      <c r="K31" s="5"/>
      <c r="L31" s="17"/>
      <c r="M31" s="1"/>
      <c r="N31" s="2"/>
      <c r="O31" s="5"/>
      <c r="P31" s="11"/>
      <c r="Q31" s="2"/>
      <c r="R31" s="2"/>
      <c r="S31" s="2"/>
    </row>
    <row r="32" spans="1:21" x14ac:dyDescent="0.4">
      <c r="A32" s="2"/>
      <c r="B32" s="15" t="str">
        <f t="shared" si="0"/>
        <v>24.</v>
      </c>
      <c r="C32" s="61" t="str">
        <f>[1]!wwsInput()</f>
        <v/>
      </c>
      <c r="D32" s="28" t="s">
        <v>77</v>
      </c>
      <c r="E32" s="61" t="str">
        <f>[1]!wwsInput()</f>
        <v/>
      </c>
      <c r="F32" s="57" t="str">
        <f t="shared" si="1"/>
        <v/>
      </c>
      <c r="G32" s="33" t="s">
        <v>68</v>
      </c>
      <c r="H32" s="32">
        <f t="shared" si="2"/>
        <v>0</v>
      </c>
      <c r="I32" s="17"/>
      <c r="J32" s="38"/>
      <c r="K32" s="5"/>
      <c r="L32" s="17"/>
      <c r="M32" s="1"/>
      <c r="N32" s="2"/>
      <c r="O32" s="5"/>
      <c r="P32" s="11"/>
      <c r="Q32" s="2"/>
      <c r="R32" s="2"/>
      <c r="S32" s="2"/>
    </row>
    <row r="33" spans="1:19" x14ac:dyDescent="0.4">
      <c r="A33" s="2"/>
      <c r="B33" s="15" t="str">
        <f t="shared" si="0"/>
        <v>25.</v>
      </c>
      <c r="C33" s="61" t="str">
        <f>[1]!wwsInput()</f>
        <v/>
      </c>
      <c r="D33" s="28" t="s">
        <v>42</v>
      </c>
      <c r="E33" s="61" t="str">
        <f>[1]!wwsInput()</f>
        <v/>
      </c>
      <c r="F33" s="57" t="str">
        <f t="shared" si="1"/>
        <v/>
      </c>
      <c r="G33" s="33" t="s">
        <v>69</v>
      </c>
      <c r="H33" s="32">
        <f t="shared" si="2"/>
        <v>0</v>
      </c>
      <c r="I33" s="17"/>
      <c r="J33" s="38"/>
      <c r="K33" s="5"/>
      <c r="L33" s="17"/>
      <c r="M33" s="1"/>
      <c r="N33" s="2"/>
      <c r="O33" s="5"/>
      <c r="P33" s="11"/>
      <c r="Q33" s="2"/>
      <c r="R33" s="2"/>
      <c r="S33" s="2"/>
    </row>
    <row r="34" spans="1:19" x14ac:dyDescent="0.4">
      <c r="A34" s="2"/>
      <c r="B34" s="15" t="str">
        <f t="shared" si="0"/>
        <v>26.</v>
      </c>
      <c r="C34" s="61" t="str">
        <f>[1]!wwsInput()</f>
        <v/>
      </c>
      <c r="D34" s="28" t="s">
        <v>42</v>
      </c>
      <c r="E34" s="61" t="str">
        <f>[1]!wwsInput()</f>
        <v/>
      </c>
      <c r="F34" s="57" t="str">
        <f t="shared" si="1"/>
        <v/>
      </c>
      <c r="G34" s="33" t="s">
        <v>70</v>
      </c>
      <c r="H34" s="32">
        <f t="shared" si="2"/>
        <v>0</v>
      </c>
      <c r="I34" s="17"/>
      <c r="J34" s="38"/>
      <c r="K34" s="5"/>
      <c r="L34" s="17"/>
      <c r="M34" s="1"/>
      <c r="N34" s="2"/>
      <c r="O34" s="5"/>
      <c r="P34" s="11"/>
      <c r="Q34" s="2"/>
      <c r="R34" s="2"/>
      <c r="S34" s="2"/>
    </row>
    <row r="35" spans="1:19" x14ac:dyDescent="0.4">
      <c r="A35" s="2"/>
      <c r="B35" s="15" t="str">
        <f t="shared" si="0"/>
        <v>27.</v>
      </c>
      <c r="C35" s="61" t="str">
        <f>[1]!wwsInput()</f>
        <v/>
      </c>
      <c r="D35" s="28" t="s">
        <v>42</v>
      </c>
      <c r="E35" s="61" t="str">
        <f>[1]!wwsInput()</f>
        <v/>
      </c>
      <c r="F35" s="57" t="str">
        <f t="shared" si="1"/>
        <v/>
      </c>
      <c r="G35" s="33" t="s">
        <v>71</v>
      </c>
      <c r="H35" s="32">
        <f t="shared" si="2"/>
        <v>0</v>
      </c>
      <c r="I35" s="17"/>
      <c r="J35" s="38"/>
      <c r="K35" s="5"/>
      <c r="L35" s="17"/>
      <c r="M35" s="1"/>
      <c r="N35" s="2"/>
      <c r="O35" s="5"/>
      <c r="P35" s="11"/>
      <c r="Q35" s="2"/>
      <c r="R35" s="2"/>
      <c r="S35" s="2"/>
    </row>
    <row r="36" spans="1:19" x14ac:dyDescent="0.4">
      <c r="A36" s="2"/>
      <c r="B36" s="15" t="str">
        <f t="shared" si="0"/>
        <v>28.</v>
      </c>
      <c r="C36" s="61" t="str">
        <f>[1]!wwsInput()</f>
        <v/>
      </c>
      <c r="D36" s="28" t="s">
        <v>42</v>
      </c>
      <c r="E36" s="61" t="str">
        <f>[1]!wwsInput()</f>
        <v/>
      </c>
      <c r="F36" s="57" t="str">
        <f t="shared" si="1"/>
        <v/>
      </c>
      <c r="G36" s="33" t="s">
        <v>72</v>
      </c>
      <c r="H36" s="32">
        <f t="shared" si="2"/>
        <v>0</v>
      </c>
      <c r="I36" s="17"/>
      <c r="J36" s="38"/>
      <c r="K36" s="5"/>
      <c r="L36" s="17"/>
      <c r="M36" s="1"/>
      <c r="N36" s="2"/>
      <c r="O36" s="5"/>
      <c r="P36" s="11"/>
      <c r="Q36" s="2"/>
      <c r="R36" s="2"/>
      <c r="S36" s="2"/>
    </row>
    <row r="37" spans="1:19" x14ac:dyDescent="0.4">
      <c r="A37" s="2"/>
      <c r="B37" s="15" t="str">
        <f t="shared" si="0"/>
        <v>29.</v>
      </c>
      <c r="C37" s="61" t="str">
        <f>[1]!wwsInput()</f>
        <v/>
      </c>
      <c r="D37" s="28" t="s">
        <v>42</v>
      </c>
      <c r="E37" s="61" t="str">
        <f>[1]!wwsInput()</f>
        <v/>
      </c>
      <c r="F37" s="57" t="str">
        <f t="shared" si="1"/>
        <v/>
      </c>
      <c r="G37" s="33" t="s">
        <v>28</v>
      </c>
      <c r="H37" s="32">
        <f t="shared" si="2"/>
        <v>0</v>
      </c>
      <c r="I37" s="17"/>
      <c r="J37" s="38"/>
      <c r="K37" s="5"/>
      <c r="L37" s="17"/>
      <c r="M37" s="1"/>
      <c r="N37" s="2"/>
      <c r="O37" s="5"/>
      <c r="P37" s="11"/>
      <c r="Q37" s="2"/>
      <c r="R37" s="2"/>
      <c r="S37" s="2"/>
    </row>
    <row r="38" spans="1:19" x14ac:dyDescent="0.4">
      <c r="A38" s="2"/>
      <c r="B38" s="15" t="str">
        <f t="shared" si="0"/>
        <v>30.</v>
      </c>
      <c r="C38" s="61" t="str">
        <f>[1]!wwsInput()</f>
        <v/>
      </c>
      <c r="D38" s="28" t="s">
        <v>42</v>
      </c>
      <c r="E38" s="61" t="str">
        <f>[1]!wwsInput()</f>
        <v/>
      </c>
      <c r="F38" s="57" t="str">
        <f t="shared" si="1"/>
        <v/>
      </c>
      <c r="G38" s="33" t="s">
        <v>29</v>
      </c>
      <c r="H38" s="32">
        <f t="shared" si="2"/>
        <v>0</v>
      </c>
      <c r="I38" s="17"/>
      <c r="J38" s="38"/>
      <c r="K38" s="5"/>
      <c r="L38" s="17"/>
      <c r="M38" s="1"/>
      <c r="N38" s="2"/>
      <c r="O38" s="5"/>
      <c r="P38" s="11"/>
      <c r="Q38" s="2"/>
      <c r="R38" s="2"/>
      <c r="S38" s="2"/>
    </row>
    <row r="39" spans="1:19" x14ac:dyDescent="0.4">
      <c r="A39" s="2"/>
      <c r="B39" s="15" t="str">
        <f t="shared" si="0"/>
        <v>31.</v>
      </c>
      <c r="C39" s="61" t="str">
        <f>[1]!wwsInput()</f>
        <v/>
      </c>
      <c r="D39" s="28" t="s">
        <v>42</v>
      </c>
      <c r="E39" s="61" t="str">
        <f>[1]!wwsInput()</f>
        <v/>
      </c>
      <c r="F39" s="57" t="str">
        <f t="shared" si="1"/>
        <v/>
      </c>
      <c r="G39" s="33" t="s">
        <v>73</v>
      </c>
      <c r="H39" s="32">
        <f t="shared" si="2"/>
        <v>0</v>
      </c>
      <c r="I39" s="17"/>
      <c r="J39" s="38"/>
      <c r="K39" s="5"/>
      <c r="L39" s="17"/>
      <c r="M39" s="1"/>
      <c r="N39" s="2"/>
      <c r="O39" s="5"/>
      <c r="P39" s="11"/>
      <c r="Q39" s="2"/>
      <c r="R39" s="2"/>
      <c r="S39" s="2"/>
    </row>
    <row r="40" spans="1:19" x14ac:dyDescent="0.4">
      <c r="A40" s="2"/>
      <c r="B40" s="15" t="str">
        <f t="shared" si="0"/>
        <v>32.</v>
      </c>
      <c r="C40" s="61" t="str">
        <f>[1]!wwsInput()</f>
        <v/>
      </c>
      <c r="D40" s="28" t="s">
        <v>42</v>
      </c>
      <c r="E40" s="61" t="str">
        <f>[1]!wwsInput()</f>
        <v/>
      </c>
      <c r="F40" s="57" t="str">
        <f t="shared" si="1"/>
        <v/>
      </c>
      <c r="G40" s="33" t="s">
        <v>74</v>
      </c>
      <c r="H40" s="32">
        <f t="shared" si="2"/>
        <v>0</v>
      </c>
      <c r="I40" s="17"/>
      <c r="J40" s="38"/>
      <c r="K40" s="5"/>
      <c r="L40" s="17"/>
      <c r="M40" s="1"/>
      <c r="N40" s="2"/>
      <c r="O40" s="5"/>
      <c r="P40" s="11"/>
      <c r="Q40" s="2"/>
      <c r="R40" s="2"/>
      <c r="S40" s="2"/>
    </row>
    <row r="41" spans="1:19" x14ac:dyDescent="0.4">
      <c r="A41" s="2"/>
      <c r="B41" s="15" t="str">
        <f t="shared" si="0"/>
        <v>33.</v>
      </c>
      <c r="C41" s="61" t="str">
        <f>[1]!wwsInput()</f>
        <v/>
      </c>
      <c r="D41" s="28" t="s">
        <v>42</v>
      </c>
      <c r="E41" s="61" t="str">
        <f>[1]!wwsInput()</f>
        <v/>
      </c>
      <c r="F41" s="57" t="str">
        <f t="shared" si="1"/>
        <v/>
      </c>
      <c r="G41" s="33" t="s">
        <v>7</v>
      </c>
      <c r="H41" s="32">
        <f t="shared" si="2"/>
        <v>0</v>
      </c>
      <c r="I41" s="17"/>
      <c r="J41" s="38"/>
      <c r="K41" s="5"/>
      <c r="L41" s="17"/>
      <c r="M41" s="1"/>
      <c r="N41" s="2"/>
      <c r="O41" s="5"/>
      <c r="P41" s="11"/>
      <c r="Q41" s="2"/>
      <c r="R41" s="2"/>
      <c r="S41" s="2"/>
    </row>
    <row r="42" spans="1:19" x14ac:dyDescent="0.4">
      <c r="A42" s="2"/>
      <c r="B42" s="15" t="str">
        <f t="shared" si="0"/>
        <v>34.</v>
      </c>
      <c r="C42" s="61" t="str">
        <f>[1]!wwsInput()</f>
        <v/>
      </c>
      <c r="D42" s="28" t="s">
        <v>42</v>
      </c>
      <c r="E42" s="61" t="str">
        <f>[1]!wwsInput()</f>
        <v/>
      </c>
      <c r="F42" s="57" t="str">
        <f t="shared" si="1"/>
        <v/>
      </c>
      <c r="G42" s="33" t="s">
        <v>75</v>
      </c>
      <c r="H42" s="32">
        <f t="shared" si="2"/>
        <v>0</v>
      </c>
      <c r="I42" s="17"/>
      <c r="J42" s="38"/>
      <c r="K42" s="5"/>
      <c r="L42" s="17"/>
      <c r="M42" s="1"/>
      <c r="N42" s="2"/>
      <c r="O42" s="5"/>
      <c r="P42" s="11"/>
      <c r="Q42" s="2"/>
      <c r="R42" s="2"/>
      <c r="S42" s="2"/>
    </row>
    <row r="43" spans="1:19" x14ac:dyDescent="0.4">
      <c r="A43" s="2"/>
      <c r="B43" s="15"/>
      <c r="C43" s="2"/>
      <c r="D43" s="2"/>
      <c r="E43" s="2"/>
      <c r="F43" s="59"/>
      <c r="G43" s="107">
        <f>SUM(H9:H42)/34</f>
        <v>2.9411764705882353E-2</v>
      </c>
      <c r="H43" s="4"/>
      <c r="I43" s="17"/>
      <c r="J43" s="82"/>
      <c r="K43" s="5"/>
      <c r="L43" s="17"/>
      <c r="M43" s="1"/>
      <c r="N43" s="2"/>
      <c r="O43" s="5"/>
      <c r="P43" s="11"/>
      <c r="Q43" s="2"/>
      <c r="R43" s="2"/>
      <c r="S43" s="2"/>
    </row>
    <row r="44" spans="1:19" x14ac:dyDescent="0.4">
      <c r="A44" s="2"/>
      <c r="B44" s="15"/>
      <c r="C44" s="2"/>
      <c r="D44" s="2"/>
      <c r="E44" s="2"/>
      <c r="F44" s="59"/>
      <c r="H44" s="4"/>
      <c r="I44" s="17"/>
      <c r="J44" s="38"/>
      <c r="K44" s="5"/>
      <c r="L44" s="2" t="s">
        <v>43</v>
      </c>
      <c r="M44" s="1"/>
      <c r="N44" s="2"/>
      <c r="O44" s="5"/>
      <c r="P44" s="11"/>
      <c r="R44" s="2"/>
      <c r="S44" s="2"/>
    </row>
    <row r="45" spans="1:19" x14ac:dyDescent="0.4">
      <c r="A45" s="2"/>
      <c r="B45" s="15"/>
      <c r="C45" s="2"/>
      <c r="D45" s="2"/>
      <c r="E45" s="2"/>
      <c r="F45" s="59"/>
      <c r="H45" s="4"/>
      <c r="I45" s="17"/>
      <c r="J45" s="38"/>
      <c r="K45" s="5"/>
      <c r="L45" s="17"/>
      <c r="M45" s="1"/>
      <c r="N45" s="2"/>
      <c r="O45" s="5"/>
      <c r="P45" s="11"/>
      <c r="Q45" s="2"/>
      <c r="R45" s="2"/>
      <c r="S45" s="2"/>
    </row>
    <row r="46" spans="1:19" x14ac:dyDescent="0.4">
      <c r="A46" s="2"/>
      <c r="B46" s="15"/>
      <c r="C46" s="2"/>
      <c r="D46" s="2"/>
      <c r="E46" s="2"/>
      <c r="F46" s="59"/>
      <c r="H46" s="4"/>
      <c r="I46" s="17"/>
      <c r="J46" s="38"/>
      <c r="K46" s="5"/>
      <c r="L46" s="17"/>
      <c r="M46" s="1"/>
      <c r="N46" s="2"/>
      <c r="O46" s="5"/>
      <c r="P46" s="11"/>
      <c r="Q46" s="2"/>
      <c r="R46" s="2"/>
      <c r="S46" s="2"/>
    </row>
    <row r="47" spans="1:19" x14ac:dyDescent="0.4">
      <c r="A47" s="2"/>
      <c r="B47" s="15"/>
      <c r="C47" s="2"/>
      <c r="D47" s="2"/>
      <c r="E47" s="2"/>
      <c r="F47" s="59"/>
      <c r="H47" s="4"/>
      <c r="I47" s="17"/>
      <c r="J47" s="38"/>
      <c r="K47" s="5"/>
      <c r="L47" s="17"/>
      <c r="M47" s="1"/>
      <c r="N47" s="2"/>
      <c r="O47" s="5"/>
      <c r="P47" s="11"/>
      <c r="Q47" s="2"/>
      <c r="R47" s="2"/>
      <c r="S47" s="2"/>
    </row>
    <row r="48" spans="1:19" x14ac:dyDescent="0.4">
      <c r="A48" s="2"/>
      <c r="B48" s="15"/>
      <c r="C48" s="2"/>
      <c r="D48" s="2"/>
      <c r="E48" s="2"/>
      <c r="F48" s="59"/>
      <c r="H48" s="4"/>
      <c r="I48" s="17"/>
      <c r="J48" s="38"/>
      <c r="K48" s="5"/>
      <c r="L48" s="17"/>
      <c r="M48" s="1"/>
      <c r="N48" s="2"/>
      <c r="O48" s="5"/>
      <c r="P48" s="11"/>
      <c r="Q48" s="2"/>
      <c r="R48" s="2"/>
      <c r="S48" s="2"/>
    </row>
    <row r="49" spans="1:19" x14ac:dyDescent="0.4">
      <c r="A49" s="2"/>
      <c r="B49" s="15"/>
      <c r="C49" s="2"/>
      <c r="D49" s="2"/>
      <c r="E49" s="2"/>
      <c r="F49" s="59"/>
      <c r="H49" s="4"/>
      <c r="I49" s="17"/>
      <c r="J49" s="38"/>
      <c r="K49" s="5"/>
      <c r="L49" s="17"/>
      <c r="M49" s="1"/>
      <c r="N49" s="2"/>
      <c r="O49" s="5"/>
      <c r="P49" s="11"/>
      <c r="Q49" s="2"/>
      <c r="R49" s="2"/>
      <c r="S49" s="2"/>
    </row>
    <row r="50" spans="1:19" x14ac:dyDescent="0.4">
      <c r="A50" s="2"/>
      <c r="B50" s="15"/>
      <c r="C50" s="2"/>
      <c r="D50" s="2"/>
      <c r="E50" s="2"/>
      <c r="F50" s="59"/>
      <c r="H50" s="4"/>
      <c r="I50" s="17"/>
      <c r="J50" s="38"/>
      <c r="K50" s="5"/>
      <c r="L50" s="17"/>
      <c r="M50" s="1"/>
      <c r="N50" s="2"/>
      <c r="O50" s="5"/>
      <c r="P50" s="11"/>
      <c r="Q50" s="2"/>
      <c r="R50" s="2"/>
      <c r="S50" s="2"/>
    </row>
    <row r="51" spans="1:19" x14ac:dyDescent="0.4">
      <c r="A51" s="2"/>
      <c r="B51" s="15"/>
      <c r="C51" s="2"/>
      <c r="D51" s="2"/>
      <c r="E51" s="2"/>
      <c r="F51" s="59"/>
      <c r="H51" s="4"/>
      <c r="I51" s="17"/>
      <c r="J51" s="38"/>
      <c r="K51" s="5"/>
      <c r="L51" s="17"/>
      <c r="M51" s="1"/>
      <c r="N51" s="2"/>
      <c r="O51" s="5"/>
      <c r="P51" s="11"/>
      <c r="Q51" s="2"/>
      <c r="R51" s="2"/>
      <c r="S51" s="2"/>
    </row>
  </sheetData>
  <sheetProtection selectLockedCells="1"/>
  <mergeCells count="3">
    <mergeCell ref="B4:J4"/>
    <mergeCell ref="A7:E7"/>
    <mergeCell ref="C5:M5"/>
  </mergeCells>
  <conditionalFormatting sqref="O23">
    <cfRule type="cellIs" dxfId="747" priority="489" operator="equal">
      <formula>"CORRECT !"</formula>
    </cfRule>
  </conditionalFormatting>
  <conditionalFormatting sqref="O22">
    <cfRule type="cellIs" dxfId="746" priority="490" operator="equal">
      <formula>"CORRECT !"</formula>
    </cfRule>
  </conditionalFormatting>
  <conditionalFormatting sqref="O24">
    <cfRule type="cellIs" dxfId="745" priority="488" operator="equal">
      <formula>"CORRECT !"</formula>
    </cfRule>
  </conditionalFormatting>
  <conditionalFormatting sqref="O26">
    <cfRule type="cellIs" dxfId="744" priority="486" operator="equal">
      <formula>"CORRECT !"</formula>
    </cfRule>
  </conditionalFormatting>
  <conditionalFormatting sqref="O12">
    <cfRule type="cellIs" dxfId="743" priority="500" operator="equal">
      <formula>"CORRECT !"</formula>
    </cfRule>
  </conditionalFormatting>
  <conditionalFormatting sqref="O14">
    <cfRule type="cellIs" dxfId="742" priority="498" operator="equal">
      <formula>"CORRECT !"</formula>
    </cfRule>
  </conditionalFormatting>
  <conditionalFormatting sqref="O16">
    <cfRule type="cellIs" dxfId="741" priority="496" operator="equal">
      <formula>"CORRECT !"</formula>
    </cfRule>
  </conditionalFormatting>
  <conditionalFormatting sqref="O18">
    <cfRule type="cellIs" dxfId="740" priority="494" operator="equal">
      <formula>"CORRECT !"</formula>
    </cfRule>
  </conditionalFormatting>
  <conditionalFormatting sqref="O20">
    <cfRule type="cellIs" dxfId="739" priority="492" operator="equal">
      <formula>"CORRECT !"</formula>
    </cfRule>
  </conditionalFormatting>
  <conditionalFormatting sqref="O25">
    <cfRule type="cellIs" dxfId="738" priority="487" operator="equal">
      <formula>"CORRECT !"</formula>
    </cfRule>
  </conditionalFormatting>
  <conditionalFormatting sqref="O11">
    <cfRule type="cellIs" dxfId="737" priority="501" operator="equal">
      <formula>"CORRECT !"</formula>
    </cfRule>
  </conditionalFormatting>
  <conditionalFormatting sqref="O13">
    <cfRule type="cellIs" dxfId="736" priority="499" operator="equal">
      <formula>"CORRECT !"</formula>
    </cfRule>
  </conditionalFormatting>
  <conditionalFormatting sqref="O15">
    <cfRule type="cellIs" dxfId="735" priority="497" operator="equal">
      <formula>"CORRECT !"</formula>
    </cfRule>
  </conditionalFormatting>
  <conditionalFormatting sqref="O17">
    <cfRule type="cellIs" dxfId="734" priority="495" operator="equal">
      <formula>"CORRECT !"</formula>
    </cfRule>
  </conditionalFormatting>
  <conditionalFormatting sqref="O19">
    <cfRule type="cellIs" dxfId="733" priority="493" operator="equal">
      <formula>"CORRECT !"</formula>
    </cfRule>
  </conditionalFormatting>
  <conditionalFormatting sqref="O21">
    <cfRule type="cellIs" dxfId="732" priority="491" operator="equal">
      <formula>"CORRECT !"</formula>
    </cfRule>
  </conditionalFormatting>
  <conditionalFormatting sqref="I22">
    <cfRule type="cellIs" dxfId="731" priority="470" operator="equal">
      <formula>"CORRECT !"</formula>
    </cfRule>
  </conditionalFormatting>
  <conditionalFormatting sqref="I23">
    <cfRule type="cellIs" dxfId="730" priority="469" operator="equal">
      <formula>"CORRECT !"</formula>
    </cfRule>
  </conditionalFormatting>
  <conditionalFormatting sqref="I24">
    <cfRule type="cellIs" dxfId="729" priority="468" operator="equal">
      <formula>"CORRECT !"</formula>
    </cfRule>
  </conditionalFormatting>
  <conditionalFormatting sqref="I25">
    <cfRule type="cellIs" dxfId="728" priority="467" operator="equal">
      <formula>"CORRECT !"</formula>
    </cfRule>
  </conditionalFormatting>
  <conditionalFormatting sqref="I26">
    <cfRule type="cellIs" dxfId="727" priority="466" operator="equal">
      <formula>"CORRECT !"</formula>
    </cfRule>
  </conditionalFormatting>
  <conditionalFormatting sqref="I11">
    <cfRule type="cellIs" dxfId="726" priority="481" operator="equal">
      <formula>"CORRECT !"</formula>
    </cfRule>
  </conditionalFormatting>
  <conditionalFormatting sqref="I12">
    <cfRule type="cellIs" dxfId="725" priority="480" operator="equal">
      <formula>"CORRECT !"</formula>
    </cfRule>
  </conditionalFormatting>
  <conditionalFormatting sqref="I13">
    <cfRule type="cellIs" dxfId="724" priority="479" operator="equal">
      <formula>"CORRECT !"</formula>
    </cfRule>
  </conditionalFormatting>
  <conditionalFormatting sqref="I14">
    <cfRule type="cellIs" dxfId="723" priority="478" operator="equal">
      <formula>"CORRECT !"</formula>
    </cfRule>
  </conditionalFormatting>
  <conditionalFormatting sqref="I15">
    <cfRule type="cellIs" dxfId="722" priority="477" operator="equal">
      <formula>"CORRECT !"</formula>
    </cfRule>
  </conditionalFormatting>
  <conditionalFormatting sqref="I16">
    <cfRule type="cellIs" dxfId="721" priority="476" operator="equal">
      <formula>"CORRECT !"</formula>
    </cfRule>
  </conditionalFormatting>
  <conditionalFormatting sqref="I17">
    <cfRule type="cellIs" dxfId="720" priority="475" operator="equal">
      <formula>"CORRECT !"</formula>
    </cfRule>
  </conditionalFormatting>
  <conditionalFormatting sqref="I18">
    <cfRule type="cellIs" dxfId="719" priority="474" operator="equal">
      <formula>"CORRECT !"</formula>
    </cfRule>
  </conditionalFormatting>
  <conditionalFormatting sqref="I19">
    <cfRule type="cellIs" dxfId="718" priority="473" operator="equal">
      <formula>"CORRECT !"</formula>
    </cfRule>
  </conditionalFormatting>
  <conditionalFormatting sqref="I20">
    <cfRule type="cellIs" dxfId="717" priority="472" operator="equal">
      <formula>"CORRECT !"</formula>
    </cfRule>
  </conditionalFormatting>
  <conditionalFormatting sqref="I21">
    <cfRule type="cellIs" dxfId="716" priority="471" operator="equal">
      <formula>"CORRECT !"</formula>
    </cfRule>
  </conditionalFormatting>
  <conditionalFormatting sqref="Q3">
    <cfRule type="expression" dxfId="715" priority="544">
      <formula>"$R$1&lt;&gt;''"</formula>
    </cfRule>
  </conditionalFormatting>
  <conditionalFormatting sqref="P18">
    <cfRule type="cellIs" dxfId="714" priority="434" operator="equal">
      <formula>"CORRECT !"</formula>
    </cfRule>
  </conditionalFormatting>
  <conditionalFormatting sqref="P19">
    <cfRule type="cellIs" dxfId="713" priority="433" operator="equal">
      <formula>"CORRECT !"</formula>
    </cfRule>
  </conditionalFormatting>
  <conditionalFormatting sqref="T10:T28">
    <cfRule type="cellIs" dxfId="712" priority="504" operator="equal">
      <formula>"CORRECT !"</formula>
    </cfRule>
  </conditionalFormatting>
  <conditionalFormatting sqref="T9">
    <cfRule type="cellIs" dxfId="711" priority="503" operator="equal">
      <formula>"CORRECT !"</formula>
    </cfRule>
  </conditionalFormatting>
  <conditionalFormatting sqref="O9">
    <cfRule type="cellIs" dxfId="710" priority="510" operator="equal">
      <formula>"CORRECT !"</formula>
    </cfRule>
  </conditionalFormatting>
  <conditionalFormatting sqref="F9">
    <cfRule type="cellIs" dxfId="709" priority="509" operator="equal">
      <formula>"CORRECT !"</formula>
    </cfRule>
  </conditionalFormatting>
  <conditionalFormatting sqref="R10:R28">
    <cfRule type="cellIs" dxfId="708" priority="508" operator="equal">
      <formula>"CORRECT !"</formula>
    </cfRule>
  </conditionalFormatting>
  <conditionalFormatting sqref="R9">
    <cfRule type="cellIs" dxfId="707" priority="507" operator="equal">
      <formula>"CORRECT !"</formula>
    </cfRule>
  </conditionalFormatting>
  <conditionalFormatting sqref="S10:S28">
    <cfRule type="cellIs" dxfId="706" priority="506" operator="equal">
      <formula>"CORRECT !"</formula>
    </cfRule>
  </conditionalFormatting>
  <conditionalFormatting sqref="S9">
    <cfRule type="cellIs" dxfId="705" priority="505" operator="equal">
      <formula>"CORRECT !"</formula>
    </cfRule>
  </conditionalFormatting>
  <conditionalFormatting sqref="O10">
    <cfRule type="cellIs" dxfId="704" priority="502" operator="equal">
      <formula>"CORRECT !"</formula>
    </cfRule>
  </conditionalFormatting>
  <conditionalFormatting sqref="O27">
    <cfRule type="cellIs" dxfId="703" priority="485" operator="equal">
      <formula>"CORRECT !"</formula>
    </cfRule>
  </conditionalFormatting>
  <conditionalFormatting sqref="O28">
    <cfRule type="cellIs" dxfId="702" priority="484" operator="equal">
      <formula>"CORRECT !"</formula>
    </cfRule>
  </conditionalFormatting>
  <conditionalFormatting sqref="I9">
    <cfRule type="cellIs" dxfId="701" priority="483" operator="equal">
      <formula>"CORRECT !"</formula>
    </cfRule>
  </conditionalFormatting>
  <conditionalFormatting sqref="I10">
    <cfRule type="cellIs" dxfId="700" priority="482" operator="equal">
      <formula>"CORRECT !"</formula>
    </cfRule>
  </conditionalFormatting>
  <conditionalFormatting sqref="I28">
    <cfRule type="cellIs" dxfId="699" priority="464" operator="equal">
      <formula>"CORRECT !"</formula>
    </cfRule>
  </conditionalFormatting>
  <conditionalFormatting sqref="I27">
    <cfRule type="cellIs" dxfId="698" priority="465" operator="equal">
      <formula>"CORRECT !"</formula>
    </cfRule>
  </conditionalFormatting>
  <conditionalFormatting sqref="L9">
    <cfRule type="cellIs" dxfId="697" priority="463" operator="equal">
      <formula>"CORRECT !"</formula>
    </cfRule>
  </conditionalFormatting>
  <conditionalFormatting sqref="L10">
    <cfRule type="cellIs" dxfId="696" priority="462" operator="equal">
      <formula>"CORRECT !"</formula>
    </cfRule>
  </conditionalFormatting>
  <conditionalFormatting sqref="L11">
    <cfRule type="cellIs" dxfId="695" priority="461" operator="equal">
      <formula>"CORRECT !"</formula>
    </cfRule>
  </conditionalFormatting>
  <conditionalFormatting sqref="L12">
    <cfRule type="cellIs" dxfId="694" priority="460" operator="equal">
      <formula>"CORRECT !"</formula>
    </cfRule>
  </conditionalFormatting>
  <conditionalFormatting sqref="L13">
    <cfRule type="cellIs" dxfId="693" priority="459" operator="equal">
      <formula>"CORRECT !"</formula>
    </cfRule>
  </conditionalFormatting>
  <conditionalFormatting sqref="L14">
    <cfRule type="cellIs" dxfId="692" priority="458" operator="equal">
      <formula>"CORRECT !"</formula>
    </cfRule>
  </conditionalFormatting>
  <conditionalFormatting sqref="L15">
    <cfRule type="cellIs" dxfId="691" priority="457" operator="equal">
      <formula>"CORRECT !"</formula>
    </cfRule>
  </conditionalFormatting>
  <conditionalFormatting sqref="L16">
    <cfRule type="cellIs" dxfId="690" priority="456" operator="equal">
      <formula>"CORRECT !"</formula>
    </cfRule>
  </conditionalFormatting>
  <conditionalFormatting sqref="L17">
    <cfRule type="cellIs" dxfId="689" priority="455" operator="equal">
      <formula>"CORRECT !"</formula>
    </cfRule>
  </conditionalFormatting>
  <conditionalFormatting sqref="L18">
    <cfRule type="cellIs" dxfId="688" priority="454" operator="equal">
      <formula>"CORRECT !"</formula>
    </cfRule>
  </conditionalFormatting>
  <conditionalFormatting sqref="L19">
    <cfRule type="cellIs" dxfId="687" priority="453" operator="equal">
      <formula>"CORRECT !"</formula>
    </cfRule>
  </conditionalFormatting>
  <conditionalFormatting sqref="L20">
    <cfRule type="cellIs" dxfId="686" priority="452" operator="equal">
      <formula>"CORRECT !"</formula>
    </cfRule>
  </conditionalFormatting>
  <conditionalFormatting sqref="L21">
    <cfRule type="cellIs" dxfId="685" priority="451" operator="equal">
      <formula>"CORRECT !"</formula>
    </cfRule>
  </conditionalFormatting>
  <conditionalFormatting sqref="L22">
    <cfRule type="cellIs" dxfId="684" priority="450" operator="equal">
      <formula>"CORRECT !"</formula>
    </cfRule>
  </conditionalFormatting>
  <conditionalFormatting sqref="L23">
    <cfRule type="cellIs" dxfId="683" priority="449" operator="equal">
      <formula>"CORRECT !"</formula>
    </cfRule>
  </conditionalFormatting>
  <conditionalFormatting sqref="L24">
    <cfRule type="cellIs" dxfId="682" priority="448" operator="equal">
      <formula>"CORRECT !"</formula>
    </cfRule>
  </conditionalFormatting>
  <conditionalFormatting sqref="L25">
    <cfRule type="cellIs" dxfId="681" priority="447" operator="equal">
      <formula>"CORRECT !"</formula>
    </cfRule>
  </conditionalFormatting>
  <conditionalFormatting sqref="L26">
    <cfRule type="cellIs" dxfId="680" priority="446" operator="equal">
      <formula>"CORRECT !"</formula>
    </cfRule>
  </conditionalFormatting>
  <conditionalFormatting sqref="L27">
    <cfRule type="cellIs" dxfId="679" priority="445" operator="equal">
      <formula>"CORRECT !"</formula>
    </cfRule>
  </conditionalFormatting>
  <conditionalFormatting sqref="L28">
    <cfRule type="cellIs" dxfId="678" priority="444" operator="equal">
      <formula>"CORRECT !"</formula>
    </cfRule>
  </conditionalFormatting>
  <conditionalFormatting sqref="P9">
    <cfRule type="cellIs" dxfId="677" priority="443" operator="equal">
      <formula>"CORRECT !"</formula>
    </cfRule>
  </conditionalFormatting>
  <conditionalFormatting sqref="P10">
    <cfRule type="cellIs" dxfId="676" priority="442" operator="equal">
      <formula>"CORRECT !"</formula>
    </cfRule>
  </conditionalFormatting>
  <conditionalFormatting sqref="P11">
    <cfRule type="cellIs" dxfId="675" priority="441" operator="equal">
      <formula>"CORRECT !"</formula>
    </cfRule>
  </conditionalFormatting>
  <conditionalFormatting sqref="P12">
    <cfRule type="cellIs" dxfId="674" priority="440" operator="equal">
      <formula>"CORRECT !"</formula>
    </cfRule>
  </conditionalFormatting>
  <conditionalFormatting sqref="P13">
    <cfRule type="cellIs" dxfId="673" priority="439" operator="equal">
      <formula>"CORRECT !"</formula>
    </cfRule>
  </conditionalFormatting>
  <conditionalFormatting sqref="P14">
    <cfRule type="cellIs" dxfId="672" priority="438" operator="equal">
      <formula>"CORRECT !"</formula>
    </cfRule>
  </conditionalFormatting>
  <conditionalFormatting sqref="P15">
    <cfRule type="cellIs" dxfId="671" priority="437" operator="equal">
      <formula>"CORRECT !"</formula>
    </cfRule>
  </conditionalFormatting>
  <conditionalFormatting sqref="P16">
    <cfRule type="cellIs" dxfId="670" priority="436" operator="equal">
      <formula>"CORRECT !"</formula>
    </cfRule>
  </conditionalFormatting>
  <conditionalFormatting sqref="P17">
    <cfRule type="cellIs" dxfId="669" priority="435" operator="equal">
      <formula>"CORRECT !"</formula>
    </cfRule>
  </conditionalFormatting>
  <conditionalFormatting sqref="P20">
    <cfRule type="cellIs" dxfId="668" priority="432" operator="equal">
      <formula>"CORRECT !"</formula>
    </cfRule>
  </conditionalFormatting>
  <conditionalFormatting sqref="P21">
    <cfRule type="cellIs" dxfId="667" priority="431" operator="equal">
      <formula>"CORRECT !"</formula>
    </cfRule>
  </conditionalFormatting>
  <conditionalFormatting sqref="P22">
    <cfRule type="cellIs" dxfId="666" priority="430" operator="equal">
      <formula>"CORRECT !"</formula>
    </cfRule>
  </conditionalFormatting>
  <conditionalFormatting sqref="P23">
    <cfRule type="cellIs" dxfId="665" priority="429" operator="equal">
      <formula>"CORRECT !"</formula>
    </cfRule>
  </conditionalFormatting>
  <conditionalFormatting sqref="P24">
    <cfRule type="cellIs" dxfId="664" priority="428" operator="equal">
      <formula>"CORRECT !"</formula>
    </cfRule>
  </conditionalFormatting>
  <conditionalFormatting sqref="P25">
    <cfRule type="cellIs" dxfId="663" priority="427" operator="equal">
      <formula>"CORRECT !"</formula>
    </cfRule>
  </conditionalFormatting>
  <conditionalFormatting sqref="P26">
    <cfRule type="cellIs" dxfId="662" priority="426" operator="equal">
      <formula>"CORRECT !"</formula>
    </cfRule>
  </conditionalFormatting>
  <conditionalFormatting sqref="P27">
    <cfRule type="cellIs" dxfId="661" priority="425" operator="equal">
      <formula>"CORRECT !"</formula>
    </cfRule>
  </conditionalFormatting>
  <conditionalFormatting sqref="P28">
    <cfRule type="cellIs" dxfId="660" priority="424" operator="equal">
      <formula>"CORRECT !"</formula>
    </cfRule>
  </conditionalFormatting>
  <conditionalFormatting sqref="F10">
    <cfRule type="cellIs" dxfId="659" priority="102" operator="equal">
      <formula>"CORRECT !"</formula>
    </cfRule>
  </conditionalFormatting>
  <conditionalFormatting sqref="F11">
    <cfRule type="cellIs" dxfId="658" priority="101" operator="equal">
      <formula>"CORRECT !"</formula>
    </cfRule>
  </conditionalFormatting>
  <conditionalFormatting sqref="F12">
    <cfRule type="cellIs" dxfId="657" priority="100" operator="equal">
      <formula>"CORRECT !"</formula>
    </cfRule>
  </conditionalFormatting>
  <conditionalFormatting sqref="F13">
    <cfRule type="cellIs" dxfId="656" priority="99" operator="equal">
      <formula>"CORRECT !"</formula>
    </cfRule>
  </conditionalFormatting>
  <conditionalFormatting sqref="F14">
    <cfRule type="cellIs" dxfId="655" priority="98" operator="equal">
      <formula>"CORRECT !"</formula>
    </cfRule>
  </conditionalFormatting>
  <conditionalFormatting sqref="F15">
    <cfRule type="cellIs" dxfId="654" priority="97" operator="equal">
      <formula>"CORRECT !"</formula>
    </cfRule>
  </conditionalFormatting>
  <conditionalFormatting sqref="F16">
    <cfRule type="cellIs" dxfId="653" priority="96" operator="equal">
      <formula>"CORRECT !"</formula>
    </cfRule>
  </conditionalFormatting>
  <conditionalFormatting sqref="F17">
    <cfRule type="cellIs" dxfId="652" priority="95" operator="equal">
      <formula>"CORRECT !"</formula>
    </cfRule>
  </conditionalFormatting>
  <conditionalFormatting sqref="F18">
    <cfRule type="cellIs" dxfId="651" priority="94" operator="equal">
      <formula>"CORRECT !"</formula>
    </cfRule>
  </conditionalFormatting>
  <conditionalFormatting sqref="F19">
    <cfRule type="cellIs" dxfId="650" priority="93" operator="equal">
      <formula>"CORRECT !"</formula>
    </cfRule>
  </conditionalFormatting>
  <conditionalFormatting sqref="F20">
    <cfRule type="cellIs" dxfId="649" priority="92" operator="equal">
      <formula>"CORRECT !"</formula>
    </cfRule>
  </conditionalFormatting>
  <conditionalFormatting sqref="F21">
    <cfRule type="cellIs" dxfId="648" priority="91" operator="equal">
      <formula>"CORRECT !"</formula>
    </cfRule>
  </conditionalFormatting>
  <conditionalFormatting sqref="F22">
    <cfRule type="cellIs" dxfId="647" priority="90" operator="equal">
      <formula>"CORRECT !"</formula>
    </cfRule>
  </conditionalFormatting>
  <conditionalFormatting sqref="F23">
    <cfRule type="cellIs" dxfId="646" priority="89" operator="equal">
      <formula>"CORRECT !"</formula>
    </cfRule>
  </conditionalFormatting>
  <conditionalFormatting sqref="F24">
    <cfRule type="cellIs" dxfId="645" priority="88" operator="equal">
      <formula>"CORRECT !"</formula>
    </cfRule>
  </conditionalFormatting>
  <conditionalFormatting sqref="F25">
    <cfRule type="cellIs" dxfId="644" priority="87" operator="equal">
      <formula>"CORRECT !"</formula>
    </cfRule>
  </conditionalFormatting>
  <conditionalFormatting sqref="F26">
    <cfRule type="cellIs" dxfId="643" priority="86" operator="equal">
      <formula>"CORRECT !"</formula>
    </cfRule>
  </conditionalFormatting>
  <conditionalFormatting sqref="F27">
    <cfRule type="cellIs" dxfId="642" priority="85" operator="equal">
      <formula>"CORRECT !"</formula>
    </cfRule>
  </conditionalFormatting>
  <conditionalFormatting sqref="F28">
    <cfRule type="cellIs" dxfId="641" priority="84" operator="equal">
      <formula>"CORRECT !"</formula>
    </cfRule>
  </conditionalFormatting>
  <conditionalFormatting sqref="F29">
    <cfRule type="cellIs" dxfId="640" priority="83" operator="equal">
      <formula>"CORRECT !"</formula>
    </cfRule>
  </conditionalFormatting>
  <conditionalFormatting sqref="F30">
    <cfRule type="cellIs" dxfId="639" priority="82" operator="equal">
      <formula>"CORRECT !"</formula>
    </cfRule>
  </conditionalFormatting>
  <conditionalFormatting sqref="F31">
    <cfRule type="cellIs" dxfId="638" priority="81" operator="equal">
      <formula>"CORRECT !"</formula>
    </cfRule>
  </conditionalFormatting>
  <conditionalFormatting sqref="F32">
    <cfRule type="cellIs" dxfId="637" priority="80" operator="equal">
      <formula>"CORRECT !"</formula>
    </cfRule>
  </conditionalFormatting>
  <conditionalFormatting sqref="F33">
    <cfRule type="cellIs" dxfId="636" priority="79" operator="equal">
      <formula>"CORRECT !"</formula>
    </cfRule>
  </conditionalFormatting>
  <conditionalFormatting sqref="F34">
    <cfRule type="cellIs" dxfId="635" priority="78" operator="equal">
      <formula>"CORRECT !"</formula>
    </cfRule>
  </conditionalFormatting>
  <conditionalFormatting sqref="F35">
    <cfRule type="cellIs" dxfId="634" priority="77" operator="equal">
      <formula>"CORRECT !"</formula>
    </cfRule>
  </conditionalFormatting>
  <conditionalFormatting sqref="F36">
    <cfRule type="cellIs" dxfId="633" priority="76" operator="equal">
      <formula>"CORRECT !"</formula>
    </cfRule>
  </conditionalFormatting>
  <conditionalFormatting sqref="F37">
    <cfRule type="cellIs" dxfId="632" priority="75" operator="equal">
      <formula>"CORRECT !"</formula>
    </cfRule>
  </conditionalFormatting>
  <conditionalFormatting sqref="F38">
    <cfRule type="cellIs" dxfId="631" priority="74" operator="equal">
      <formula>"CORRECT !"</formula>
    </cfRule>
  </conditionalFormatting>
  <conditionalFormatting sqref="F39">
    <cfRule type="cellIs" dxfId="630" priority="73" operator="equal">
      <formula>"CORRECT !"</formula>
    </cfRule>
  </conditionalFormatting>
  <conditionalFormatting sqref="F40">
    <cfRule type="cellIs" dxfId="629" priority="72" operator="equal">
      <formula>"CORRECT !"</formula>
    </cfRule>
  </conditionalFormatting>
  <conditionalFormatting sqref="F41">
    <cfRule type="cellIs" dxfId="628" priority="71" operator="equal">
      <formula>"CORRECT !"</formula>
    </cfRule>
  </conditionalFormatting>
  <conditionalFormatting sqref="F42">
    <cfRule type="cellIs" dxfId="627" priority="70" operator="equal">
      <formula>"CORRECT !"</formula>
    </cfRule>
  </conditionalFormatting>
  <conditionalFormatting sqref="G10">
    <cfRule type="expression" dxfId="626" priority="33">
      <formula>$A$4&lt;&gt;""</formula>
    </cfRule>
  </conditionalFormatting>
  <conditionalFormatting sqref="G11">
    <cfRule type="expression" dxfId="625" priority="32">
      <formula>$A$4&lt;&gt;""</formula>
    </cfRule>
  </conditionalFormatting>
  <conditionalFormatting sqref="G12">
    <cfRule type="expression" dxfId="624" priority="31">
      <formula>$A$4&lt;&gt;""</formula>
    </cfRule>
  </conditionalFormatting>
  <conditionalFormatting sqref="G13">
    <cfRule type="expression" dxfId="623" priority="30">
      <formula>$A$4&lt;&gt;""</formula>
    </cfRule>
  </conditionalFormatting>
  <conditionalFormatting sqref="G14">
    <cfRule type="expression" dxfId="622" priority="29">
      <formula>$A$4&lt;&gt;""</formula>
    </cfRule>
  </conditionalFormatting>
  <conditionalFormatting sqref="G15">
    <cfRule type="expression" dxfId="621" priority="28">
      <formula>$A$4&lt;&gt;""</formula>
    </cfRule>
  </conditionalFormatting>
  <conditionalFormatting sqref="G16">
    <cfRule type="expression" dxfId="620" priority="27">
      <formula>$A$4&lt;&gt;""</formula>
    </cfRule>
  </conditionalFormatting>
  <conditionalFormatting sqref="G17">
    <cfRule type="expression" dxfId="619" priority="26">
      <formula>$A$4&lt;&gt;""</formula>
    </cfRule>
  </conditionalFormatting>
  <conditionalFormatting sqref="G18">
    <cfRule type="expression" dxfId="618" priority="25">
      <formula>$A$4&lt;&gt;""</formula>
    </cfRule>
  </conditionalFormatting>
  <conditionalFormatting sqref="G19">
    <cfRule type="expression" dxfId="617" priority="24">
      <formula>$A$4&lt;&gt;""</formula>
    </cfRule>
  </conditionalFormatting>
  <conditionalFormatting sqref="G20">
    <cfRule type="expression" dxfId="616" priority="23">
      <formula>$A$4&lt;&gt;""</formula>
    </cfRule>
  </conditionalFormatting>
  <conditionalFormatting sqref="G21">
    <cfRule type="expression" dxfId="615" priority="22">
      <formula>$A$4&lt;&gt;""</formula>
    </cfRule>
  </conditionalFormatting>
  <conditionalFormatting sqref="G22">
    <cfRule type="expression" dxfId="614" priority="21">
      <formula>$A$4&lt;&gt;""</formula>
    </cfRule>
  </conditionalFormatting>
  <conditionalFormatting sqref="G23">
    <cfRule type="expression" dxfId="613" priority="20">
      <formula>$A$4&lt;&gt;""</formula>
    </cfRule>
  </conditionalFormatting>
  <conditionalFormatting sqref="G24">
    <cfRule type="expression" dxfId="612" priority="19">
      <formula>$A$4&lt;&gt;""</formula>
    </cfRule>
  </conditionalFormatting>
  <conditionalFormatting sqref="G25">
    <cfRule type="expression" dxfId="611" priority="18">
      <formula>$A$4&lt;&gt;""</formula>
    </cfRule>
  </conditionalFormatting>
  <conditionalFormatting sqref="G26">
    <cfRule type="expression" dxfId="610" priority="17">
      <formula>$A$4&lt;&gt;""</formula>
    </cfRule>
  </conditionalFormatting>
  <conditionalFormatting sqref="G27">
    <cfRule type="expression" dxfId="609" priority="16">
      <formula>$A$4&lt;&gt;""</formula>
    </cfRule>
  </conditionalFormatting>
  <conditionalFormatting sqref="G28">
    <cfRule type="expression" dxfId="608" priority="15">
      <formula>$A$4&lt;&gt;""</formula>
    </cfRule>
  </conditionalFormatting>
  <conditionalFormatting sqref="G29">
    <cfRule type="expression" dxfId="607" priority="14">
      <formula>$A$4&lt;&gt;""</formula>
    </cfRule>
  </conditionalFormatting>
  <conditionalFormatting sqref="G30">
    <cfRule type="expression" dxfId="606" priority="13">
      <formula>$A$4&lt;&gt;""</formula>
    </cfRule>
  </conditionalFormatting>
  <conditionalFormatting sqref="G31">
    <cfRule type="expression" dxfId="605" priority="12">
      <formula>$A$4&lt;&gt;""</formula>
    </cfRule>
  </conditionalFormatting>
  <conditionalFormatting sqref="G32">
    <cfRule type="expression" dxfId="604" priority="11">
      <formula>$A$4&lt;&gt;""</formula>
    </cfRule>
  </conditionalFormatting>
  <conditionalFormatting sqref="G33">
    <cfRule type="expression" dxfId="603" priority="10">
      <formula>$A$4&lt;&gt;""</formula>
    </cfRule>
  </conditionalFormatting>
  <conditionalFormatting sqref="G34">
    <cfRule type="expression" dxfId="602" priority="9">
      <formula>$A$4&lt;&gt;""</formula>
    </cfRule>
  </conditionalFormatting>
  <conditionalFormatting sqref="G35">
    <cfRule type="expression" dxfId="601" priority="8">
      <formula>$A$4&lt;&gt;""</formula>
    </cfRule>
  </conditionalFormatting>
  <conditionalFormatting sqref="G36">
    <cfRule type="expression" dxfId="600" priority="7">
      <formula>$A$4&lt;&gt;""</formula>
    </cfRule>
  </conditionalFormatting>
  <conditionalFormatting sqref="G37">
    <cfRule type="expression" dxfId="599" priority="6">
      <formula>$A$4&lt;&gt;""</formula>
    </cfRule>
  </conditionalFormatting>
  <conditionalFormatting sqref="G38">
    <cfRule type="expression" dxfId="598" priority="5">
      <formula>$A$4&lt;&gt;""</formula>
    </cfRule>
  </conditionalFormatting>
  <conditionalFormatting sqref="G39">
    <cfRule type="expression" dxfId="597" priority="4">
      <formula>$A$4&lt;&gt;""</formula>
    </cfRule>
  </conditionalFormatting>
  <conditionalFormatting sqref="G40">
    <cfRule type="expression" dxfId="596" priority="3">
      <formula>$A$4&lt;&gt;""</formula>
    </cfRule>
  </conditionalFormatting>
  <conditionalFormatting sqref="G41">
    <cfRule type="expression" dxfId="595" priority="2">
      <formula>$A$4&lt;&gt;""</formula>
    </cfRule>
  </conditionalFormatting>
  <conditionalFormatting sqref="G42">
    <cfRule type="expression" dxfId="594" priority="1">
      <formula>$A$4&lt;&gt;""</formula>
    </cfRule>
  </conditionalFormatting>
  <hyperlinks>
    <hyperlink ref="B1" r:id="rId1" xr:uid="{C5871FF4-B9FD-4F1B-89B1-2AC88311F644}"/>
  </hyperlinks>
  <pageMargins left="0.7" right="0.7" top="0.75" bottom="0.75" header="0.3" footer="0.3"/>
  <pageSetup orientation="landscape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96-F163-48E5-B0BC-2D9BE2C3E870}">
  <dimension ref="A1:S171"/>
  <sheetViews>
    <sheetView showGridLines="0" topLeftCell="A4" workbookViewId="0">
      <selection activeCell="C7" sqref="C7"/>
    </sheetView>
  </sheetViews>
  <sheetFormatPr defaultRowHeight="21" x14ac:dyDescent="0.4"/>
  <cols>
    <col min="1" max="1" width="5.77734375" style="16" customWidth="1"/>
    <col min="2" max="2" width="3.33203125" style="40" customWidth="1"/>
    <col min="3" max="3" width="7.5546875" style="40" customWidth="1"/>
    <col min="4" max="4" width="3.44140625" style="10" customWidth="1"/>
    <col min="5" max="5" width="7.77734375" style="19" customWidth="1"/>
    <col min="6" max="6" width="3.77734375" customWidth="1"/>
    <col min="7" max="7" width="4.5546875" style="14" customWidth="1"/>
    <col min="8" max="8" width="8.33203125" style="10" customWidth="1"/>
    <col min="9" max="9" width="3.44140625" style="19" customWidth="1"/>
    <col min="10" max="10" width="5" style="20" customWidth="1"/>
    <col min="11" max="11" width="7.44140625" style="10" customWidth="1"/>
    <col min="12" max="12" width="3.44140625" style="19" customWidth="1"/>
    <col min="13" max="13" width="9.109375" style="14" customWidth="1"/>
    <col min="14" max="14" width="3.6640625" customWidth="1"/>
    <col min="15" max="15" width="5.77734375" style="10" customWidth="1"/>
    <col min="16" max="16" width="8.88671875" style="13"/>
  </cols>
  <sheetData>
    <row r="1" spans="1:16" x14ac:dyDescent="0.4">
      <c r="A1" s="86"/>
      <c r="B1" s="80"/>
      <c r="C1" s="80"/>
      <c r="D1" s="68"/>
      <c r="E1" s="67"/>
      <c r="F1" s="67"/>
      <c r="G1" s="1"/>
      <c r="H1" s="68"/>
      <c r="I1" s="69"/>
      <c r="J1" s="70"/>
      <c r="K1" s="68"/>
      <c r="L1" s="69"/>
      <c r="M1" s="104"/>
      <c r="N1" s="108" t="s">
        <v>83</v>
      </c>
      <c r="O1" s="85" t="s">
        <v>84</v>
      </c>
      <c r="P1" s="87"/>
    </row>
    <row r="2" spans="1:16" ht="23.4" x14ac:dyDescent="0.45">
      <c r="A2" s="88"/>
      <c r="B2" s="89"/>
      <c r="C2" s="131" t="s">
        <v>44</v>
      </c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5"/>
      <c r="P2" s="73"/>
    </row>
    <row r="3" spans="1:16" ht="21" customHeight="1" x14ac:dyDescent="0.35">
      <c r="A3" s="76"/>
      <c r="B3" s="130" t="s">
        <v>79</v>
      </c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77"/>
      <c r="P3" s="78"/>
    </row>
    <row r="4" spans="1:16" x14ac:dyDescent="0.4">
      <c r="A4" s="52"/>
      <c r="B4" s="56"/>
      <c r="C4" s="56"/>
      <c r="D4" s="5"/>
      <c r="E4" s="17"/>
      <c r="F4" s="2"/>
      <c r="G4" s="37"/>
      <c r="H4" s="5"/>
      <c r="I4" s="17"/>
      <c r="J4" s="38"/>
      <c r="K4" s="5"/>
      <c r="L4" s="17"/>
      <c r="M4" s="37"/>
      <c r="N4" s="7"/>
      <c r="O4" s="5"/>
      <c r="P4" s="11"/>
    </row>
    <row r="5" spans="1:16" ht="21" customHeight="1" x14ac:dyDescent="0.35">
      <c r="A5" s="52"/>
      <c r="B5" s="4"/>
      <c r="C5" s="132" t="s">
        <v>45</v>
      </c>
      <c r="D5" s="132"/>
      <c r="E5" s="132"/>
      <c r="F5" s="132"/>
      <c r="G5" s="132"/>
      <c r="H5" s="132"/>
      <c r="I5" s="132"/>
      <c r="J5" s="132"/>
      <c r="K5" s="132"/>
      <c r="L5" s="132"/>
      <c r="M5" s="22"/>
      <c r="N5" s="27"/>
      <c r="O5" s="31"/>
      <c r="P5" s="11"/>
    </row>
    <row r="6" spans="1:16" x14ac:dyDescent="0.4">
      <c r="A6" s="52"/>
      <c r="B6" s="4"/>
      <c r="C6" s="62"/>
      <c r="D6" s="5"/>
      <c r="E6" s="30"/>
      <c r="F6" s="2"/>
      <c r="G6" s="37"/>
      <c r="H6" s="5"/>
      <c r="I6" s="17"/>
      <c r="J6" s="38"/>
      <c r="K6" s="5"/>
      <c r="L6" s="17"/>
      <c r="M6" s="37"/>
      <c r="N6" s="7"/>
      <c r="O6" s="5"/>
      <c r="P6" s="11"/>
    </row>
    <row r="7" spans="1:16" x14ac:dyDescent="0.4">
      <c r="A7" s="53"/>
      <c r="B7" s="40">
        <f>IF(OR(AND($F7="y",$C7=E7,$I7="",$L7=""),AND($F7="",$C7=H7,$I7="y",$L7=""),AND($F7="",$C7=$K7,$I7="",$L7="y")),1,0)</f>
        <v>1</v>
      </c>
      <c r="C7" s="55" t="s">
        <v>66</v>
      </c>
      <c r="D7" s="15" t="str">
        <f>CONCATENATE(F6+1,".")</f>
        <v>1.</v>
      </c>
      <c r="E7" s="97" t="s">
        <v>66</v>
      </c>
      <c r="F7" s="98" t="s">
        <v>47</v>
      </c>
      <c r="G7" s="26"/>
      <c r="H7" s="97" t="s">
        <v>68</v>
      </c>
      <c r="I7" s="98"/>
      <c r="J7" s="26"/>
      <c r="K7" s="97" t="s">
        <v>65</v>
      </c>
      <c r="L7" s="98"/>
      <c r="M7" s="9"/>
      <c r="N7" s="36"/>
      <c r="O7"/>
      <c r="P7"/>
    </row>
    <row r="8" spans="1:16" x14ac:dyDescent="0.4">
      <c r="A8" s="53"/>
      <c r="B8" s="40">
        <f t="shared" ref="B8:B21" si="0">IF(OR(AND($F8="y",$C8=E8,$I8&lt;&gt;"y",$L8&lt;&gt;"y"),AND($F8&lt;&gt;"y",$C8=H8,$I8="y",$L8&lt;&gt;"y"),AND($F8&lt;&gt;"y",$C8=$K8,$I8&lt;&gt;"y",$L8="y")),1,0)</f>
        <v>0</v>
      </c>
      <c r="C8" s="55" t="s">
        <v>49</v>
      </c>
      <c r="D8" s="15" t="str">
        <f t="shared" ref="D8:D21" si="1">CONCATENATE(D7+1,".")</f>
        <v>2.</v>
      </c>
      <c r="E8" s="54" t="s">
        <v>53</v>
      </c>
      <c r="F8" s="8" t="str">
        <f>[1]!wwsInput()</f>
        <v/>
      </c>
      <c r="G8" s="26"/>
      <c r="H8" s="54" t="s">
        <v>49</v>
      </c>
      <c r="I8" s="8" t="str">
        <f>[1]!wwsInput()</f>
        <v/>
      </c>
      <c r="J8" s="26"/>
      <c r="K8" s="54" t="s">
        <v>5</v>
      </c>
      <c r="L8" s="8" t="str">
        <f>[1]!wwsInput()</f>
        <v/>
      </c>
      <c r="M8" s="9"/>
      <c r="N8" s="36"/>
      <c r="O8"/>
      <c r="P8"/>
    </row>
    <row r="9" spans="1:16" x14ac:dyDescent="0.4">
      <c r="A9" s="53"/>
      <c r="B9" s="40">
        <f t="shared" si="0"/>
        <v>0</v>
      </c>
      <c r="C9" s="55" t="s">
        <v>48</v>
      </c>
      <c r="D9" s="15" t="str">
        <f t="shared" si="1"/>
        <v>3.</v>
      </c>
      <c r="E9" s="54" t="s">
        <v>61</v>
      </c>
      <c r="F9" s="8" t="str">
        <f>[1]!wwsInput()</f>
        <v/>
      </c>
      <c r="G9" s="26"/>
      <c r="H9" s="54" t="s">
        <v>48</v>
      </c>
      <c r="I9" s="8" t="str">
        <f>[1]!wwsInput()</f>
        <v/>
      </c>
      <c r="J9" s="26" t="s">
        <v>47</v>
      </c>
      <c r="K9" s="54" t="s">
        <v>63</v>
      </c>
      <c r="L9" s="8" t="str">
        <f>[1]!wwsInput()</f>
        <v/>
      </c>
      <c r="M9" s="9"/>
      <c r="N9" s="36"/>
      <c r="O9"/>
      <c r="P9"/>
    </row>
    <row r="10" spans="1:16" x14ac:dyDescent="0.4">
      <c r="A10" s="53"/>
      <c r="B10" s="40">
        <f t="shared" si="0"/>
        <v>0</v>
      </c>
      <c r="C10" s="55" t="s">
        <v>58</v>
      </c>
      <c r="D10" s="15" t="str">
        <f t="shared" si="1"/>
        <v>4.</v>
      </c>
      <c r="E10" s="54" t="s">
        <v>58</v>
      </c>
      <c r="F10" s="8" t="str">
        <f>[1]!wwsInput()</f>
        <v/>
      </c>
      <c r="G10" s="26"/>
      <c r="H10" s="54" t="s">
        <v>57</v>
      </c>
      <c r="I10" s="8" t="str">
        <f>[1]!wwsInput()</f>
        <v/>
      </c>
      <c r="J10" s="26"/>
      <c r="K10" s="54" t="s">
        <v>56</v>
      </c>
      <c r="L10" s="8" t="str">
        <f>[1]!wwsInput()</f>
        <v/>
      </c>
      <c r="M10" s="9"/>
      <c r="N10" s="36"/>
      <c r="O10"/>
      <c r="P10"/>
    </row>
    <row r="11" spans="1:16" x14ac:dyDescent="0.4">
      <c r="A11" s="53"/>
      <c r="B11" s="40">
        <f t="shared" si="0"/>
        <v>0</v>
      </c>
      <c r="C11" s="55" t="s">
        <v>75</v>
      </c>
      <c r="D11" s="15" t="str">
        <f t="shared" si="1"/>
        <v>5.</v>
      </c>
      <c r="E11" s="54" t="s">
        <v>73</v>
      </c>
      <c r="F11" s="8" t="str">
        <f>[1]!wwsInput()</f>
        <v/>
      </c>
      <c r="G11" s="26"/>
      <c r="H11" s="54" t="s">
        <v>75</v>
      </c>
      <c r="I11" s="8" t="str">
        <f>[1]!wwsInput()</f>
        <v/>
      </c>
      <c r="J11" s="26"/>
      <c r="K11" s="54" t="s">
        <v>74</v>
      </c>
      <c r="L11" s="8" t="str">
        <f>[1]!wwsInput()</f>
        <v/>
      </c>
      <c r="M11" s="9"/>
      <c r="N11" s="36"/>
      <c r="O11"/>
      <c r="P11"/>
    </row>
    <row r="12" spans="1:16" x14ac:dyDescent="0.4">
      <c r="A12" s="53"/>
      <c r="B12" s="40">
        <f t="shared" si="0"/>
        <v>0</v>
      </c>
      <c r="C12" s="55" t="s">
        <v>52</v>
      </c>
      <c r="D12" s="15" t="str">
        <f t="shared" si="1"/>
        <v>6.</v>
      </c>
      <c r="E12" s="54" t="s">
        <v>54</v>
      </c>
      <c r="F12" s="8" t="str">
        <f>[1]!wwsInput()</f>
        <v/>
      </c>
      <c r="G12" s="26"/>
      <c r="H12" s="54" t="s">
        <v>51</v>
      </c>
      <c r="I12" s="8" t="str">
        <f>[1]!wwsInput()</f>
        <v/>
      </c>
      <c r="J12" s="26"/>
      <c r="K12" s="54" t="s">
        <v>52</v>
      </c>
      <c r="L12" s="8" t="str">
        <f>[1]!wwsInput()</f>
        <v/>
      </c>
      <c r="M12" s="9"/>
      <c r="N12" s="36"/>
      <c r="O12"/>
      <c r="P12"/>
    </row>
    <row r="13" spans="1:16" x14ac:dyDescent="0.4">
      <c r="A13" s="53"/>
      <c r="B13" s="40">
        <f t="shared" si="0"/>
        <v>0</v>
      </c>
      <c r="C13" s="55" t="s">
        <v>72</v>
      </c>
      <c r="D13" s="15" t="str">
        <f t="shared" si="1"/>
        <v>7.</v>
      </c>
      <c r="E13" s="54" t="s">
        <v>74</v>
      </c>
      <c r="F13" s="8" t="str">
        <f>[1]!wwsInput()</f>
        <v/>
      </c>
      <c r="G13" s="26"/>
      <c r="H13" s="54" t="s">
        <v>7</v>
      </c>
      <c r="I13" s="8" t="str">
        <f>[1]!wwsInput()</f>
        <v/>
      </c>
      <c r="J13" s="26"/>
      <c r="K13" s="54" t="s">
        <v>72</v>
      </c>
      <c r="L13" s="8" t="str">
        <f>[1]!wwsInput()</f>
        <v/>
      </c>
      <c r="M13" s="9"/>
      <c r="N13" s="36"/>
      <c r="O13"/>
      <c r="P13"/>
    </row>
    <row r="14" spans="1:16" x14ac:dyDescent="0.4">
      <c r="A14" s="53"/>
      <c r="B14" s="40">
        <f t="shared" si="0"/>
        <v>0</v>
      </c>
      <c r="C14" s="55" t="s">
        <v>55</v>
      </c>
      <c r="D14" s="15" t="str">
        <f t="shared" si="1"/>
        <v>8.</v>
      </c>
      <c r="E14" s="54" t="s">
        <v>55</v>
      </c>
      <c r="F14" s="8" t="str">
        <f>[1]!wwsInput()</f>
        <v/>
      </c>
      <c r="G14" s="26"/>
      <c r="H14" s="54" t="s">
        <v>50</v>
      </c>
      <c r="I14" s="8" t="str">
        <f>[1]!wwsInput()</f>
        <v/>
      </c>
      <c r="J14" s="26"/>
      <c r="K14" s="54" t="s">
        <v>30</v>
      </c>
      <c r="L14" s="8" t="str">
        <f>[1]!wwsInput()</f>
        <v/>
      </c>
      <c r="M14" s="9"/>
      <c r="N14" s="36"/>
      <c r="O14"/>
      <c r="P14"/>
    </row>
    <row r="15" spans="1:16" x14ac:dyDescent="0.4">
      <c r="A15" s="53"/>
      <c r="B15" s="40">
        <f t="shared" si="0"/>
        <v>0</v>
      </c>
      <c r="C15" s="55" t="s">
        <v>75</v>
      </c>
      <c r="D15" s="15" t="str">
        <f t="shared" si="1"/>
        <v>9.</v>
      </c>
      <c r="E15" s="54" t="s">
        <v>75</v>
      </c>
      <c r="F15" s="8" t="str">
        <f>[1]!wwsInput()</f>
        <v/>
      </c>
      <c r="G15" s="26"/>
      <c r="H15" s="54" t="s">
        <v>29</v>
      </c>
      <c r="I15" s="8" t="str">
        <f>[1]!wwsInput()</f>
        <v/>
      </c>
      <c r="J15" s="26"/>
      <c r="K15" s="54" t="s">
        <v>71</v>
      </c>
      <c r="L15" s="8" t="str">
        <f>[1]!wwsInput()</f>
        <v/>
      </c>
      <c r="M15" s="9"/>
      <c r="N15" s="36"/>
      <c r="O15"/>
      <c r="P15"/>
    </row>
    <row r="16" spans="1:16" x14ac:dyDescent="0.4">
      <c r="A16" s="53"/>
      <c r="B16" s="40">
        <f t="shared" si="0"/>
        <v>0</v>
      </c>
      <c r="C16" s="55" t="s">
        <v>68</v>
      </c>
      <c r="D16" s="15" t="str">
        <f t="shared" si="1"/>
        <v>10.</v>
      </c>
      <c r="E16" s="54" t="s">
        <v>65</v>
      </c>
      <c r="F16" s="8" t="str">
        <f>[1]!wwsInput()</f>
        <v/>
      </c>
      <c r="G16" s="26"/>
      <c r="H16" s="54" t="s">
        <v>67</v>
      </c>
      <c r="I16" s="8" t="str">
        <f>[1]!wwsInput()</f>
        <v/>
      </c>
      <c r="J16" s="26"/>
      <c r="K16" s="54" t="s">
        <v>68</v>
      </c>
      <c r="L16" s="8" t="str">
        <f>[1]!wwsInput()</f>
        <v/>
      </c>
      <c r="M16" s="9"/>
      <c r="N16" s="36"/>
      <c r="O16"/>
      <c r="P16"/>
    </row>
    <row r="17" spans="1:19" x14ac:dyDescent="0.4">
      <c r="A17" s="53"/>
      <c r="B17" s="40">
        <f t="shared" si="0"/>
        <v>0</v>
      </c>
      <c r="C17" s="55" t="s">
        <v>64</v>
      </c>
      <c r="D17" s="15" t="str">
        <f t="shared" si="1"/>
        <v>11.</v>
      </c>
      <c r="E17" s="54" t="s">
        <v>64</v>
      </c>
      <c r="F17" s="8" t="str">
        <f>[1]!wwsInput()</f>
        <v/>
      </c>
      <c r="G17" s="26"/>
      <c r="H17" s="54" t="s">
        <v>59</v>
      </c>
      <c r="I17" s="8" t="str">
        <f>[1]!wwsInput()</f>
        <v/>
      </c>
      <c r="J17" s="26"/>
      <c r="K17" s="54" t="s">
        <v>31</v>
      </c>
      <c r="L17" s="8" t="str">
        <f>[1]!wwsInput()</f>
        <v/>
      </c>
      <c r="M17" s="9"/>
      <c r="N17" s="36"/>
      <c r="O17"/>
      <c r="P17"/>
    </row>
    <row r="18" spans="1:19" x14ac:dyDescent="0.4">
      <c r="A18" s="53"/>
      <c r="B18" s="40">
        <f t="shared" si="0"/>
        <v>0</v>
      </c>
      <c r="C18" s="55" t="s">
        <v>48</v>
      </c>
      <c r="D18" s="15" t="str">
        <f t="shared" si="1"/>
        <v>12.</v>
      </c>
      <c r="E18" s="54" t="s">
        <v>62</v>
      </c>
      <c r="F18" s="8" t="str">
        <f>[1]!wwsInput()</f>
        <v/>
      </c>
      <c r="G18" s="26"/>
      <c r="H18" s="54" t="s">
        <v>31</v>
      </c>
      <c r="I18" s="8" t="str">
        <f>[1]!wwsInput()</f>
        <v/>
      </c>
      <c r="J18" s="26"/>
      <c r="K18" s="54" t="s">
        <v>48</v>
      </c>
      <c r="L18" s="8" t="str">
        <f>[1]!wwsInput()</f>
        <v/>
      </c>
      <c r="M18" s="9"/>
      <c r="N18" s="36"/>
      <c r="O18"/>
      <c r="P18"/>
    </row>
    <row r="19" spans="1:19" x14ac:dyDescent="0.4">
      <c r="A19" s="53"/>
      <c r="B19" s="40">
        <f t="shared" si="0"/>
        <v>0</v>
      </c>
      <c r="C19" s="55" t="s">
        <v>7</v>
      </c>
      <c r="D19" s="15" t="str">
        <f t="shared" si="1"/>
        <v>13.</v>
      </c>
      <c r="E19" s="54" t="s">
        <v>70</v>
      </c>
      <c r="F19" s="8" t="str">
        <f>[1]!wwsInput()</f>
        <v/>
      </c>
      <c r="G19" s="26"/>
      <c r="H19" s="54" t="s">
        <v>29</v>
      </c>
      <c r="I19" s="8" t="str">
        <f>[1]!wwsInput()</f>
        <v/>
      </c>
      <c r="J19" s="26"/>
      <c r="K19" s="54" t="s">
        <v>7</v>
      </c>
      <c r="L19" s="8" t="str">
        <f>[1]!wwsInput()</f>
        <v/>
      </c>
      <c r="M19" s="9"/>
      <c r="N19" s="36"/>
      <c r="O19"/>
      <c r="P19"/>
    </row>
    <row r="20" spans="1:19" x14ac:dyDescent="0.4">
      <c r="A20" s="53"/>
      <c r="B20" s="40">
        <f t="shared" si="0"/>
        <v>0</v>
      </c>
      <c r="C20" s="55" t="s">
        <v>60</v>
      </c>
      <c r="D20" s="15" t="str">
        <f t="shared" si="1"/>
        <v>14.</v>
      </c>
      <c r="E20" s="54" t="s">
        <v>69</v>
      </c>
      <c r="F20" s="8" t="str">
        <f>[1]!wwsInput()</f>
        <v/>
      </c>
      <c r="G20" s="26"/>
      <c r="H20" s="54" t="s">
        <v>60</v>
      </c>
      <c r="I20" s="8" t="str">
        <f>[1]!wwsInput()</f>
        <v/>
      </c>
      <c r="J20" s="26"/>
      <c r="K20" s="54" t="s">
        <v>72</v>
      </c>
      <c r="L20" s="8" t="str">
        <f>[1]!wwsInput()</f>
        <v/>
      </c>
      <c r="M20" s="9"/>
      <c r="N20" s="36"/>
      <c r="O20"/>
      <c r="P20"/>
    </row>
    <row r="21" spans="1:19" x14ac:dyDescent="0.4">
      <c r="A21" s="39">
        <f>SUM(B7:B21)/15</f>
        <v>6.6666666666666666E-2</v>
      </c>
      <c r="B21" s="40">
        <f t="shared" si="0"/>
        <v>0</v>
      </c>
      <c r="C21" s="55" t="s">
        <v>62</v>
      </c>
      <c r="D21" s="15" t="str">
        <f t="shared" si="1"/>
        <v>15.</v>
      </c>
      <c r="E21" s="54" t="s">
        <v>59</v>
      </c>
      <c r="F21" s="8" t="str">
        <f>[1]!wwsInput()</f>
        <v/>
      </c>
      <c r="G21" s="26"/>
      <c r="H21" s="54" t="s">
        <v>62</v>
      </c>
      <c r="I21" s="8" t="str">
        <f>[1]!wwsInput()</f>
        <v/>
      </c>
      <c r="J21" s="26"/>
      <c r="K21" s="54" t="s">
        <v>63</v>
      </c>
      <c r="L21" s="8" t="str">
        <f>[1]!wwsInput()</f>
        <v/>
      </c>
      <c r="M21" s="9"/>
      <c r="N21" s="36"/>
      <c r="O21"/>
      <c r="P21"/>
    </row>
    <row r="22" spans="1:19" x14ac:dyDescent="0.4">
      <c r="A22" s="90"/>
      <c r="B22" s="4"/>
      <c r="C22" s="30"/>
      <c r="D22" s="91"/>
      <c r="E22" s="92"/>
      <c r="F22" s="93"/>
      <c r="G22" s="93"/>
      <c r="H22" s="94"/>
      <c r="I22" s="93"/>
      <c r="J22" s="93"/>
      <c r="K22" s="92"/>
      <c r="L22" s="91"/>
      <c r="N22" s="11"/>
      <c r="O22" s="2"/>
      <c r="P22" s="2"/>
      <c r="Q22" s="2"/>
      <c r="R22" s="2"/>
      <c r="S22" s="2"/>
    </row>
    <row r="23" spans="1:19" x14ac:dyDescent="0.4">
      <c r="A23" s="129"/>
      <c r="B23" s="129"/>
      <c r="C23" s="129"/>
      <c r="D23" s="95"/>
      <c r="E23" s="46"/>
      <c r="F23" s="91"/>
      <c r="G23" s="92"/>
      <c r="H23" s="93"/>
      <c r="I23" s="93"/>
      <c r="J23" s="94"/>
      <c r="K23" s="93"/>
      <c r="L23" s="93"/>
      <c r="M23" s="92"/>
      <c r="N23" s="91"/>
      <c r="O23" s="93"/>
      <c r="P23" s="96" t="s">
        <v>43</v>
      </c>
      <c r="Q23" s="2"/>
      <c r="R23" s="2"/>
      <c r="S23" s="2"/>
    </row>
    <row r="24" spans="1:19" x14ac:dyDescent="0.4">
      <c r="A24" s="47"/>
      <c r="B24" s="11"/>
      <c r="C24" s="11"/>
      <c r="D24" s="95"/>
      <c r="E24" s="46"/>
      <c r="F24" s="91"/>
      <c r="G24" s="92"/>
      <c r="H24" s="93"/>
      <c r="I24" s="93"/>
      <c r="J24" s="94"/>
      <c r="K24" s="93"/>
      <c r="L24" s="93"/>
      <c r="M24" s="92"/>
      <c r="N24" s="91"/>
      <c r="O24" s="93"/>
      <c r="P24" s="11"/>
      <c r="Q24" s="2"/>
      <c r="R24" s="2"/>
      <c r="S24" s="2"/>
    </row>
    <row r="25" spans="1:19" x14ac:dyDescent="0.4">
      <c r="A25" s="47"/>
      <c r="B25" s="44"/>
      <c r="C25" s="44"/>
      <c r="D25" s="50"/>
      <c r="E25" s="46"/>
      <c r="F25" s="47"/>
      <c r="G25" s="48"/>
      <c r="H25" s="49"/>
      <c r="I25" s="50"/>
      <c r="J25" s="48"/>
      <c r="K25" s="49"/>
      <c r="L25" s="50"/>
      <c r="M25" s="48"/>
      <c r="N25" s="49"/>
      <c r="O25" s="25"/>
      <c r="P25" s="29"/>
      <c r="Q25" s="2"/>
      <c r="R25" s="2"/>
      <c r="S25" s="2"/>
    </row>
    <row r="26" spans="1:19" x14ac:dyDescent="0.4">
      <c r="A26" s="47"/>
      <c r="B26" s="44"/>
      <c r="C26" s="44"/>
      <c r="D26" s="50"/>
      <c r="E26" s="46"/>
      <c r="F26" s="47"/>
      <c r="G26" s="48"/>
      <c r="H26" s="49"/>
      <c r="I26" s="50"/>
      <c r="J26" s="48"/>
      <c r="K26" s="49"/>
      <c r="L26" s="50"/>
      <c r="M26" s="48"/>
      <c r="N26" s="49"/>
      <c r="O26" s="25"/>
      <c r="P26" s="29"/>
      <c r="Q26" s="2"/>
      <c r="R26" s="2"/>
      <c r="S26" s="2"/>
    </row>
    <row r="27" spans="1:19" x14ac:dyDescent="0.4">
      <c r="A27" s="32"/>
      <c r="B27" s="44"/>
      <c r="C27" s="44"/>
      <c r="D27" s="35"/>
      <c r="E27" s="42"/>
      <c r="F27" s="32"/>
      <c r="G27" s="33"/>
      <c r="H27" s="44"/>
      <c r="I27" s="35"/>
      <c r="J27" s="33"/>
      <c r="K27" s="44"/>
      <c r="L27" s="35"/>
      <c r="M27" s="33"/>
      <c r="N27" s="44"/>
      <c r="O27" s="9"/>
      <c r="P27" s="29"/>
      <c r="Q27" s="2"/>
      <c r="R27" s="2"/>
      <c r="S27" s="2"/>
    </row>
    <row r="28" spans="1:19" x14ac:dyDescent="0.4">
      <c r="A28" s="32"/>
      <c r="B28" s="44"/>
      <c r="C28" s="44"/>
      <c r="D28" s="35"/>
      <c r="E28" s="42"/>
      <c r="F28" s="32"/>
      <c r="G28" s="33"/>
      <c r="H28" s="44"/>
      <c r="I28" s="35"/>
      <c r="J28" s="33"/>
      <c r="K28" s="44"/>
      <c r="L28" s="35"/>
      <c r="M28" s="33"/>
      <c r="N28" s="44"/>
      <c r="O28" s="9"/>
      <c r="P28" s="29"/>
      <c r="Q28" s="2"/>
      <c r="R28" s="2"/>
      <c r="S28" s="2"/>
    </row>
    <row r="29" spans="1:19" x14ac:dyDescent="0.4">
      <c r="A29" s="32"/>
      <c r="B29" s="44"/>
      <c r="C29" s="44"/>
      <c r="D29" s="35"/>
      <c r="E29" s="42"/>
      <c r="F29" s="32"/>
      <c r="G29" s="33"/>
      <c r="H29" s="44"/>
      <c r="I29" s="35"/>
      <c r="J29" s="33"/>
      <c r="K29" s="44"/>
      <c r="L29" s="35"/>
      <c r="M29" s="33"/>
      <c r="N29" s="44"/>
      <c r="O29" s="9"/>
      <c r="P29" s="29"/>
      <c r="Q29" s="2"/>
      <c r="R29" s="2"/>
      <c r="S29" s="2"/>
    </row>
    <row r="30" spans="1:19" x14ac:dyDescent="0.4">
      <c r="A30" s="32"/>
      <c r="B30" s="44"/>
      <c r="C30" s="44"/>
      <c r="D30" s="35"/>
      <c r="E30" s="42"/>
      <c r="F30" s="32"/>
      <c r="G30" s="33"/>
      <c r="H30" s="44"/>
      <c r="I30" s="35"/>
      <c r="J30" s="33"/>
      <c r="K30" s="44"/>
      <c r="L30" s="35"/>
      <c r="M30" s="33"/>
      <c r="N30" s="44"/>
      <c r="O30" s="9"/>
      <c r="P30" s="29"/>
      <c r="Q30" s="2"/>
      <c r="R30" s="2"/>
      <c r="S30" s="2"/>
    </row>
    <row r="31" spans="1:19" x14ac:dyDescent="0.4">
      <c r="A31" s="32"/>
      <c r="B31" s="44"/>
      <c r="C31" s="44"/>
      <c r="D31" s="35"/>
      <c r="E31" s="42"/>
      <c r="F31" s="32"/>
      <c r="G31" s="33"/>
      <c r="H31" s="44"/>
      <c r="I31" s="35"/>
      <c r="J31" s="33"/>
      <c r="K31" s="44"/>
      <c r="L31" s="35"/>
      <c r="M31" s="33"/>
      <c r="N31" s="44"/>
      <c r="O31" s="9"/>
      <c r="P31" s="29"/>
      <c r="Q31" s="2"/>
      <c r="R31" s="2"/>
      <c r="S31" s="2"/>
    </row>
    <row r="32" spans="1:19" x14ac:dyDescent="0.4">
      <c r="A32" s="32"/>
      <c r="B32" s="44"/>
      <c r="C32" s="44"/>
      <c r="D32" s="35"/>
      <c r="E32" s="42"/>
      <c r="F32" s="32"/>
      <c r="G32" s="33"/>
      <c r="H32" s="44"/>
      <c r="I32" s="35"/>
      <c r="J32" s="33"/>
      <c r="K32" s="44"/>
      <c r="L32" s="35"/>
      <c r="M32" s="33"/>
      <c r="N32" s="44"/>
      <c r="O32" s="9"/>
      <c r="P32" s="29"/>
      <c r="Q32" s="2"/>
      <c r="R32" s="2"/>
      <c r="S32" s="2"/>
    </row>
    <row r="33" spans="1:19" x14ac:dyDescent="0.4">
      <c r="A33" s="32"/>
      <c r="B33" s="44"/>
      <c r="C33" s="44"/>
      <c r="D33" s="35"/>
      <c r="E33" s="42"/>
      <c r="F33" s="32"/>
      <c r="G33" s="33"/>
      <c r="H33" s="44"/>
      <c r="I33" s="35"/>
      <c r="J33" s="33"/>
      <c r="K33" s="44"/>
      <c r="L33" s="35"/>
      <c r="M33" s="33"/>
      <c r="N33" s="44"/>
      <c r="O33" s="9"/>
      <c r="P33" s="29"/>
      <c r="Q33" s="2"/>
      <c r="R33" s="2"/>
      <c r="S33" s="2"/>
    </row>
    <row r="34" spans="1:19" x14ac:dyDescent="0.4">
      <c r="A34" s="32"/>
      <c r="B34" s="44"/>
      <c r="C34" s="44"/>
      <c r="D34" s="35"/>
      <c r="E34" s="42"/>
      <c r="F34" s="32"/>
      <c r="G34" s="33"/>
      <c r="H34" s="44"/>
      <c r="I34" s="35"/>
      <c r="J34" s="33"/>
      <c r="K34" s="44"/>
      <c r="L34" s="35"/>
      <c r="M34" s="33"/>
      <c r="N34" s="44"/>
      <c r="O34" s="9"/>
      <c r="P34" s="29"/>
      <c r="Q34" s="2"/>
      <c r="R34" s="2"/>
      <c r="S34" s="2"/>
    </row>
    <row r="35" spans="1:19" x14ac:dyDescent="0.4">
      <c r="A35" s="32"/>
      <c r="B35" s="44"/>
      <c r="C35" s="44"/>
      <c r="D35" s="35"/>
      <c r="E35" s="42"/>
      <c r="F35" s="32"/>
      <c r="G35" s="33"/>
      <c r="H35" s="44"/>
      <c r="I35" s="35"/>
      <c r="J35" s="33"/>
      <c r="K35" s="44"/>
      <c r="L35" s="35"/>
      <c r="M35" s="33"/>
      <c r="N35" s="44"/>
      <c r="O35" s="9"/>
      <c r="P35" s="29"/>
      <c r="Q35" s="2"/>
      <c r="R35" s="2"/>
      <c r="S35" s="2"/>
    </row>
    <row r="36" spans="1:19" x14ac:dyDescent="0.4">
      <c r="A36" s="32"/>
      <c r="B36" s="44"/>
      <c r="C36" s="44"/>
      <c r="D36" s="35"/>
      <c r="E36" s="42"/>
      <c r="F36" s="32"/>
      <c r="G36" s="33"/>
      <c r="H36" s="44"/>
      <c r="I36" s="35"/>
      <c r="J36" s="33"/>
      <c r="K36" s="44"/>
      <c r="L36" s="35"/>
      <c r="M36" s="33"/>
      <c r="N36" s="44"/>
      <c r="O36" s="9"/>
      <c r="P36" s="29"/>
      <c r="Q36" s="2"/>
      <c r="R36" s="2"/>
      <c r="S36" s="2"/>
    </row>
    <row r="37" spans="1:19" x14ac:dyDescent="0.4">
      <c r="A37" s="32"/>
      <c r="B37" s="44"/>
      <c r="C37" s="44"/>
      <c r="D37" s="35"/>
      <c r="E37" s="42"/>
      <c r="F37" s="32"/>
      <c r="G37" s="33"/>
      <c r="H37" s="44"/>
      <c r="I37" s="35"/>
      <c r="J37" s="33"/>
      <c r="K37" s="44"/>
      <c r="L37" s="35"/>
      <c r="M37" s="33"/>
      <c r="N37" s="44"/>
      <c r="O37" s="9"/>
      <c r="P37" s="29"/>
      <c r="Q37" s="2"/>
      <c r="R37" s="2"/>
      <c r="S37" s="2"/>
    </row>
    <row r="38" spans="1:19" x14ac:dyDescent="0.4">
      <c r="A38" s="32"/>
      <c r="B38" s="44"/>
      <c r="C38" s="44"/>
      <c r="D38" s="35"/>
      <c r="E38" s="42"/>
      <c r="F38" s="32"/>
      <c r="G38" s="33"/>
      <c r="H38" s="44"/>
      <c r="I38" s="35"/>
      <c r="J38" s="33"/>
      <c r="K38" s="44"/>
      <c r="L38" s="35"/>
      <c r="M38" s="33"/>
      <c r="N38" s="44"/>
      <c r="O38" s="9"/>
      <c r="P38" s="29"/>
      <c r="Q38" s="2"/>
      <c r="R38" s="2"/>
      <c r="S38" s="2"/>
    </row>
    <row r="39" spans="1:19" x14ac:dyDescent="0.4">
      <c r="A39" s="32"/>
      <c r="B39" s="44"/>
      <c r="C39" s="44"/>
      <c r="D39" s="35"/>
      <c r="E39" s="42"/>
      <c r="F39" s="32"/>
      <c r="G39" s="33"/>
      <c r="H39" s="44"/>
      <c r="I39" s="35"/>
      <c r="J39" s="33"/>
      <c r="K39" s="44"/>
      <c r="L39" s="35"/>
      <c r="M39" s="33"/>
      <c r="N39" s="44"/>
      <c r="O39" s="9"/>
      <c r="P39" s="29"/>
      <c r="Q39" s="2"/>
      <c r="R39" s="2"/>
      <c r="S39" s="2"/>
    </row>
    <row r="40" spans="1:19" x14ac:dyDescent="0.4">
      <c r="A40" s="32"/>
      <c r="B40" s="44"/>
      <c r="C40" s="44"/>
      <c r="D40" s="35"/>
      <c r="E40" s="42"/>
      <c r="F40" s="32"/>
      <c r="G40" s="33"/>
      <c r="H40" s="44"/>
      <c r="I40" s="35"/>
      <c r="J40" s="33"/>
      <c r="K40" s="44"/>
      <c r="L40" s="35"/>
      <c r="M40" s="33"/>
      <c r="N40" s="44"/>
      <c r="O40" s="9"/>
      <c r="P40" s="29"/>
      <c r="Q40" s="2"/>
      <c r="R40" s="2"/>
      <c r="S40" s="2"/>
    </row>
    <row r="41" spans="1:19" x14ac:dyDescent="0.4">
      <c r="A41" s="32"/>
      <c r="B41" s="44"/>
      <c r="C41" s="44"/>
      <c r="D41" s="35"/>
      <c r="E41" s="42"/>
      <c r="F41" s="32"/>
      <c r="G41" s="33"/>
      <c r="H41" s="44"/>
      <c r="I41" s="35"/>
      <c r="J41" s="33"/>
      <c r="K41" s="44"/>
      <c r="L41" s="35"/>
      <c r="M41" s="33"/>
      <c r="N41" s="44"/>
      <c r="O41" s="9"/>
      <c r="P41" s="29"/>
      <c r="Q41" s="2"/>
      <c r="R41" s="2"/>
      <c r="S41" s="2"/>
    </row>
    <row r="42" spans="1:19" x14ac:dyDescent="0.4">
      <c r="A42" s="32"/>
      <c r="B42" s="44"/>
      <c r="C42" s="44"/>
      <c r="D42" s="35"/>
      <c r="E42" s="42"/>
      <c r="F42" s="32"/>
      <c r="G42" s="33"/>
      <c r="H42" s="44"/>
      <c r="I42" s="35"/>
      <c r="J42" s="33"/>
      <c r="K42" s="44"/>
      <c r="L42" s="35"/>
      <c r="M42" s="33"/>
      <c r="N42" s="44"/>
      <c r="O42" s="9"/>
      <c r="P42" s="29"/>
      <c r="Q42" s="2"/>
      <c r="R42" s="2"/>
      <c r="S42" s="2"/>
    </row>
    <row r="43" spans="1:19" x14ac:dyDescent="0.4">
      <c r="A43" s="32"/>
      <c r="B43" s="44"/>
      <c r="C43" s="44"/>
      <c r="D43" s="35"/>
      <c r="E43" s="42"/>
      <c r="F43" s="32"/>
      <c r="G43" s="33"/>
      <c r="H43" s="44"/>
      <c r="I43" s="35"/>
      <c r="J43" s="33"/>
      <c r="K43" s="44"/>
      <c r="L43" s="35"/>
      <c r="M43" s="33"/>
      <c r="N43" s="44"/>
      <c r="O43" s="9"/>
      <c r="P43" s="29"/>
      <c r="Q43" s="2"/>
      <c r="R43" s="2"/>
      <c r="S43" s="2"/>
    </row>
    <row r="44" spans="1:19" x14ac:dyDescent="0.4">
      <c r="A44" s="32"/>
      <c r="B44" s="44"/>
      <c r="C44" s="44"/>
      <c r="D44" s="35"/>
      <c r="E44" s="42"/>
      <c r="F44" s="32"/>
      <c r="G44" s="33"/>
      <c r="H44" s="44"/>
      <c r="I44" s="35"/>
      <c r="J44" s="33"/>
      <c r="K44" s="44"/>
      <c r="L44" s="35"/>
      <c r="M44" s="33"/>
      <c r="N44" s="44"/>
      <c r="O44" s="9"/>
      <c r="P44" s="29"/>
      <c r="Q44" s="2"/>
      <c r="R44" s="2"/>
      <c r="S44" s="2"/>
    </row>
    <row r="45" spans="1:19" x14ac:dyDescent="0.4">
      <c r="A45" s="32"/>
      <c r="B45" s="44"/>
      <c r="C45" s="44"/>
      <c r="D45" s="35"/>
      <c r="E45" s="42"/>
      <c r="F45" s="32"/>
      <c r="G45" s="1"/>
      <c r="H45" s="5"/>
      <c r="I45" s="17"/>
      <c r="J45" s="38"/>
      <c r="K45" s="5"/>
      <c r="L45" s="17"/>
      <c r="M45" s="1"/>
      <c r="N45" s="2"/>
      <c r="O45" s="5"/>
      <c r="P45" s="11"/>
      <c r="Q45" s="2"/>
      <c r="R45" s="2"/>
      <c r="S45" s="2"/>
    </row>
    <row r="46" spans="1:19" x14ac:dyDescent="0.4">
      <c r="A46" s="32"/>
      <c r="B46" s="44"/>
      <c r="C46" s="44"/>
      <c r="D46" s="35"/>
      <c r="E46" s="42"/>
      <c r="F46" s="32"/>
      <c r="G46" s="1"/>
      <c r="H46" s="5"/>
      <c r="I46" s="17"/>
      <c r="J46" s="38"/>
      <c r="K46" s="5"/>
      <c r="L46" s="17"/>
      <c r="M46" s="1"/>
      <c r="N46" s="2"/>
      <c r="O46" s="5"/>
      <c r="P46" s="11"/>
      <c r="Q46" s="2"/>
      <c r="R46" s="2"/>
      <c r="S46" s="2"/>
    </row>
    <row r="47" spans="1:19" x14ac:dyDescent="0.4">
      <c r="A47" s="32"/>
      <c r="B47" s="44"/>
      <c r="C47" s="44"/>
      <c r="D47" s="35"/>
      <c r="E47" s="42"/>
      <c r="F47" s="32"/>
      <c r="G47" s="1"/>
      <c r="H47" s="5"/>
      <c r="I47" s="17"/>
      <c r="J47" s="38"/>
      <c r="K47" s="5"/>
      <c r="L47" s="17"/>
      <c r="M47" s="1"/>
      <c r="N47" s="2"/>
      <c r="O47" s="5"/>
      <c r="P47" s="11"/>
      <c r="Q47" s="2"/>
      <c r="R47" s="2"/>
      <c r="S47" s="2"/>
    </row>
    <row r="48" spans="1:19" x14ac:dyDescent="0.4">
      <c r="A48" s="32"/>
      <c r="B48" s="44"/>
      <c r="C48" s="44"/>
      <c r="D48" s="35"/>
      <c r="E48" s="42"/>
      <c r="F48" s="32"/>
      <c r="G48" s="1"/>
      <c r="H48" s="5"/>
      <c r="I48" s="17"/>
      <c r="J48" s="38"/>
      <c r="K48" s="5"/>
      <c r="L48" s="17"/>
      <c r="M48" s="1"/>
      <c r="N48" s="2"/>
      <c r="O48" s="5"/>
      <c r="P48" s="11"/>
      <c r="Q48" s="2"/>
      <c r="R48" s="2"/>
      <c r="S48" s="2"/>
    </row>
    <row r="49" spans="1:19" x14ac:dyDescent="0.4">
      <c r="A49" s="32"/>
      <c r="B49" s="44"/>
      <c r="C49" s="44"/>
      <c r="D49" s="35"/>
      <c r="E49" s="42"/>
      <c r="F49" s="32"/>
      <c r="G49" s="1"/>
      <c r="H49" s="5"/>
      <c r="I49" s="17"/>
      <c r="J49" s="38"/>
      <c r="K49" s="5"/>
      <c r="L49" s="17"/>
      <c r="M49" s="1"/>
      <c r="N49" s="2"/>
      <c r="O49" s="5"/>
      <c r="P49" s="11"/>
      <c r="Q49" s="2"/>
      <c r="R49" s="2"/>
      <c r="S49" s="2"/>
    </row>
    <row r="50" spans="1:19" x14ac:dyDescent="0.4">
      <c r="A50" s="32"/>
      <c r="B50" s="44"/>
      <c r="C50" s="44"/>
      <c r="D50" s="35"/>
      <c r="E50" s="42"/>
      <c r="F50" s="32"/>
      <c r="G50" s="1"/>
      <c r="H50" s="5"/>
      <c r="I50" s="17"/>
      <c r="J50" s="38"/>
      <c r="K50" s="5"/>
      <c r="L50" s="17"/>
      <c r="M50" s="1"/>
      <c r="N50" s="2"/>
      <c r="O50" s="5"/>
      <c r="P50" s="11"/>
      <c r="Q50" s="2"/>
      <c r="R50" s="2"/>
      <c r="S50" s="2"/>
    </row>
    <row r="51" spans="1:19" x14ac:dyDescent="0.4">
      <c r="A51" s="32"/>
      <c r="B51" s="44"/>
      <c r="C51" s="44"/>
      <c r="D51" s="35"/>
      <c r="E51" s="42"/>
      <c r="F51" s="32"/>
      <c r="G51" s="1"/>
      <c r="H51" s="5"/>
      <c r="I51" s="17"/>
      <c r="J51" s="38"/>
      <c r="K51" s="5"/>
      <c r="L51" s="17"/>
      <c r="M51" s="1"/>
      <c r="N51" s="2"/>
      <c r="O51" s="5"/>
      <c r="P51" s="11"/>
      <c r="Q51" s="2"/>
      <c r="R51" s="2"/>
      <c r="S51" s="2"/>
    </row>
    <row r="52" spans="1:19" x14ac:dyDescent="0.4">
      <c r="A52" s="32"/>
      <c r="B52" s="44"/>
      <c r="C52" s="44"/>
      <c r="D52" s="35"/>
      <c r="E52" s="42"/>
      <c r="F52" s="32"/>
      <c r="G52" s="1"/>
      <c r="H52" s="5"/>
      <c r="I52" s="17"/>
      <c r="J52" s="38"/>
      <c r="K52" s="5"/>
      <c r="L52" s="17"/>
      <c r="M52" s="1"/>
      <c r="N52" s="2"/>
      <c r="O52" s="5"/>
      <c r="P52" s="11"/>
      <c r="Q52" s="2"/>
      <c r="R52" s="2"/>
      <c r="S52" s="2"/>
    </row>
    <row r="53" spans="1:19" x14ac:dyDescent="0.4">
      <c r="A53" s="32"/>
      <c r="B53" s="44"/>
      <c r="C53" s="44"/>
      <c r="D53" s="35"/>
      <c r="E53" s="42"/>
      <c r="F53" s="32"/>
      <c r="G53" s="1"/>
      <c r="H53" s="5"/>
      <c r="I53" s="17"/>
      <c r="J53" s="38"/>
      <c r="K53" s="5"/>
      <c r="L53" s="17"/>
      <c r="M53" s="1"/>
      <c r="N53" s="2"/>
      <c r="O53" s="5"/>
      <c r="P53" s="11"/>
      <c r="Q53" s="2"/>
      <c r="R53" s="2"/>
      <c r="S53" s="2"/>
    </row>
    <row r="54" spans="1:19" x14ac:dyDescent="0.4">
      <c r="A54" s="32"/>
      <c r="B54" s="44"/>
      <c r="C54" s="44"/>
      <c r="D54" s="35"/>
      <c r="E54" s="42"/>
      <c r="F54" s="32"/>
      <c r="G54" s="1"/>
      <c r="H54" s="5"/>
      <c r="I54" s="17"/>
      <c r="J54" s="38"/>
      <c r="K54" s="5"/>
      <c r="L54" s="17"/>
      <c r="M54" s="1"/>
      <c r="N54" s="2"/>
      <c r="O54" s="5"/>
      <c r="P54" s="11"/>
      <c r="Q54" s="2"/>
      <c r="R54" s="2"/>
      <c r="S54" s="2"/>
    </row>
    <row r="55" spans="1:19" x14ac:dyDescent="0.4">
      <c r="A55" s="32"/>
      <c r="B55" s="44"/>
      <c r="C55" s="44"/>
      <c r="D55" s="35"/>
      <c r="E55" s="42"/>
      <c r="F55" s="32"/>
      <c r="G55" s="1"/>
      <c r="H55" s="5"/>
      <c r="I55" s="17"/>
      <c r="J55" s="38"/>
      <c r="K55" s="5"/>
      <c r="L55" s="17"/>
      <c r="M55" s="1"/>
      <c r="N55" s="2"/>
      <c r="O55" s="5"/>
      <c r="P55" s="11"/>
      <c r="Q55" s="2"/>
      <c r="R55" s="2"/>
      <c r="S55" s="2"/>
    </row>
    <row r="56" spans="1:19" x14ac:dyDescent="0.4">
      <c r="A56" s="32"/>
      <c r="B56" s="44"/>
      <c r="C56" s="44"/>
      <c r="D56" s="35"/>
      <c r="E56" s="42"/>
      <c r="F56" s="32"/>
      <c r="G56" s="1"/>
      <c r="H56" s="5"/>
      <c r="I56" s="17"/>
      <c r="J56" s="38"/>
      <c r="K56" s="5"/>
      <c r="L56" s="17"/>
      <c r="M56" s="1"/>
      <c r="N56" s="2"/>
      <c r="O56" s="5"/>
      <c r="P56" s="11"/>
      <c r="Q56" s="2"/>
      <c r="R56" s="2"/>
      <c r="S56" s="2"/>
    </row>
    <row r="57" spans="1:19" x14ac:dyDescent="0.4">
      <c r="A57" s="32"/>
      <c r="B57" s="34"/>
      <c r="C57" s="44"/>
      <c r="D57" s="35"/>
      <c r="E57" s="42"/>
      <c r="F57" s="32"/>
    </row>
    <row r="58" spans="1:19" x14ac:dyDescent="0.4">
      <c r="A58" s="32"/>
      <c r="B58" s="34"/>
      <c r="C58" s="44"/>
      <c r="D58" s="35"/>
      <c r="E58" s="42"/>
      <c r="F58" s="32"/>
      <c r="G58" s="39"/>
    </row>
    <row r="59" spans="1:19" x14ac:dyDescent="0.4">
      <c r="A59" s="43"/>
      <c r="B59" s="13"/>
      <c r="C59" s="13"/>
      <c r="D59" s="41"/>
      <c r="E59" s="45"/>
    </row>
    <row r="60" spans="1:19" x14ac:dyDescent="0.4">
      <c r="A60" s="43"/>
      <c r="B60" s="13"/>
      <c r="C60" s="13"/>
      <c r="D60" s="41"/>
      <c r="E60" s="42"/>
    </row>
    <row r="61" spans="1:19" x14ac:dyDescent="0.4">
      <c r="A61" s="43"/>
      <c r="B61" s="13"/>
      <c r="C61" s="13"/>
      <c r="D61" s="41"/>
      <c r="E61" s="42"/>
    </row>
    <row r="62" spans="1:19" x14ac:dyDescent="0.4">
      <c r="A62" s="43"/>
      <c r="B62" s="13"/>
      <c r="C62" s="13"/>
      <c r="D62" s="41"/>
      <c r="E62" s="42"/>
    </row>
    <row r="63" spans="1:19" x14ac:dyDescent="0.4">
      <c r="A63" s="43"/>
      <c r="B63" s="13"/>
      <c r="C63" s="13"/>
      <c r="D63" s="41"/>
      <c r="E63" s="42"/>
    </row>
    <row r="64" spans="1:19" x14ac:dyDescent="0.4">
      <c r="A64" s="43"/>
      <c r="B64" s="13"/>
      <c r="C64" s="13"/>
      <c r="D64" s="41"/>
      <c r="E64" s="42"/>
    </row>
    <row r="65" spans="5:5" x14ac:dyDescent="0.4">
      <c r="E65" s="30"/>
    </row>
    <row r="66" spans="5:5" x14ac:dyDescent="0.4">
      <c r="E66" s="30"/>
    </row>
    <row r="67" spans="5:5" x14ac:dyDescent="0.4">
      <c r="E67" s="30"/>
    </row>
    <row r="68" spans="5:5" x14ac:dyDescent="0.4">
      <c r="E68" s="30"/>
    </row>
    <row r="69" spans="5:5" x14ac:dyDescent="0.4">
      <c r="E69" s="30"/>
    </row>
    <row r="70" spans="5:5" x14ac:dyDescent="0.4">
      <c r="E70" s="30"/>
    </row>
    <row r="71" spans="5:5" x14ac:dyDescent="0.4">
      <c r="E71" s="30"/>
    </row>
    <row r="72" spans="5:5" x14ac:dyDescent="0.4">
      <c r="E72" s="30"/>
    </row>
    <row r="73" spans="5:5" x14ac:dyDescent="0.4">
      <c r="E73" s="30"/>
    </row>
    <row r="74" spans="5:5" x14ac:dyDescent="0.4">
      <c r="E74" s="30"/>
    </row>
    <row r="75" spans="5:5" x14ac:dyDescent="0.4">
      <c r="E75" s="30"/>
    </row>
    <row r="76" spans="5:5" x14ac:dyDescent="0.4">
      <c r="E76" s="30"/>
    </row>
    <row r="77" spans="5:5" x14ac:dyDescent="0.4">
      <c r="E77" s="30"/>
    </row>
    <row r="78" spans="5:5" x14ac:dyDescent="0.4">
      <c r="E78" s="30"/>
    </row>
    <row r="79" spans="5:5" x14ac:dyDescent="0.4">
      <c r="E79" s="30"/>
    </row>
    <row r="80" spans="5:5" x14ac:dyDescent="0.4">
      <c r="E80" s="30"/>
    </row>
    <row r="81" spans="5:5" x14ac:dyDescent="0.4">
      <c r="E81" s="30"/>
    </row>
    <row r="82" spans="5:5" x14ac:dyDescent="0.4">
      <c r="E82" s="30"/>
    </row>
    <row r="83" spans="5:5" x14ac:dyDescent="0.4">
      <c r="E83" s="30"/>
    </row>
    <row r="84" spans="5:5" x14ac:dyDescent="0.4">
      <c r="E84" s="30"/>
    </row>
    <row r="85" spans="5:5" x14ac:dyDescent="0.4">
      <c r="E85" s="30"/>
    </row>
    <row r="86" spans="5:5" x14ac:dyDescent="0.4">
      <c r="E86" s="30"/>
    </row>
    <row r="87" spans="5:5" x14ac:dyDescent="0.4">
      <c r="E87" s="30"/>
    </row>
    <row r="88" spans="5:5" x14ac:dyDescent="0.4">
      <c r="E88" s="30"/>
    </row>
    <row r="89" spans="5:5" x14ac:dyDescent="0.4">
      <c r="E89" s="30"/>
    </row>
    <row r="90" spans="5:5" x14ac:dyDescent="0.4">
      <c r="E90" s="30"/>
    </row>
    <row r="91" spans="5:5" x14ac:dyDescent="0.4">
      <c r="E91" s="30"/>
    </row>
    <row r="92" spans="5:5" x14ac:dyDescent="0.4">
      <c r="E92" s="30"/>
    </row>
    <row r="93" spans="5:5" x14ac:dyDescent="0.4">
      <c r="E93" s="30"/>
    </row>
    <row r="94" spans="5:5" x14ac:dyDescent="0.4">
      <c r="E94" s="30"/>
    </row>
    <row r="95" spans="5:5" x14ac:dyDescent="0.4">
      <c r="E95" s="30"/>
    </row>
    <row r="96" spans="5:5" x14ac:dyDescent="0.4">
      <c r="E96" s="30"/>
    </row>
    <row r="97" spans="5:5" x14ac:dyDescent="0.4">
      <c r="E97" s="30"/>
    </row>
    <row r="98" spans="5:5" x14ac:dyDescent="0.4">
      <c r="E98" s="30"/>
    </row>
    <row r="99" spans="5:5" x14ac:dyDescent="0.4">
      <c r="E99" s="30"/>
    </row>
    <row r="100" spans="5:5" x14ac:dyDescent="0.4">
      <c r="E100" s="30"/>
    </row>
    <row r="101" spans="5:5" x14ac:dyDescent="0.4">
      <c r="E101" s="30"/>
    </row>
    <row r="102" spans="5:5" x14ac:dyDescent="0.4">
      <c r="E102" s="30"/>
    </row>
    <row r="103" spans="5:5" x14ac:dyDescent="0.4">
      <c r="E103" s="30"/>
    </row>
    <row r="104" spans="5:5" x14ac:dyDescent="0.4">
      <c r="E104" s="30"/>
    </row>
    <row r="105" spans="5:5" x14ac:dyDescent="0.4">
      <c r="E105" s="30"/>
    </row>
    <row r="106" spans="5:5" x14ac:dyDescent="0.4">
      <c r="E106" s="30"/>
    </row>
    <row r="107" spans="5:5" x14ac:dyDescent="0.4">
      <c r="E107" s="30"/>
    </row>
    <row r="108" spans="5:5" x14ac:dyDescent="0.4">
      <c r="E108" s="30"/>
    </row>
    <row r="109" spans="5:5" x14ac:dyDescent="0.4">
      <c r="E109" s="30"/>
    </row>
    <row r="110" spans="5:5" x14ac:dyDescent="0.4">
      <c r="E110" s="30"/>
    </row>
    <row r="111" spans="5:5" x14ac:dyDescent="0.4">
      <c r="E111" s="30"/>
    </row>
    <row r="112" spans="5:5" x14ac:dyDescent="0.4">
      <c r="E112" s="30"/>
    </row>
    <row r="113" spans="5:5" x14ac:dyDescent="0.4">
      <c r="E113" s="30"/>
    </row>
    <row r="114" spans="5:5" x14ac:dyDescent="0.4">
      <c r="E114" s="30"/>
    </row>
    <row r="115" spans="5:5" x14ac:dyDescent="0.4">
      <c r="E115" s="30"/>
    </row>
    <row r="116" spans="5:5" x14ac:dyDescent="0.4">
      <c r="E116" s="30"/>
    </row>
    <row r="117" spans="5:5" x14ac:dyDescent="0.4">
      <c r="E117" s="30"/>
    </row>
    <row r="118" spans="5:5" x14ac:dyDescent="0.4">
      <c r="E118" s="30"/>
    </row>
    <row r="119" spans="5:5" x14ac:dyDescent="0.4">
      <c r="E119" s="30"/>
    </row>
    <row r="120" spans="5:5" x14ac:dyDescent="0.4">
      <c r="E120" s="30"/>
    </row>
    <row r="121" spans="5:5" x14ac:dyDescent="0.4">
      <c r="E121" s="30"/>
    </row>
    <row r="122" spans="5:5" x14ac:dyDescent="0.4">
      <c r="E122" s="30"/>
    </row>
    <row r="123" spans="5:5" x14ac:dyDescent="0.4">
      <c r="E123" s="30"/>
    </row>
    <row r="124" spans="5:5" x14ac:dyDescent="0.4">
      <c r="E124" s="30"/>
    </row>
    <row r="125" spans="5:5" x14ac:dyDescent="0.4">
      <c r="E125" s="30"/>
    </row>
    <row r="126" spans="5:5" x14ac:dyDescent="0.4">
      <c r="E126" s="30"/>
    </row>
    <row r="127" spans="5:5" x14ac:dyDescent="0.4">
      <c r="E127" s="30"/>
    </row>
    <row r="128" spans="5:5" x14ac:dyDescent="0.4">
      <c r="E128" s="30"/>
    </row>
    <row r="129" spans="5:5" x14ac:dyDescent="0.4">
      <c r="E129" s="30"/>
    </row>
    <row r="130" spans="5:5" x14ac:dyDescent="0.4">
      <c r="E130" s="30"/>
    </row>
    <row r="131" spans="5:5" x14ac:dyDescent="0.4">
      <c r="E131" s="30"/>
    </row>
    <row r="132" spans="5:5" x14ac:dyDescent="0.4">
      <c r="E132" s="30"/>
    </row>
    <row r="133" spans="5:5" x14ac:dyDescent="0.4">
      <c r="E133" s="30"/>
    </row>
    <row r="134" spans="5:5" x14ac:dyDescent="0.4">
      <c r="E134" s="30"/>
    </row>
    <row r="135" spans="5:5" x14ac:dyDescent="0.4">
      <c r="E135" s="30"/>
    </row>
    <row r="136" spans="5:5" x14ac:dyDescent="0.4">
      <c r="E136" s="30"/>
    </row>
    <row r="137" spans="5:5" x14ac:dyDescent="0.4">
      <c r="E137" s="30"/>
    </row>
    <row r="138" spans="5:5" x14ac:dyDescent="0.4">
      <c r="E138" s="30"/>
    </row>
    <row r="139" spans="5:5" x14ac:dyDescent="0.4">
      <c r="E139" s="30"/>
    </row>
    <row r="140" spans="5:5" x14ac:dyDescent="0.4">
      <c r="E140" s="30"/>
    </row>
    <row r="141" spans="5:5" x14ac:dyDescent="0.4">
      <c r="E141" s="30"/>
    </row>
    <row r="142" spans="5:5" x14ac:dyDescent="0.4">
      <c r="E142" s="30"/>
    </row>
    <row r="143" spans="5:5" x14ac:dyDescent="0.4">
      <c r="E143" s="30"/>
    </row>
    <row r="144" spans="5:5" x14ac:dyDescent="0.4">
      <c r="E144" s="30"/>
    </row>
    <row r="145" spans="5:5" x14ac:dyDescent="0.4">
      <c r="E145" s="30"/>
    </row>
    <row r="146" spans="5:5" x14ac:dyDescent="0.4">
      <c r="E146" s="30"/>
    </row>
    <row r="147" spans="5:5" x14ac:dyDescent="0.4">
      <c r="E147" s="30"/>
    </row>
    <row r="148" spans="5:5" x14ac:dyDescent="0.4">
      <c r="E148" s="30"/>
    </row>
    <row r="149" spans="5:5" x14ac:dyDescent="0.4">
      <c r="E149" s="30"/>
    </row>
    <row r="150" spans="5:5" x14ac:dyDescent="0.4">
      <c r="E150" s="30"/>
    </row>
    <row r="151" spans="5:5" x14ac:dyDescent="0.4">
      <c r="E151" s="30"/>
    </row>
    <row r="152" spans="5:5" x14ac:dyDescent="0.4">
      <c r="E152" s="30"/>
    </row>
    <row r="153" spans="5:5" x14ac:dyDescent="0.4">
      <c r="E153" s="30"/>
    </row>
    <row r="154" spans="5:5" x14ac:dyDescent="0.4">
      <c r="E154" s="30"/>
    </row>
    <row r="155" spans="5:5" x14ac:dyDescent="0.4">
      <c r="E155" s="30"/>
    </row>
    <row r="156" spans="5:5" x14ac:dyDescent="0.4">
      <c r="E156" s="30"/>
    </row>
    <row r="157" spans="5:5" x14ac:dyDescent="0.4">
      <c r="E157" s="30"/>
    </row>
    <row r="158" spans="5:5" x14ac:dyDescent="0.4">
      <c r="E158" s="30"/>
    </row>
    <row r="159" spans="5:5" x14ac:dyDescent="0.4">
      <c r="E159" s="30"/>
    </row>
    <row r="160" spans="5:5" x14ac:dyDescent="0.4">
      <c r="E160" s="30"/>
    </row>
    <row r="161" spans="5:5" x14ac:dyDescent="0.4">
      <c r="E161" s="30"/>
    </row>
    <row r="162" spans="5:5" x14ac:dyDescent="0.4">
      <c r="E162" s="30"/>
    </row>
    <row r="163" spans="5:5" x14ac:dyDescent="0.4">
      <c r="E163" s="30"/>
    </row>
    <row r="164" spans="5:5" x14ac:dyDescent="0.4">
      <c r="E164" s="30"/>
    </row>
    <row r="165" spans="5:5" x14ac:dyDescent="0.4">
      <c r="E165" s="30"/>
    </row>
    <row r="166" spans="5:5" x14ac:dyDescent="0.4">
      <c r="E166" s="30"/>
    </row>
    <row r="167" spans="5:5" x14ac:dyDescent="0.4">
      <c r="E167" s="30"/>
    </row>
    <row r="168" spans="5:5" x14ac:dyDescent="0.4">
      <c r="E168" s="30"/>
    </row>
    <row r="169" spans="5:5" x14ac:dyDescent="0.4">
      <c r="E169" s="30"/>
    </row>
    <row r="170" spans="5:5" x14ac:dyDescent="0.4">
      <c r="E170" s="30"/>
    </row>
    <row r="171" spans="5:5" x14ac:dyDescent="0.4">
      <c r="E171" s="30"/>
    </row>
  </sheetData>
  <sheetProtection selectLockedCells="1"/>
  <mergeCells count="4">
    <mergeCell ref="A23:C23"/>
    <mergeCell ref="B3:N3"/>
    <mergeCell ref="C2:N2"/>
    <mergeCell ref="C5:L5"/>
  </mergeCells>
  <conditionalFormatting sqref="G9">
    <cfRule type="cellIs" dxfId="535" priority="391" operator="equal">
      <formula>"CORRECT !"</formula>
    </cfRule>
  </conditionalFormatting>
  <conditionalFormatting sqref="G10">
    <cfRule type="cellIs" dxfId="534" priority="390" operator="equal">
      <formula>"CORRECT !"</formula>
    </cfRule>
  </conditionalFormatting>
  <conditionalFormatting sqref="G11">
    <cfRule type="cellIs" dxfId="533" priority="389" operator="equal">
      <formula>"CORRECT !"</formula>
    </cfRule>
  </conditionalFormatting>
  <conditionalFormatting sqref="G21">
    <cfRule type="cellIs" dxfId="532" priority="325" operator="equal">
      <formula>"CORRECT !"</formula>
    </cfRule>
  </conditionalFormatting>
  <conditionalFormatting sqref="J13">
    <cfRule type="cellIs" dxfId="531" priority="324" operator="equal">
      <formula>"CORRECT !"</formula>
    </cfRule>
  </conditionalFormatting>
  <conditionalFormatting sqref="D42">
    <cfRule type="cellIs" dxfId="530" priority="268" operator="equal">
      <formula>"CORRECT !"</formula>
    </cfRule>
  </conditionalFormatting>
  <conditionalFormatting sqref="D43">
    <cfRule type="cellIs" dxfId="529" priority="267" operator="equal">
      <formula>"CORRECT !"</formula>
    </cfRule>
  </conditionalFormatting>
  <conditionalFormatting sqref="D44">
    <cfRule type="cellIs" dxfId="528" priority="266" operator="equal">
      <formula>"CORRECT !"</formula>
    </cfRule>
  </conditionalFormatting>
  <conditionalFormatting sqref="D45">
    <cfRule type="cellIs" dxfId="527" priority="265" operator="equal">
      <formula>"CORRECT !"</formula>
    </cfRule>
  </conditionalFormatting>
  <conditionalFormatting sqref="D46">
    <cfRule type="cellIs" dxfId="526" priority="264" operator="equal">
      <formula>"CORRECT !"</formula>
    </cfRule>
  </conditionalFormatting>
  <conditionalFormatting sqref="D47">
    <cfRule type="cellIs" dxfId="525" priority="263" operator="equal">
      <formula>"CORRECT !"</formula>
    </cfRule>
  </conditionalFormatting>
  <conditionalFormatting sqref="D48">
    <cfRule type="cellIs" dxfId="524" priority="262" operator="equal">
      <formula>"CORRECT !"</formula>
    </cfRule>
  </conditionalFormatting>
  <conditionalFormatting sqref="D49">
    <cfRule type="cellIs" dxfId="523" priority="261" operator="equal">
      <formula>"CORRECT !"</formula>
    </cfRule>
  </conditionalFormatting>
  <conditionalFormatting sqref="D50">
    <cfRule type="cellIs" dxfId="522" priority="260" operator="equal">
      <formula>"CORRECT !"</formula>
    </cfRule>
  </conditionalFormatting>
  <conditionalFormatting sqref="D51">
    <cfRule type="cellIs" dxfId="521" priority="259" operator="equal">
      <formula>"CORRECT !"</formula>
    </cfRule>
  </conditionalFormatting>
  <conditionalFormatting sqref="D52">
    <cfRule type="cellIs" dxfId="520" priority="258" operator="equal">
      <formula>"CORRECT !"</formula>
    </cfRule>
  </conditionalFormatting>
  <conditionalFormatting sqref="D53">
    <cfRule type="cellIs" dxfId="519" priority="257" operator="equal">
      <formula>"CORRECT !"</formula>
    </cfRule>
  </conditionalFormatting>
  <conditionalFormatting sqref="D54">
    <cfRule type="cellIs" dxfId="518" priority="256" operator="equal">
      <formula>"CORRECT !"</formula>
    </cfRule>
  </conditionalFormatting>
  <conditionalFormatting sqref="D55">
    <cfRule type="cellIs" dxfId="517" priority="255" operator="equal">
      <formula>"CORRECT !"</formula>
    </cfRule>
  </conditionalFormatting>
  <conditionalFormatting sqref="D56">
    <cfRule type="cellIs" dxfId="516" priority="254" operator="equal">
      <formula>"CORRECT !"</formula>
    </cfRule>
  </conditionalFormatting>
  <conditionalFormatting sqref="D57">
    <cfRule type="cellIs" dxfId="515" priority="253" operator="equal">
      <formula>"CORRECT !"</formula>
    </cfRule>
  </conditionalFormatting>
  <conditionalFormatting sqref="D58">
    <cfRule type="cellIs" dxfId="514" priority="252" operator="equal">
      <formula>"CORRECT !"</formula>
    </cfRule>
  </conditionalFormatting>
  <conditionalFormatting sqref="M7">
    <cfRule type="cellIs" dxfId="513" priority="666" operator="equal">
      <formula>"CORRECT !"</formula>
    </cfRule>
  </conditionalFormatting>
  <conditionalFormatting sqref="M8">
    <cfRule type="cellIs" dxfId="512" priority="665" operator="equal">
      <formula>"CORRECT !"</formula>
    </cfRule>
  </conditionalFormatting>
  <conditionalFormatting sqref="M9">
    <cfRule type="cellIs" dxfId="511" priority="664" operator="equal">
      <formula>"CORRECT !"</formula>
    </cfRule>
  </conditionalFormatting>
  <conditionalFormatting sqref="M10">
    <cfRule type="cellIs" dxfId="510" priority="663" operator="equal">
      <formula>"CORRECT !"</formula>
    </cfRule>
  </conditionalFormatting>
  <conditionalFormatting sqref="M11">
    <cfRule type="cellIs" dxfId="509" priority="662" operator="equal">
      <formula>"CORRECT !"</formula>
    </cfRule>
  </conditionalFormatting>
  <conditionalFormatting sqref="M12">
    <cfRule type="cellIs" dxfId="508" priority="661" operator="equal">
      <formula>"CORRECT !"</formula>
    </cfRule>
  </conditionalFormatting>
  <conditionalFormatting sqref="M13">
    <cfRule type="cellIs" dxfId="507" priority="660" operator="equal">
      <formula>"CORRECT !"</formula>
    </cfRule>
  </conditionalFormatting>
  <conditionalFormatting sqref="M14">
    <cfRule type="cellIs" dxfId="506" priority="659" operator="equal">
      <formula>"CORRECT !"</formula>
    </cfRule>
  </conditionalFormatting>
  <conditionalFormatting sqref="M15">
    <cfRule type="cellIs" dxfId="505" priority="658" operator="equal">
      <formula>"CORRECT !"</formula>
    </cfRule>
  </conditionalFormatting>
  <conditionalFormatting sqref="M16">
    <cfRule type="cellIs" dxfId="504" priority="657" operator="equal">
      <formula>"CORRECT !"</formula>
    </cfRule>
  </conditionalFormatting>
  <conditionalFormatting sqref="M17">
    <cfRule type="cellIs" dxfId="503" priority="656" operator="equal">
      <formula>"CORRECT !"</formula>
    </cfRule>
  </conditionalFormatting>
  <conditionalFormatting sqref="M18">
    <cfRule type="cellIs" dxfId="502" priority="655" operator="equal">
      <formula>"CORRECT !"</formula>
    </cfRule>
  </conditionalFormatting>
  <conditionalFormatting sqref="M19">
    <cfRule type="cellIs" dxfId="501" priority="654" operator="equal">
      <formula>"CORRECT !"</formula>
    </cfRule>
  </conditionalFormatting>
  <conditionalFormatting sqref="M21">
    <cfRule type="cellIs" dxfId="500" priority="652" operator="equal">
      <formula>"CORRECT !"</formula>
    </cfRule>
  </conditionalFormatting>
  <conditionalFormatting sqref="G7">
    <cfRule type="cellIs" dxfId="499" priority="651" operator="equal">
      <formula>"CORRECT !"</formula>
    </cfRule>
  </conditionalFormatting>
  <conditionalFormatting sqref="O39">
    <cfRule type="cellIs" dxfId="498" priority="629" operator="equal">
      <formula>"CORRECT !"</formula>
    </cfRule>
  </conditionalFormatting>
  <conditionalFormatting sqref="O38">
    <cfRule type="cellIs" dxfId="497" priority="630" operator="equal">
      <formula>"CORRECT !"</formula>
    </cfRule>
  </conditionalFormatting>
  <conditionalFormatting sqref="O40">
    <cfRule type="cellIs" dxfId="496" priority="628" operator="equal">
      <formula>"CORRECT !"</formula>
    </cfRule>
  </conditionalFormatting>
  <conditionalFormatting sqref="O42">
    <cfRule type="cellIs" dxfId="495" priority="626" operator="equal">
      <formula>"CORRECT !"</formula>
    </cfRule>
  </conditionalFormatting>
  <conditionalFormatting sqref="O28">
    <cfRule type="cellIs" dxfId="494" priority="640" operator="equal">
      <formula>"CORRECT !"</formula>
    </cfRule>
  </conditionalFormatting>
  <conditionalFormatting sqref="O30">
    <cfRule type="cellIs" dxfId="493" priority="638" operator="equal">
      <formula>"CORRECT !"</formula>
    </cfRule>
  </conditionalFormatting>
  <conditionalFormatting sqref="O32">
    <cfRule type="cellIs" dxfId="492" priority="636" operator="equal">
      <formula>"CORRECT !"</formula>
    </cfRule>
  </conditionalFormatting>
  <conditionalFormatting sqref="O34">
    <cfRule type="cellIs" dxfId="491" priority="634" operator="equal">
      <formula>"CORRECT !"</formula>
    </cfRule>
  </conditionalFormatting>
  <conditionalFormatting sqref="O36">
    <cfRule type="cellIs" dxfId="490" priority="632" operator="equal">
      <formula>"CORRECT !"</formula>
    </cfRule>
  </conditionalFormatting>
  <conditionalFormatting sqref="O41">
    <cfRule type="cellIs" dxfId="489" priority="627" operator="equal">
      <formula>"CORRECT !"</formula>
    </cfRule>
  </conditionalFormatting>
  <conditionalFormatting sqref="O27">
    <cfRule type="cellIs" dxfId="488" priority="641" operator="equal">
      <formula>"CORRECT !"</formula>
    </cfRule>
  </conditionalFormatting>
  <conditionalFormatting sqref="O29">
    <cfRule type="cellIs" dxfId="487" priority="639" operator="equal">
      <formula>"CORRECT !"</formula>
    </cfRule>
  </conditionalFormatting>
  <conditionalFormatting sqref="O31">
    <cfRule type="cellIs" dxfId="486" priority="637" operator="equal">
      <formula>"CORRECT !"</formula>
    </cfRule>
  </conditionalFormatting>
  <conditionalFormatting sqref="O33">
    <cfRule type="cellIs" dxfId="485" priority="635" operator="equal">
      <formula>"CORRECT !"</formula>
    </cfRule>
  </conditionalFormatting>
  <conditionalFormatting sqref="O35">
    <cfRule type="cellIs" dxfId="484" priority="633" operator="equal">
      <formula>"CORRECT !"</formula>
    </cfRule>
  </conditionalFormatting>
  <conditionalFormatting sqref="O37">
    <cfRule type="cellIs" dxfId="483" priority="631" operator="equal">
      <formula>"CORRECT !"</formula>
    </cfRule>
  </conditionalFormatting>
  <conditionalFormatting sqref="J7">
    <cfRule type="cellIs" dxfId="482" priority="650" operator="equal">
      <formula>"CORRECT !"</formula>
    </cfRule>
  </conditionalFormatting>
  <conditionalFormatting sqref="I38">
    <cfRule type="cellIs" dxfId="481" priority="610" operator="equal">
      <formula>"CORRECT !"</formula>
    </cfRule>
  </conditionalFormatting>
  <conditionalFormatting sqref="I39">
    <cfRule type="cellIs" dxfId="480" priority="609" operator="equal">
      <formula>"CORRECT !"</formula>
    </cfRule>
  </conditionalFormatting>
  <conditionalFormatting sqref="I40">
    <cfRule type="cellIs" dxfId="479" priority="608" operator="equal">
      <formula>"CORRECT !"</formula>
    </cfRule>
  </conditionalFormatting>
  <conditionalFormatting sqref="I41">
    <cfRule type="cellIs" dxfId="478" priority="607" operator="equal">
      <formula>"CORRECT !"</formula>
    </cfRule>
  </conditionalFormatting>
  <conditionalFormatting sqref="I42">
    <cfRule type="cellIs" dxfId="477" priority="606" operator="equal">
      <formula>"CORRECT !"</formula>
    </cfRule>
  </conditionalFormatting>
  <conditionalFormatting sqref="I27">
    <cfRule type="cellIs" dxfId="476" priority="621" operator="equal">
      <formula>"CORRECT !"</formula>
    </cfRule>
  </conditionalFormatting>
  <conditionalFormatting sqref="I28">
    <cfRule type="cellIs" dxfId="475" priority="620" operator="equal">
      <formula>"CORRECT !"</formula>
    </cfRule>
  </conditionalFormatting>
  <conditionalFormatting sqref="I29">
    <cfRule type="cellIs" dxfId="474" priority="619" operator="equal">
      <formula>"CORRECT !"</formula>
    </cfRule>
  </conditionalFormatting>
  <conditionalFormatting sqref="I30">
    <cfRule type="cellIs" dxfId="473" priority="618" operator="equal">
      <formula>"CORRECT !"</formula>
    </cfRule>
  </conditionalFormatting>
  <conditionalFormatting sqref="I31">
    <cfRule type="cellIs" dxfId="472" priority="617" operator="equal">
      <formula>"CORRECT !"</formula>
    </cfRule>
  </conditionalFormatting>
  <conditionalFormatting sqref="I32">
    <cfRule type="cellIs" dxfId="471" priority="616" operator="equal">
      <formula>"CORRECT !"</formula>
    </cfRule>
  </conditionalFormatting>
  <conditionalFormatting sqref="I33">
    <cfRule type="cellIs" dxfId="470" priority="615" operator="equal">
      <formula>"CORRECT !"</formula>
    </cfRule>
  </conditionalFormatting>
  <conditionalFormatting sqref="I34">
    <cfRule type="cellIs" dxfId="469" priority="614" operator="equal">
      <formula>"CORRECT !"</formula>
    </cfRule>
  </conditionalFormatting>
  <conditionalFormatting sqref="I35">
    <cfRule type="cellIs" dxfId="468" priority="613" operator="equal">
      <formula>"CORRECT !"</formula>
    </cfRule>
  </conditionalFormatting>
  <conditionalFormatting sqref="I36">
    <cfRule type="cellIs" dxfId="467" priority="612" operator="equal">
      <formula>"CORRECT !"</formula>
    </cfRule>
  </conditionalFormatting>
  <conditionalFormatting sqref="I37">
    <cfRule type="cellIs" dxfId="466" priority="611" operator="equal">
      <formula>"CORRECT !"</formula>
    </cfRule>
  </conditionalFormatting>
  <conditionalFormatting sqref="P34">
    <cfRule type="cellIs" dxfId="465" priority="574" operator="equal">
      <formula>"CORRECT !"</formula>
    </cfRule>
  </conditionalFormatting>
  <conditionalFormatting sqref="P35">
    <cfRule type="cellIs" dxfId="464" priority="573" operator="equal">
      <formula>"CORRECT !"</formula>
    </cfRule>
  </conditionalFormatting>
  <conditionalFormatting sqref="G8">
    <cfRule type="cellIs" dxfId="463" priority="648" operator="equal">
      <formula>"CORRECT !"</formula>
    </cfRule>
  </conditionalFormatting>
  <conditionalFormatting sqref="J8">
    <cfRule type="cellIs" dxfId="462" priority="647" operator="equal">
      <formula>"CORRECT !"</formula>
    </cfRule>
  </conditionalFormatting>
  <conditionalFormatting sqref="G12">
    <cfRule type="cellIs" dxfId="461" priority="646" operator="equal">
      <formula>"CORRECT !"</formula>
    </cfRule>
  </conditionalFormatting>
  <conditionalFormatting sqref="J12">
    <cfRule type="cellIs" dxfId="460" priority="645" operator="equal">
      <formula>"CORRECT !"</formula>
    </cfRule>
  </conditionalFormatting>
  <conditionalFormatting sqref="O25">
    <cfRule type="cellIs" dxfId="459" priority="644" operator="equal">
      <formula>"CORRECT !"</formula>
    </cfRule>
  </conditionalFormatting>
  <conditionalFormatting sqref="D25">
    <cfRule type="cellIs" dxfId="458" priority="643" operator="equal">
      <formula>"CORRECT !"</formula>
    </cfRule>
  </conditionalFormatting>
  <conditionalFormatting sqref="O26">
    <cfRule type="cellIs" dxfId="457" priority="642" operator="equal">
      <formula>"CORRECT !"</formula>
    </cfRule>
  </conditionalFormatting>
  <conditionalFormatting sqref="O43">
    <cfRule type="cellIs" dxfId="456" priority="625" operator="equal">
      <formula>"CORRECT !"</formula>
    </cfRule>
  </conditionalFormatting>
  <conditionalFormatting sqref="O44">
    <cfRule type="cellIs" dxfId="455" priority="624" operator="equal">
      <formula>"CORRECT !"</formula>
    </cfRule>
  </conditionalFormatting>
  <conditionalFormatting sqref="I25">
    <cfRule type="cellIs" dxfId="454" priority="623" operator="equal">
      <formula>"CORRECT !"</formula>
    </cfRule>
  </conditionalFormatting>
  <conditionalFormatting sqref="I26">
    <cfRule type="cellIs" dxfId="453" priority="622" operator="equal">
      <formula>"CORRECT !"</formula>
    </cfRule>
  </conditionalFormatting>
  <conditionalFormatting sqref="I44">
    <cfRule type="cellIs" dxfId="452" priority="604" operator="equal">
      <formula>"CORRECT !"</formula>
    </cfRule>
  </conditionalFormatting>
  <conditionalFormatting sqref="I43">
    <cfRule type="cellIs" dxfId="451" priority="605" operator="equal">
      <formula>"CORRECT !"</formula>
    </cfRule>
  </conditionalFormatting>
  <conditionalFormatting sqref="L25">
    <cfRule type="cellIs" dxfId="450" priority="603" operator="equal">
      <formula>"CORRECT !"</formula>
    </cfRule>
  </conditionalFormatting>
  <conditionalFormatting sqref="L26">
    <cfRule type="cellIs" dxfId="449" priority="602" operator="equal">
      <formula>"CORRECT !"</formula>
    </cfRule>
  </conditionalFormatting>
  <conditionalFormatting sqref="L27">
    <cfRule type="cellIs" dxfId="448" priority="601" operator="equal">
      <formula>"CORRECT !"</formula>
    </cfRule>
  </conditionalFormatting>
  <conditionalFormatting sqref="L28">
    <cfRule type="cellIs" dxfId="447" priority="600" operator="equal">
      <formula>"CORRECT !"</formula>
    </cfRule>
  </conditionalFormatting>
  <conditionalFormatting sqref="L29">
    <cfRule type="cellIs" dxfId="446" priority="599" operator="equal">
      <formula>"CORRECT !"</formula>
    </cfRule>
  </conditionalFormatting>
  <conditionalFormatting sqref="L30">
    <cfRule type="cellIs" dxfId="445" priority="598" operator="equal">
      <formula>"CORRECT !"</formula>
    </cfRule>
  </conditionalFormatting>
  <conditionalFormatting sqref="L31">
    <cfRule type="cellIs" dxfId="444" priority="597" operator="equal">
      <formula>"CORRECT !"</formula>
    </cfRule>
  </conditionalFormatting>
  <conditionalFormatting sqref="L32">
    <cfRule type="cellIs" dxfId="443" priority="596" operator="equal">
      <formula>"CORRECT !"</formula>
    </cfRule>
  </conditionalFormatting>
  <conditionalFormatting sqref="L33">
    <cfRule type="cellIs" dxfId="442" priority="595" operator="equal">
      <formula>"CORRECT !"</formula>
    </cfRule>
  </conditionalFormatting>
  <conditionalFormatting sqref="L34">
    <cfRule type="cellIs" dxfId="441" priority="594" operator="equal">
      <formula>"CORRECT !"</formula>
    </cfRule>
  </conditionalFormatting>
  <conditionalFormatting sqref="L35">
    <cfRule type="cellIs" dxfId="440" priority="593" operator="equal">
      <formula>"CORRECT !"</formula>
    </cfRule>
  </conditionalFormatting>
  <conditionalFormatting sqref="L36">
    <cfRule type="cellIs" dxfId="439" priority="592" operator="equal">
      <formula>"CORRECT !"</formula>
    </cfRule>
  </conditionalFormatting>
  <conditionalFormatting sqref="L37">
    <cfRule type="cellIs" dxfId="438" priority="591" operator="equal">
      <formula>"CORRECT !"</formula>
    </cfRule>
  </conditionalFormatting>
  <conditionalFormatting sqref="L38">
    <cfRule type="cellIs" dxfId="437" priority="590" operator="equal">
      <formula>"CORRECT !"</formula>
    </cfRule>
  </conditionalFormatting>
  <conditionalFormatting sqref="L39">
    <cfRule type="cellIs" dxfId="436" priority="589" operator="equal">
      <formula>"CORRECT !"</formula>
    </cfRule>
  </conditionalFormatting>
  <conditionalFormatting sqref="L40">
    <cfRule type="cellIs" dxfId="435" priority="588" operator="equal">
      <formula>"CORRECT !"</formula>
    </cfRule>
  </conditionalFormatting>
  <conditionalFormatting sqref="L41">
    <cfRule type="cellIs" dxfId="434" priority="587" operator="equal">
      <formula>"CORRECT !"</formula>
    </cfRule>
  </conditionalFormatting>
  <conditionalFormatting sqref="L42">
    <cfRule type="cellIs" dxfId="433" priority="586" operator="equal">
      <formula>"CORRECT !"</formula>
    </cfRule>
  </conditionalFormatting>
  <conditionalFormatting sqref="L43">
    <cfRule type="cellIs" dxfId="432" priority="585" operator="equal">
      <formula>"CORRECT !"</formula>
    </cfRule>
  </conditionalFormatting>
  <conditionalFormatting sqref="L44">
    <cfRule type="cellIs" dxfId="431" priority="584" operator="equal">
      <formula>"CORRECT !"</formula>
    </cfRule>
  </conditionalFormatting>
  <conditionalFormatting sqref="P25">
    <cfRule type="cellIs" dxfId="430" priority="583" operator="equal">
      <formula>"CORRECT !"</formula>
    </cfRule>
  </conditionalFormatting>
  <conditionalFormatting sqref="P26">
    <cfRule type="cellIs" dxfId="429" priority="582" operator="equal">
      <formula>"CORRECT !"</formula>
    </cfRule>
  </conditionalFormatting>
  <conditionalFormatting sqref="P27">
    <cfRule type="cellIs" dxfId="428" priority="581" operator="equal">
      <formula>"CORRECT !"</formula>
    </cfRule>
  </conditionalFormatting>
  <conditionalFormatting sqref="P28">
    <cfRule type="cellIs" dxfId="427" priority="580" operator="equal">
      <formula>"CORRECT !"</formula>
    </cfRule>
  </conditionalFormatting>
  <conditionalFormatting sqref="P29">
    <cfRule type="cellIs" dxfId="426" priority="579" operator="equal">
      <formula>"CORRECT !"</formula>
    </cfRule>
  </conditionalFormatting>
  <conditionalFormatting sqref="P30">
    <cfRule type="cellIs" dxfId="425" priority="578" operator="equal">
      <formula>"CORRECT !"</formula>
    </cfRule>
  </conditionalFormatting>
  <conditionalFormatting sqref="P31">
    <cfRule type="cellIs" dxfId="424" priority="577" operator="equal">
      <formula>"CORRECT !"</formula>
    </cfRule>
  </conditionalFormatting>
  <conditionalFormatting sqref="P32">
    <cfRule type="cellIs" dxfId="423" priority="576" operator="equal">
      <formula>"CORRECT !"</formula>
    </cfRule>
  </conditionalFormatting>
  <conditionalFormatting sqref="P33">
    <cfRule type="cellIs" dxfId="422" priority="575" operator="equal">
      <formula>"CORRECT !"</formula>
    </cfRule>
  </conditionalFormatting>
  <conditionalFormatting sqref="P36">
    <cfRule type="cellIs" dxfId="421" priority="572" operator="equal">
      <formula>"CORRECT !"</formula>
    </cfRule>
  </conditionalFormatting>
  <conditionalFormatting sqref="P37">
    <cfRule type="cellIs" dxfId="420" priority="571" operator="equal">
      <formula>"CORRECT !"</formula>
    </cfRule>
  </conditionalFormatting>
  <conditionalFormatting sqref="P38">
    <cfRule type="cellIs" dxfId="419" priority="570" operator="equal">
      <formula>"CORRECT !"</formula>
    </cfRule>
  </conditionalFormatting>
  <conditionalFormatting sqref="P39">
    <cfRule type="cellIs" dxfId="418" priority="569" operator="equal">
      <formula>"CORRECT !"</formula>
    </cfRule>
  </conditionalFormatting>
  <conditionalFormatting sqref="P40">
    <cfRule type="cellIs" dxfId="417" priority="568" operator="equal">
      <formula>"CORRECT !"</formula>
    </cfRule>
  </conditionalFormatting>
  <conditionalFormatting sqref="P41">
    <cfRule type="cellIs" dxfId="416" priority="567" operator="equal">
      <formula>"CORRECT !"</formula>
    </cfRule>
  </conditionalFormatting>
  <conditionalFormatting sqref="P42">
    <cfRule type="cellIs" dxfId="415" priority="566" operator="equal">
      <formula>"CORRECT !"</formula>
    </cfRule>
  </conditionalFormatting>
  <conditionalFormatting sqref="P43">
    <cfRule type="cellIs" dxfId="414" priority="565" operator="equal">
      <formula>"CORRECT !"</formula>
    </cfRule>
  </conditionalFormatting>
  <conditionalFormatting sqref="P44">
    <cfRule type="cellIs" dxfId="413" priority="564" operator="equal">
      <formula>"CORRECT !"</formula>
    </cfRule>
  </conditionalFormatting>
  <conditionalFormatting sqref="E25">
    <cfRule type="expression" dxfId="412" priority="563">
      <formula>$P$1&lt;&gt;""</formula>
    </cfRule>
  </conditionalFormatting>
  <conditionalFormatting sqref="E7">
    <cfRule type="expression" dxfId="411" priority="561">
      <formula>AND($F7&lt;&gt;"",$C7&lt;&gt;$E7)</formula>
    </cfRule>
    <cfRule type="expression" dxfId="410" priority="562">
      <formula>AND($F7="y",$C7=$E7)</formula>
    </cfRule>
  </conditionalFormatting>
  <conditionalFormatting sqref="D27">
    <cfRule type="cellIs" dxfId="409" priority="550" operator="equal">
      <formula>"CORRECT !"</formula>
    </cfRule>
  </conditionalFormatting>
  <conditionalFormatting sqref="D26">
    <cfRule type="cellIs" dxfId="408" priority="548" operator="equal">
      <formula>"CORRECT !"</formula>
    </cfRule>
  </conditionalFormatting>
  <conditionalFormatting sqref="E60">
    <cfRule type="expression" dxfId="407" priority="547">
      <formula>$P$1&lt;&gt;""</formula>
    </cfRule>
  </conditionalFormatting>
  <conditionalFormatting sqref="E61">
    <cfRule type="expression" dxfId="406" priority="546">
      <formula>$P$1&lt;&gt;""</formula>
    </cfRule>
  </conditionalFormatting>
  <conditionalFormatting sqref="E62">
    <cfRule type="expression" dxfId="405" priority="545">
      <formula>$P$1&lt;&gt;""</formula>
    </cfRule>
  </conditionalFormatting>
  <conditionalFormatting sqref="E63">
    <cfRule type="expression" dxfId="404" priority="544">
      <formula>$P$1&lt;&gt;""</formula>
    </cfRule>
  </conditionalFormatting>
  <conditionalFormatting sqref="E64">
    <cfRule type="expression" dxfId="403" priority="543">
      <formula>$P$1&lt;&gt;""</formula>
    </cfRule>
  </conditionalFormatting>
  <conditionalFormatting sqref="E65">
    <cfRule type="expression" dxfId="402" priority="542">
      <formula>$P$1&lt;&gt;""</formula>
    </cfRule>
  </conditionalFormatting>
  <conditionalFormatting sqref="E66">
    <cfRule type="expression" dxfId="401" priority="541">
      <formula>$P$1&lt;&gt;""</formula>
    </cfRule>
  </conditionalFormatting>
  <conditionalFormatting sqref="E67">
    <cfRule type="expression" dxfId="400" priority="540">
      <formula>$P$1&lt;&gt;""</formula>
    </cfRule>
  </conditionalFormatting>
  <conditionalFormatting sqref="E68">
    <cfRule type="expression" dxfId="399" priority="539">
      <formula>$P$1&lt;&gt;""</formula>
    </cfRule>
  </conditionalFormatting>
  <conditionalFormatting sqref="E69">
    <cfRule type="expression" dxfId="398" priority="538">
      <formula>$P$1&lt;&gt;""</formula>
    </cfRule>
  </conditionalFormatting>
  <conditionalFormatting sqref="E70">
    <cfRule type="expression" dxfId="397" priority="537">
      <formula>$P$1&lt;&gt;""</formula>
    </cfRule>
  </conditionalFormatting>
  <conditionalFormatting sqref="E71">
    <cfRule type="expression" dxfId="396" priority="536">
      <formula>$P$1&lt;&gt;""</formula>
    </cfRule>
  </conditionalFormatting>
  <conditionalFormatting sqref="E72">
    <cfRule type="expression" dxfId="395" priority="535">
      <formula>$P$1&lt;&gt;""</formula>
    </cfRule>
  </conditionalFormatting>
  <conditionalFormatting sqref="E73">
    <cfRule type="expression" dxfId="394" priority="534">
      <formula>$P$1&lt;&gt;""</formula>
    </cfRule>
  </conditionalFormatting>
  <conditionalFormatting sqref="E74">
    <cfRule type="expression" dxfId="393" priority="533">
      <formula>$P$1&lt;&gt;""</formula>
    </cfRule>
  </conditionalFormatting>
  <conditionalFormatting sqref="E75">
    <cfRule type="expression" dxfId="392" priority="532">
      <formula>$P$1&lt;&gt;""</formula>
    </cfRule>
  </conditionalFormatting>
  <conditionalFormatting sqref="E76">
    <cfRule type="expression" dxfId="391" priority="531">
      <formula>$P$1&lt;&gt;""</formula>
    </cfRule>
  </conditionalFormatting>
  <conditionalFormatting sqref="E77">
    <cfRule type="expression" dxfId="390" priority="530">
      <formula>$P$1&lt;&gt;""</formula>
    </cfRule>
  </conditionalFormatting>
  <conditionalFormatting sqref="E78">
    <cfRule type="expression" dxfId="389" priority="529">
      <formula>$P$1&lt;&gt;""</formula>
    </cfRule>
  </conditionalFormatting>
  <conditionalFormatting sqref="E79">
    <cfRule type="expression" dxfId="388" priority="528">
      <formula>$P$1&lt;&gt;""</formula>
    </cfRule>
  </conditionalFormatting>
  <conditionalFormatting sqref="E80">
    <cfRule type="expression" dxfId="387" priority="527">
      <formula>$P$1&lt;&gt;""</formula>
    </cfRule>
  </conditionalFormatting>
  <conditionalFormatting sqref="E81">
    <cfRule type="expression" dxfId="386" priority="526">
      <formula>$P$1&lt;&gt;""</formula>
    </cfRule>
  </conditionalFormatting>
  <conditionalFormatting sqref="E82">
    <cfRule type="expression" dxfId="385" priority="525">
      <formula>$P$1&lt;&gt;""</formula>
    </cfRule>
  </conditionalFormatting>
  <conditionalFormatting sqref="E83">
    <cfRule type="expression" dxfId="384" priority="524">
      <formula>$P$1&lt;&gt;""</formula>
    </cfRule>
  </conditionalFormatting>
  <conditionalFormatting sqref="E84">
    <cfRule type="expression" dxfId="383" priority="523">
      <formula>$P$1&lt;&gt;""</formula>
    </cfRule>
  </conditionalFormatting>
  <conditionalFormatting sqref="E85">
    <cfRule type="expression" dxfId="382" priority="522">
      <formula>$P$1&lt;&gt;""</formula>
    </cfRule>
  </conditionalFormatting>
  <conditionalFormatting sqref="E86">
    <cfRule type="expression" dxfId="381" priority="521">
      <formula>$P$1&lt;&gt;""</formula>
    </cfRule>
  </conditionalFormatting>
  <conditionalFormatting sqref="E87">
    <cfRule type="expression" dxfId="380" priority="520">
      <formula>$P$1&lt;&gt;""</formula>
    </cfRule>
  </conditionalFormatting>
  <conditionalFormatting sqref="E88">
    <cfRule type="expression" dxfId="379" priority="519">
      <formula>$P$1&lt;&gt;""</formula>
    </cfRule>
  </conditionalFormatting>
  <conditionalFormatting sqref="E89">
    <cfRule type="expression" dxfId="378" priority="518">
      <formula>$P$1&lt;&gt;""</formula>
    </cfRule>
  </conditionalFormatting>
  <conditionalFormatting sqref="E90">
    <cfRule type="expression" dxfId="377" priority="517">
      <formula>$P$1&lt;&gt;""</formula>
    </cfRule>
  </conditionalFormatting>
  <conditionalFormatting sqref="E91">
    <cfRule type="expression" dxfId="376" priority="516">
      <formula>$P$1&lt;&gt;""</formula>
    </cfRule>
  </conditionalFormatting>
  <conditionalFormatting sqref="E92">
    <cfRule type="expression" dxfId="375" priority="515">
      <formula>$P$1&lt;&gt;""</formula>
    </cfRule>
  </conditionalFormatting>
  <conditionalFormatting sqref="E93">
    <cfRule type="expression" dxfId="374" priority="514">
      <formula>$P$1&lt;&gt;""</formula>
    </cfRule>
  </conditionalFormatting>
  <conditionalFormatting sqref="E94">
    <cfRule type="expression" dxfId="373" priority="513">
      <formula>$P$1&lt;&gt;""</formula>
    </cfRule>
  </conditionalFormatting>
  <conditionalFormatting sqref="E95">
    <cfRule type="expression" dxfId="372" priority="512">
      <formula>$P$1&lt;&gt;""</formula>
    </cfRule>
  </conditionalFormatting>
  <conditionalFormatting sqref="E96">
    <cfRule type="expression" dxfId="371" priority="511">
      <formula>$P$1&lt;&gt;""</formula>
    </cfRule>
  </conditionalFormatting>
  <conditionalFormatting sqref="E97">
    <cfRule type="expression" dxfId="370" priority="510">
      <formula>$P$1&lt;&gt;""</formula>
    </cfRule>
  </conditionalFormatting>
  <conditionalFormatting sqref="E98">
    <cfRule type="expression" dxfId="369" priority="509">
      <formula>$P$1&lt;&gt;""</formula>
    </cfRule>
  </conditionalFormatting>
  <conditionalFormatting sqref="E99">
    <cfRule type="expression" dxfId="368" priority="508">
      <formula>$P$1&lt;&gt;""</formula>
    </cfRule>
  </conditionalFormatting>
  <conditionalFormatting sqref="E100">
    <cfRule type="expression" dxfId="367" priority="507">
      <formula>$P$1&lt;&gt;""</formula>
    </cfRule>
  </conditionalFormatting>
  <conditionalFormatting sqref="E101">
    <cfRule type="expression" dxfId="366" priority="506">
      <formula>$P$1&lt;&gt;""</formula>
    </cfRule>
  </conditionalFormatting>
  <conditionalFormatting sqref="E102">
    <cfRule type="expression" dxfId="365" priority="505">
      <formula>$P$1&lt;&gt;""</formula>
    </cfRule>
  </conditionalFormatting>
  <conditionalFormatting sqref="E103">
    <cfRule type="expression" dxfId="364" priority="504">
      <formula>$P$1&lt;&gt;""</formula>
    </cfRule>
  </conditionalFormatting>
  <conditionalFormatting sqref="E104">
    <cfRule type="expression" dxfId="363" priority="503">
      <formula>$P$1&lt;&gt;""</formula>
    </cfRule>
  </conditionalFormatting>
  <conditionalFormatting sqref="E105">
    <cfRule type="expression" dxfId="362" priority="502">
      <formula>$P$1&lt;&gt;""</formula>
    </cfRule>
  </conditionalFormatting>
  <conditionalFormatting sqref="E106">
    <cfRule type="expression" dxfId="361" priority="501">
      <formula>$P$1&lt;&gt;""</formula>
    </cfRule>
  </conditionalFormatting>
  <conditionalFormatting sqref="E107">
    <cfRule type="expression" dxfId="360" priority="500">
      <formula>$P$1&lt;&gt;""</formula>
    </cfRule>
  </conditionalFormatting>
  <conditionalFormatting sqref="E108">
    <cfRule type="expression" dxfId="359" priority="499">
      <formula>$P$1&lt;&gt;""</formula>
    </cfRule>
  </conditionalFormatting>
  <conditionalFormatting sqref="E109">
    <cfRule type="expression" dxfId="358" priority="498">
      <formula>$P$1&lt;&gt;""</formula>
    </cfRule>
  </conditionalFormatting>
  <conditionalFormatting sqref="E110">
    <cfRule type="expression" dxfId="357" priority="497">
      <formula>$P$1&lt;&gt;""</formula>
    </cfRule>
  </conditionalFormatting>
  <conditionalFormatting sqref="E111">
    <cfRule type="expression" dxfId="356" priority="496">
      <formula>$P$1&lt;&gt;""</formula>
    </cfRule>
  </conditionalFormatting>
  <conditionalFormatting sqref="E112">
    <cfRule type="expression" dxfId="355" priority="495">
      <formula>$P$1&lt;&gt;""</formula>
    </cfRule>
  </conditionalFormatting>
  <conditionalFormatting sqref="E113">
    <cfRule type="expression" dxfId="354" priority="494">
      <formula>$P$1&lt;&gt;""</formula>
    </cfRule>
  </conditionalFormatting>
  <conditionalFormatting sqref="E114">
    <cfRule type="expression" dxfId="353" priority="493">
      <formula>$P$1&lt;&gt;""</formula>
    </cfRule>
  </conditionalFormatting>
  <conditionalFormatting sqref="E115">
    <cfRule type="expression" dxfId="352" priority="492">
      <formula>$P$1&lt;&gt;""</formula>
    </cfRule>
  </conditionalFormatting>
  <conditionalFormatting sqref="E116">
    <cfRule type="expression" dxfId="351" priority="491">
      <formula>$P$1&lt;&gt;""</formula>
    </cfRule>
  </conditionalFormatting>
  <conditionalFormatting sqref="E117">
    <cfRule type="expression" dxfId="350" priority="490">
      <formula>$P$1&lt;&gt;""</formula>
    </cfRule>
  </conditionalFormatting>
  <conditionalFormatting sqref="E118">
    <cfRule type="expression" dxfId="349" priority="489">
      <formula>$P$1&lt;&gt;""</formula>
    </cfRule>
  </conditionalFormatting>
  <conditionalFormatting sqref="E119">
    <cfRule type="expression" dxfId="348" priority="488">
      <formula>$P$1&lt;&gt;""</formula>
    </cfRule>
  </conditionalFormatting>
  <conditionalFormatting sqref="E120">
    <cfRule type="expression" dxfId="347" priority="487">
      <formula>$P$1&lt;&gt;""</formula>
    </cfRule>
  </conditionalFormatting>
  <conditionalFormatting sqref="E121">
    <cfRule type="expression" dxfId="346" priority="486">
      <formula>$P$1&lt;&gt;""</formula>
    </cfRule>
  </conditionalFormatting>
  <conditionalFormatting sqref="E122">
    <cfRule type="expression" dxfId="345" priority="485">
      <formula>$P$1&lt;&gt;""</formula>
    </cfRule>
  </conditionalFormatting>
  <conditionalFormatting sqref="E123">
    <cfRule type="expression" dxfId="344" priority="484">
      <formula>$P$1&lt;&gt;""</formula>
    </cfRule>
  </conditionalFormatting>
  <conditionalFormatting sqref="E124">
    <cfRule type="expression" dxfId="343" priority="483">
      <formula>$P$1&lt;&gt;""</formula>
    </cfRule>
  </conditionalFormatting>
  <conditionalFormatting sqref="E125">
    <cfRule type="expression" dxfId="342" priority="482">
      <formula>$P$1&lt;&gt;""</formula>
    </cfRule>
  </conditionalFormatting>
  <conditionalFormatting sqref="E126">
    <cfRule type="expression" dxfId="341" priority="481">
      <formula>$P$1&lt;&gt;""</formula>
    </cfRule>
  </conditionalFormatting>
  <conditionalFormatting sqref="E127">
    <cfRule type="expression" dxfId="340" priority="480">
      <formula>$P$1&lt;&gt;""</formula>
    </cfRule>
  </conditionalFormatting>
  <conditionalFormatting sqref="E128">
    <cfRule type="expression" dxfId="339" priority="479">
      <formula>$P$1&lt;&gt;""</formula>
    </cfRule>
  </conditionalFormatting>
  <conditionalFormatting sqref="E129">
    <cfRule type="expression" dxfId="338" priority="478">
      <formula>$P$1&lt;&gt;""</formula>
    </cfRule>
  </conditionalFormatting>
  <conditionalFormatting sqref="E130">
    <cfRule type="expression" dxfId="337" priority="477">
      <formula>$P$1&lt;&gt;""</formula>
    </cfRule>
  </conditionalFormatting>
  <conditionalFormatting sqref="E131">
    <cfRule type="expression" dxfId="336" priority="476">
      <formula>$P$1&lt;&gt;""</formula>
    </cfRule>
  </conditionalFormatting>
  <conditionalFormatting sqref="E132">
    <cfRule type="expression" dxfId="335" priority="475">
      <formula>$P$1&lt;&gt;""</formula>
    </cfRule>
  </conditionalFormatting>
  <conditionalFormatting sqref="E133">
    <cfRule type="expression" dxfId="334" priority="474">
      <formula>$P$1&lt;&gt;""</formula>
    </cfRule>
  </conditionalFormatting>
  <conditionalFormatting sqref="E134">
    <cfRule type="expression" dxfId="333" priority="473">
      <formula>$P$1&lt;&gt;""</formula>
    </cfRule>
  </conditionalFormatting>
  <conditionalFormatting sqref="E135">
    <cfRule type="expression" dxfId="332" priority="472">
      <formula>$P$1&lt;&gt;""</formula>
    </cfRule>
  </conditionalFormatting>
  <conditionalFormatting sqref="E136">
    <cfRule type="expression" dxfId="331" priority="471">
      <formula>$P$1&lt;&gt;""</formula>
    </cfRule>
  </conditionalFormatting>
  <conditionalFormatting sqref="E137">
    <cfRule type="expression" dxfId="330" priority="470">
      <formula>$P$1&lt;&gt;""</formula>
    </cfRule>
  </conditionalFormatting>
  <conditionalFormatting sqref="E138">
    <cfRule type="expression" dxfId="329" priority="469">
      <formula>$P$1&lt;&gt;""</formula>
    </cfRule>
  </conditionalFormatting>
  <conditionalFormatting sqref="E139">
    <cfRule type="expression" dxfId="328" priority="468">
      <formula>$P$1&lt;&gt;""</formula>
    </cfRule>
  </conditionalFormatting>
  <conditionalFormatting sqref="E140">
    <cfRule type="expression" dxfId="327" priority="467">
      <formula>$P$1&lt;&gt;""</formula>
    </cfRule>
  </conditionalFormatting>
  <conditionalFormatting sqref="E141">
    <cfRule type="expression" dxfId="326" priority="466">
      <formula>$P$1&lt;&gt;""</formula>
    </cfRule>
  </conditionalFormatting>
  <conditionalFormatting sqref="E142">
    <cfRule type="expression" dxfId="325" priority="465">
      <formula>$P$1&lt;&gt;""</formula>
    </cfRule>
  </conditionalFormatting>
  <conditionalFormatting sqref="E143">
    <cfRule type="expression" dxfId="324" priority="464">
      <formula>$P$1&lt;&gt;""</formula>
    </cfRule>
  </conditionalFormatting>
  <conditionalFormatting sqref="E144">
    <cfRule type="expression" dxfId="323" priority="463">
      <formula>$P$1&lt;&gt;""</formula>
    </cfRule>
  </conditionalFormatting>
  <conditionalFormatting sqref="E145">
    <cfRule type="expression" dxfId="322" priority="462">
      <formula>$P$1&lt;&gt;""</formula>
    </cfRule>
  </conditionalFormatting>
  <conditionalFormatting sqref="E146">
    <cfRule type="expression" dxfId="321" priority="461">
      <formula>$P$1&lt;&gt;""</formula>
    </cfRule>
  </conditionalFormatting>
  <conditionalFormatting sqref="E147">
    <cfRule type="expression" dxfId="320" priority="460">
      <formula>$P$1&lt;&gt;""</formula>
    </cfRule>
  </conditionalFormatting>
  <conditionalFormatting sqref="E148">
    <cfRule type="expression" dxfId="319" priority="459">
      <formula>$P$1&lt;&gt;""</formula>
    </cfRule>
  </conditionalFormatting>
  <conditionalFormatting sqref="E149">
    <cfRule type="expression" dxfId="318" priority="458">
      <formula>$P$1&lt;&gt;""</formula>
    </cfRule>
  </conditionalFormatting>
  <conditionalFormatting sqref="E150">
    <cfRule type="expression" dxfId="317" priority="457">
      <formula>$P$1&lt;&gt;""</formula>
    </cfRule>
  </conditionalFormatting>
  <conditionalFormatting sqref="E151">
    <cfRule type="expression" dxfId="316" priority="456">
      <formula>$P$1&lt;&gt;""</formula>
    </cfRule>
  </conditionalFormatting>
  <conditionalFormatting sqref="E152">
    <cfRule type="expression" dxfId="315" priority="455">
      <formula>$P$1&lt;&gt;""</formula>
    </cfRule>
  </conditionalFormatting>
  <conditionalFormatting sqref="E153">
    <cfRule type="expression" dxfId="314" priority="454">
      <formula>$P$1&lt;&gt;""</formula>
    </cfRule>
  </conditionalFormatting>
  <conditionalFormatting sqref="E154">
    <cfRule type="expression" dxfId="313" priority="453">
      <formula>$P$1&lt;&gt;""</formula>
    </cfRule>
  </conditionalFormatting>
  <conditionalFormatting sqref="E155">
    <cfRule type="expression" dxfId="312" priority="452">
      <formula>$P$1&lt;&gt;""</formula>
    </cfRule>
  </conditionalFormatting>
  <conditionalFormatting sqref="E156">
    <cfRule type="expression" dxfId="311" priority="451">
      <formula>$P$1&lt;&gt;""</formula>
    </cfRule>
  </conditionalFormatting>
  <conditionalFormatting sqref="E157">
    <cfRule type="expression" dxfId="310" priority="450">
      <formula>$P$1&lt;&gt;""</formula>
    </cfRule>
  </conditionalFormatting>
  <conditionalFormatting sqref="E158">
    <cfRule type="expression" dxfId="309" priority="449">
      <formula>$P$1&lt;&gt;""</formula>
    </cfRule>
  </conditionalFormatting>
  <conditionalFormatting sqref="E159">
    <cfRule type="expression" dxfId="308" priority="448">
      <formula>$P$1&lt;&gt;""</formula>
    </cfRule>
  </conditionalFormatting>
  <conditionalFormatting sqref="E160">
    <cfRule type="expression" dxfId="307" priority="447">
      <formula>$P$1&lt;&gt;""</formula>
    </cfRule>
  </conditionalFormatting>
  <conditionalFormatting sqref="E161">
    <cfRule type="expression" dxfId="306" priority="446">
      <formula>$P$1&lt;&gt;""</formula>
    </cfRule>
  </conditionalFormatting>
  <conditionalFormatting sqref="E162">
    <cfRule type="expression" dxfId="305" priority="445">
      <formula>$P$1&lt;&gt;""</formula>
    </cfRule>
  </conditionalFormatting>
  <conditionalFormatting sqref="E163">
    <cfRule type="expression" dxfId="304" priority="444">
      <formula>$P$1&lt;&gt;""</formula>
    </cfRule>
  </conditionalFormatting>
  <conditionalFormatting sqref="E164">
    <cfRule type="expression" dxfId="303" priority="443">
      <formula>$P$1&lt;&gt;""</formula>
    </cfRule>
  </conditionalFormatting>
  <conditionalFormatting sqref="E165">
    <cfRule type="expression" dxfId="302" priority="442">
      <formula>$P$1&lt;&gt;""</formula>
    </cfRule>
  </conditionalFormatting>
  <conditionalFormatting sqref="E166">
    <cfRule type="expression" dxfId="301" priority="441">
      <formula>$P$1&lt;&gt;""</formula>
    </cfRule>
  </conditionalFormatting>
  <conditionalFormatting sqref="E167">
    <cfRule type="expression" dxfId="300" priority="440">
      <formula>$P$1&lt;&gt;""</formula>
    </cfRule>
  </conditionalFormatting>
  <conditionalFormatting sqref="E168">
    <cfRule type="expression" dxfId="299" priority="439">
      <formula>$P$1&lt;&gt;""</formula>
    </cfRule>
  </conditionalFormatting>
  <conditionalFormatting sqref="E169">
    <cfRule type="expression" dxfId="298" priority="438">
      <formula>$P$1&lt;&gt;""</formula>
    </cfRule>
  </conditionalFormatting>
  <conditionalFormatting sqref="E170">
    <cfRule type="expression" dxfId="297" priority="437">
      <formula>$P$1&lt;&gt;""</formula>
    </cfRule>
  </conditionalFormatting>
  <conditionalFormatting sqref="E171">
    <cfRule type="expression" dxfId="296" priority="436">
      <formula>$P$1&lt;&gt;""</formula>
    </cfRule>
  </conditionalFormatting>
  <conditionalFormatting sqref="E6">
    <cfRule type="expression" dxfId="295" priority="435">
      <formula>$P$1&lt;&gt;""</formula>
    </cfRule>
  </conditionalFormatting>
  <conditionalFormatting sqref="E23">
    <cfRule type="expression" dxfId="294" priority="433">
      <formula>$P$1&lt;&gt;""</formula>
    </cfRule>
  </conditionalFormatting>
  <conditionalFormatting sqref="E24">
    <cfRule type="expression" dxfId="293" priority="432">
      <formula>$P$1&lt;&gt;""</formula>
    </cfRule>
  </conditionalFormatting>
  <conditionalFormatting sqref="J9">
    <cfRule type="cellIs" dxfId="292" priority="362" operator="equal">
      <formula>"CORRECT !"</formula>
    </cfRule>
  </conditionalFormatting>
  <conditionalFormatting sqref="J10">
    <cfRule type="cellIs" dxfId="291" priority="361" operator="equal">
      <formula>"CORRECT !"</formula>
    </cfRule>
  </conditionalFormatting>
  <conditionalFormatting sqref="J11">
    <cfRule type="cellIs" dxfId="290" priority="360" operator="equal">
      <formula>"CORRECT !"</formula>
    </cfRule>
  </conditionalFormatting>
  <conditionalFormatting sqref="G13">
    <cfRule type="cellIs" dxfId="289" priority="333" operator="equal">
      <formula>"CORRECT !"</formula>
    </cfRule>
  </conditionalFormatting>
  <conditionalFormatting sqref="G14">
    <cfRule type="cellIs" dxfId="288" priority="332" operator="equal">
      <formula>"CORRECT !"</formula>
    </cfRule>
  </conditionalFormatting>
  <conditionalFormatting sqref="G15">
    <cfRule type="cellIs" dxfId="287" priority="331" operator="equal">
      <formula>"CORRECT !"</formula>
    </cfRule>
  </conditionalFormatting>
  <conditionalFormatting sqref="G16">
    <cfRule type="cellIs" dxfId="286" priority="330" operator="equal">
      <formula>"CORRECT !"</formula>
    </cfRule>
  </conditionalFormatting>
  <conditionalFormatting sqref="G17">
    <cfRule type="cellIs" dxfId="285" priority="329" operator="equal">
      <formula>"CORRECT !"</formula>
    </cfRule>
  </conditionalFormatting>
  <conditionalFormatting sqref="G18">
    <cfRule type="cellIs" dxfId="284" priority="328" operator="equal">
      <formula>"CORRECT !"</formula>
    </cfRule>
  </conditionalFormatting>
  <conditionalFormatting sqref="G19">
    <cfRule type="cellIs" dxfId="283" priority="327" operator="equal">
      <formula>"CORRECT !"</formula>
    </cfRule>
  </conditionalFormatting>
  <conditionalFormatting sqref="J14">
    <cfRule type="cellIs" dxfId="282" priority="323" operator="equal">
      <formula>"CORRECT !"</formula>
    </cfRule>
  </conditionalFormatting>
  <conditionalFormatting sqref="J15">
    <cfRule type="cellIs" dxfId="281" priority="322" operator="equal">
      <formula>"CORRECT !"</formula>
    </cfRule>
  </conditionalFormatting>
  <conditionalFormatting sqref="J16">
    <cfRule type="cellIs" dxfId="280" priority="321" operator="equal">
      <formula>"CORRECT !"</formula>
    </cfRule>
  </conditionalFormatting>
  <conditionalFormatting sqref="J17">
    <cfRule type="cellIs" dxfId="279" priority="320" operator="equal">
      <formula>"CORRECT !"</formula>
    </cfRule>
  </conditionalFormatting>
  <conditionalFormatting sqref="J18">
    <cfRule type="cellIs" dxfId="278" priority="319" operator="equal">
      <formula>"CORRECT !"</formula>
    </cfRule>
  </conditionalFormatting>
  <conditionalFormatting sqref="J19">
    <cfRule type="cellIs" dxfId="277" priority="318" operator="equal">
      <formula>"CORRECT !"</formula>
    </cfRule>
  </conditionalFormatting>
  <conditionalFormatting sqref="J21">
    <cfRule type="cellIs" dxfId="276" priority="316" operator="equal">
      <formula>"CORRECT !"</formula>
    </cfRule>
  </conditionalFormatting>
  <conditionalFormatting sqref="E26">
    <cfRule type="expression" dxfId="275" priority="315">
      <formula>$P$1&lt;&gt;""</formula>
    </cfRule>
  </conditionalFormatting>
  <conditionalFormatting sqref="E27">
    <cfRule type="expression" dxfId="274" priority="314">
      <formula>$P$1&lt;&gt;""</formula>
    </cfRule>
  </conditionalFormatting>
  <conditionalFormatting sqref="E28">
    <cfRule type="expression" dxfId="273" priority="313">
      <formula>$P$1&lt;&gt;""</formula>
    </cfRule>
  </conditionalFormatting>
  <conditionalFormatting sqref="E29">
    <cfRule type="expression" dxfId="272" priority="312">
      <formula>$P$1&lt;&gt;""</formula>
    </cfRule>
  </conditionalFormatting>
  <conditionalFormatting sqref="E30">
    <cfRule type="expression" dxfId="271" priority="311">
      <formula>$P$1&lt;&gt;""</formula>
    </cfRule>
  </conditionalFormatting>
  <conditionalFormatting sqref="E31">
    <cfRule type="expression" dxfId="270" priority="310">
      <formula>$P$1&lt;&gt;""</formula>
    </cfRule>
  </conditionalFormatting>
  <conditionalFormatting sqref="E32">
    <cfRule type="expression" dxfId="269" priority="309">
      <formula>$P$1&lt;&gt;""</formula>
    </cfRule>
  </conditionalFormatting>
  <conditionalFormatting sqref="E33">
    <cfRule type="expression" dxfId="268" priority="308">
      <formula>$P$1&lt;&gt;""</formula>
    </cfRule>
  </conditionalFormatting>
  <conditionalFormatting sqref="E34">
    <cfRule type="expression" dxfId="267" priority="307">
      <formula>$P$1&lt;&gt;""</formula>
    </cfRule>
  </conditionalFormatting>
  <conditionalFormatting sqref="E35">
    <cfRule type="expression" dxfId="266" priority="306">
      <formula>$P$1&lt;&gt;""</formula>
    </cfRule>
  </conditionalFormatting>
  <conditionalFormatting sqref="E36">
    <cfRule type="expression" dxfId="265" priority="305">
      <formula>$P$1&lt;&gt;""</formula>
    </cfRule>
  </conditionalFormatting>
  <conditionalFormatting sqref="E37">
    <cfRule type="expression" dxfId="264" priority="304">
      <formula>$P$1&lt;&gt;""</formula>
    </cfRule>
  </conditionalFormatting>
  <conditionalFormatting sqref="E38">
    <cfRule type="expression" dxfId="263" priority="303">
      <formula>$P$1&lt;&gt;""</formula>
    </cfRule>
  </conditionalFormatting>
  <conditionalFormatting sqref="E39">
    <cfRule type="expression" dxfId="262" priority="302">
      <formula>$P$1&lt;&gt;""</formula>
    </cfRule>
  </conditionalFormatting>
  <conditionalFormatting sqref="E40">
    <cfRule type="expression" dxfId="261" priority="301">
      <formula>$P$1&lt;&gt;""</formula>
    </cfRule>
  </conditionalFormatting>
  <conditionalFormatting sqref="E41">
    <cfRule type="expression" dxfId="260" priority="300">
      <formula>$P$1&lt;&gt;""</formula>
    </cfRule>
  </conditionalFormatting>
  <conditionalFormatting sqref="E42">
    <cfRule type="expression" dxfId="259" priority="299">
      <formula>$P$1&lt;&gt;""</formula>
    </cfRule>
  </conditionalFormatting>
  <conditionalFormatting sqref="E43">
    <cfRule type="expression" dxfId="258" priority="298">
      <formula>$P$1&lt;&gt;""</formula>
    </cfRule>
  </conditionalFormatting>
  <conditionalFormatting sqref="E44">
    <cfRule type="expression" dxfId="257" priority="297">
      <formula>$P$1&lt;&gt;""</formula>
    </cfRule>
  </conditionalFormatting>
  <conditionalFormatting sqref="E45">
    <cfRule type="expression" dxfId="256" priority="296">
      <formula>$P$1&lt;&gt;""</formula>
    </cfRule>
  </conditionalFormatting>
  <conditionalFormatting sqref="E46">
    <cfRule type="expression" dxfId="255" priority="295">
      <formula>$P$1&lt;&gt;""</formula>
    </cfRule>
  </conditionalFormatting>
  <conditionalFormatting sqref="E47">
    <cfRule type="expression" dxfId="254" priority="294">
      <formula>$P$1&lt;&gt;""</formula>
    </cfRule>
  </conditionalFormatting>
  <conditionalFormatting sqref="E48">
    <cfRule type="expression" dxfId="253" priority="293">
      <formula>$P$1&lt;&gt;""</formula>
    </cfRule>
  </conditionalFormatting>
  <conditionalFormatting sqref="E49">
    <cfRule type="expression" dxfId="252" priority="292">
      <formula>$P$1&lt;&gt;""</formula>
    </cfRule>
  </conditionalFormatting>
  <conditionalFormatting sqref="E50">
    <cfRule type="expression" dxfId="251" priority="291">
      <formula>$P$1&lt;&gt;""</formula>
    </cfRule>
  </conditionalFormatting>
  <conditionalFormatting sqref="E51">
    <cfRule type="expression" dxfId="250" priority="290">
      <formula>$P$1&lt;&gt;""</formula>
    </cfRule>
  </conditionalFormatting>
  <conditionalFormatting sqref="E52">
    <cfRule type="expression" dxfId="249" priority="289">
      <formula>$P$1&lt;&gt;""</formula>
    </cfRule>
  </conditionalFormatting>
  <conditionalFormatting sqref="E53">
    <cfRule type="expression" dxfId="248" priority="288">
      <formula>$P$1&lt;&gt;""</formula>
    </cfRule>
  </conditionalFormatting>
  <conditionalFormatting sqref="E54">
    <cfRule type="expression" dxfId="247" priority="287">
      <formula>$P$1&lt;&gt;""</formula>
    </cfRule>
  </conditionalFormatting>
  <conditionalFormatting sqref="E55">
    <cfRule type="expression" dxfId="246" priority="286">
      <formula>$P$1&lt;&gt;""</formula>
    </cfRule>
  </conditionalFormatting>
  <conditionalFormatting sqref="E56">
    <cfRule type="expression" dxfId="245" priority="285">
      <formula>$P$1&lt;&gt;""</formula>
    </cfRule>
  </conditionalFormatting>
  <conditionalFormatting sqref="E57">
    <cfRule type="expression" dxfId="244" priority="284">
      <formula>$P$1&lt;&gt;""</formula>
    </cfRule>
  </conditionalFormatting>
  <conditionalFormatting sqref="E58">
    <cfRule type="expression" dxfId="243" priority="283">
      <formula>$P$1&lt;&gt;""</formula>
    </cfRule>
  </conditionalFormatting>
  <conditionalFormatting sqref="D28">
    <cfRule type="cellIs" dxfId="242" priority="282" operator="equal">
      <formula>"CORRECT !"</formula>
    </cfRule>
  </conditionalFormatting>
  <conditionalFormatting sqref="D29">
    <cfRule type="cellIs" dxfId="241" priority="281" operator="equal">
      <formula>"CORRECT !"</formula>
    </cfRule>
  </conditionalFormatting>
  <conditionalFormatting sqref="D30">
    <cfRule type="cellIs" dxfId="240" priority="280" operator="equal">
      <formula>"CORRECT !"</formula>
    </cfRule>
  </conditionalFormatting>
  <conditionalFormatting sqref="D31">
    <cfRule type="cellIs" dxfId="239" priority="279" operator="equal">
      <formula>"CORRECT !"</formula>
    </cfRule>
  </conditionalFormatting>
  <conditionalFormatting sqref="D32">
    <cfRule type="cellIs" dxfId="238" priority="278" operator="equal">
      <formula>"CORRECT !"</formula>
    </cfRule>
  </conditionalFormatting>
  <conditionalFormatting sqref="D33">
    <cfRule type="cellIs" dxfId="237" priority="277" operator="equal">
      <formula>"CORRECT !"</formula>
    </cfRule>
  </conditionalFormatting>
  <conditionalFormatting sqref="D34">
    <cfRule type="cellIs" dxfId="236" priority="276" operator="equal">
      <formula>"CORRECT !"</formula>
    </cfRule>
  </conditionalFormatting>
  <conditionalFormatting sqref="D35">
    <cfRule type="cellIs" dxfId="235" priority="275" operator="equal">
      <formula>"CORRECT !"</formula>
    </cfRule>
  </conditionalFormatting>
  <conditionalFormatting sqref="D36">
    <cfRule type="cellIs" dxfId="234" priority="274" operator="equal">
      <formula>"CORRECT !"</formula>
    </cfRule>
  </conditionalFormatting>
  <conditionalFormatting sqref="D37">
    <cfRule type="cellIs" dxfId="233" priority="273" operator="equal">
      <formula>"CORRECT !"</formula>
    </cfRule>
  </conditionalFormatting>
  <conditionalFormatting sqref="D38">
    <cfRule type="cellIs" dxfId="232" priority="272" operator="equal">
      <formula>"CORRECT !"</formula>
    </cfRule>
  </conditionalFormatting>
  <conditionalFormatting sqref="D39">
    <cfRule type="cellIs" dxfId="231" priority="271" operator="equal">
      <formula>"CORRECT !"</formula>
    </cfRule>
  </conditionalFormatting>
  <conditionalFormatting sqref="D40">
    <cfRule type="cellIs" dxfId="230" priority="270" operator="equal">
      <formula>"CORRECT !"</formula>
    </cfRule>
  </conditionalFormatting>
  <conditionalFormatting sqref="D41">
    <cfRule type="cellIs" dxfId="229" priority="269" operator="equal">
      <formula>"CORRECT !"</formula>
    </cfRule>
  </conditionalFormatting>
  <conditionalFormatting sqref="K7">
    <cfRule type="expression" dxfId="228" priority="219">
      <formula>AND($L7&lt;&gt;"",$C7&lt;&gt;$K7)</formula>
    </cfRule>
    <cfRule type="expression" dxfId="227" priority="220">
      <formula>AND($L7="y",$C7=$K7)</formula>
    </cfRule>
  </conditionalFormatting>
  <conditionalFormatting sqref="M20">
    <cfRule type="cellIs" dxfId="226" priority="190" operator="equal">
      <formula>"CORRECT !"</formula>
    </cfRule>
  </conditionalFormatting>
  <conditionalFormatting sqref="G20">
    <cfRule type="cellIs" dxfId="225" priority="186" operator="equal">
      <formula>"CORRECT !"</formula>
    </cfRule>
  </conditionalFormatting>
  <conditionalFormatting sqref="J20">
    <cfRule type="cellIs" dxfId="224" priority="185" operator="equal">
      <formula>"CORRECT !"</formula>
    </cfRule>
  </conditionalFormatting>
  <conditionalFormatting sqref="H7">
    <cfRule type="expression" dxfId="223" priority="177">
      <formula>AND($I7&lt;&gt;"",$H7&lt;&gt;$C7)</formula>
    </cfRule>
    <cfRule type="expression" dxfId="222" priority="178">
      <formula>AND($I7="y",$C7=$H7)</formula>
    </cfRule>
  </conditionalFormatting>
  <conditionalFormatting sqref="K8">
    <cfRule type="expression" dxfId="221" priority="169">
      <formula>AND($L8="y",$C8&lt;&gt;$K8)</formula>
    </cfRule>
    <cfRule type="expression" dxfId="220" priority="170">
      <formula>AND($L8="y",$C8=$K8)</formula>
    </cfRule>
  </conditionalFormatting>
  <conditionalFormatting sqref="K9">
    <cfRule type="expression" dxfId="219" priority="99">
      <formula>AND($L9="y",$C9&lt;&gt;$K9)</formula>
    </cfRule>
    <cfRule type="expression" dxfId="218" priority="100">
      <formula>AND($L9="y",$C9=$K9)</formula>
    </cfRule>
  </conditionalFormatting>
  <conditionalFormatting sqref="K10">
    <cfRule type="expression" dxfId="217" priority="97">
      <formula>AND($L10="y",$C10&lt;&gt;$K10)</formula>
    </cfRule>
    <cfRule type="expression" dxfId="216" priority="98">
      <formula>AND($L10="y",$C10=$K10)</formula>
    </cfRule>
  </conditionalFormatting>
  <conditionalFormatting sqref="K11">
    <cfRule type="expression" dxfId="215" priority="95">
      <formula>AND($L11="y",$C11&lt;&gt;$K11)</formula>
    </cfRule>
    <cfRule type="expression" dxfId="214" priority="96">
      <formula>AND($L11="y",$C11=$K11)</formula>
    </cfRule>
  </conditionalFormatting>
  <conditionalFormatting sqref="K12">
    <cfRule type="expression" dxfId="213" priority="93">
      <formula>AND($L12="y",$C12&lt;&gt;$K12)</formula>
    </cfRule>
    <cfRule type="expression" dxfId="212" priority="94">
      <formula>AND($L12="y",$C12=$K12)</formula>
    </cfRule>
  </conditionalFormatting>
  <conditionalFormatting sqref="K13">
    <cfRule type="expression" dxfId="211" priority="91">
      <formula>AND($L13="y",$C13&lt;&gt;$K13)</formula>
    </cfRule>
    <cfRule type="expression" dxfId="210" priority="92">
      <formula>AND($L13="y",$C13=$K13)</formula>
    </cfRule>
  </conditionalFormatting>
  <conditionalFormatting sqref="K14">
    <cfRule type="expression" dxfId="209" priority="89">
      <formula>AND($L14="y",$C14&lt;&gt;$K14)</formula>
    </cfRule>
    <cfRule type="expression" dxfId="208" priority="90">
      <formula>AND($L14="y",$C14=$K14)</formula>
    </cfRule>
  </conditionalFormatting>
  <conditionalFormatting sqref="K15">
    <cfRule type="expression" dxfId="207" priority="87">
      <formula>AND($L15="y",$C15&lt;&gt;$K15)</formula>
    </cfRule>
    <cfRule type="expression" dxfId="206" priority="88">
      <formula>AND($L15="y",$C15=$K15)</formula>
    </cfRule>
  </conditionalFormatting>
  <conditionalFormatting sqref="K16">
    <cfRule type="expression" dxfId="205" priority="85">
      <formula>AND($L16="y",$C16&lt;&gt;$K16)</formula>
    </cfRule>
    <cfRule type="expression" dxfId="204" priority="86">
      <formula>AND($L16="y",$C16=$K16)</formula>
    </cfRule>
  </conditionalFormatting>
  <conditionalFormatting sqref="K17">
    <cfRule type="expression" dxfId="203" priority="83">
      <formula>AND($L17="y",$C17&lt;&gt;$K17)</formula>
    </cfRule>
    <cfRule type="expression" dxfId="202" priority="84">
      <formula>AND($L17="y",$C17=$K17)</formula>
    </cfRule>
  </conditionalFormatting>
  <conditionalFormatting sqref="K18">
    <cfRule type="expression" dxfId="201" priority="81">
      <formula>AND($L18="y",$C18&lt;&gt;$K18)</formula>
    </cfRule>
    <cfRule type="expression" dxfId="200" priority="82">
      <formula>AND($L18="y",$C18=$K18)</formula>
    </cfRule>
  </conditionalFormatting>
  <conditionalFormatting sqref="K19">
    <cfRule type="expression" dxfId="199" priority="79">
      <formula>AND($L19="y",$C19&lt;&gt;$K19)</formula>
    </cfRule>
    <cfRule type="expression" dxfId="198" priority="80">
      <formula>AND($L19="y",$C19=$K19)</formula>
    </cfRule>
  </conditionalFormatting>
  <conditionalFormatting sqref="K20">
    <cfRule type="expression" dxfId="197" priority="77">
      <formula>AND($L20="y",$C20&lt;&gt;$K20)</formula>
    </cfRule>
    <cfRule type="expression" dxfId="196" priority="78">
      <formula>AND($L20="y",$C20=$K20)</formula>
    </cfRule>
  </conditionalFormatting>
  <conditionalFormatting sqref="K21">
    <cfRule type="expression" dxfId="195" priority="75">
      <formula>AND($L21="y",$C21&lt;&gt;$K21)</formula>
    </cfRule>
    <cfRule type="expression" dxfId="194" priority="76">
      <formula>AND($L21="y",$C21=$K21)</formula>
    </cfRule>
  </conditionalFormatting>
  <conditionalFormatting sqref="E8">
    <cfRule type="expression" dxfId="139" priority="69">
      <formula>AND($F8&lt;&gt;"",$C8&lt;&gt;$E8)</formula>
    </cfRule>
    <cfRule type="expression" dxfId="138" priority="70">
      <formula>AND($F8="y",$C8=$E8)</formula>
    </cfRule>
  </conditionalFormatting>
  <conditionalFormatting sqref="H8">
    <cfRule type="expression" dxfId="193" priority="67">
      <formula>AND($I8&lt;&gt;"",$H8&lt;&gt;$C8)</formula>
    </cfRule>
    <cfRule type="expression" dxfId="192" priority="68">
      <formula>AND($I8="y",$C8=$H8)</formula>
    </cfRule>
  </conditionalFormatting>
  <conditionalFormatting sqref="E9">
    <cfRule type="expression" dxfId="191" priority="65">
      <formula>AND($F9&lt;&gt;"",$C9&lt;&gt;$E9)</formula>
    </cfRule>
    <cfRule type="expression" dxfId="190" priority="66">
      <formula>AND($F9="y",$C9=$E9)</formula>
    </cfRule>
  </conditionalFormatting>
  <conditionalFormatting sqref="E10">
    <cfRule type="expression" dxfId="189" priority="63">
      <formula>AND($F10&lt;&gt;"",$C10&lt;&gt;$E10)</formula>
    </cfRule>
    <cfRule type="expression" dxfId="188" priority="64">
      <formula>AND($F10="y",$C10=$E10)</formula>
    </cfRule>
  </conditionalFormatting>
  <conditionalFormatting sqref="E11">
    <cfRule type="expression" dxfId="187" priority="61">
      <formula>AND($F11&lt;&gt;"",$C11&lt;&gt;$E11)</formula>
    </cfRule>
    <cfRule type="expression" dxfId="186" priority="62">
      <formula>AND($F11="y",$C11=$E11)</formula>
    </cfRule>
  </conditionalFormatting>
  <conditionalFormatting sqref="E12">
    <cfRule type="expression" dxfId="185" priority="59">
      <formula>AND($F12&lt;&gt;"",$C12&lt;&gt;$E12)</formula>
    </cfRule>
    <cfRule type="expression" dxfId="184" priority="60">
      <formula>AND($F12="y",$C12=$E12)</formula>
    </cfRule>
  </conditionalFormatting>
  <conditionalFormatting sqref="E13">
    <cfRule type="expression" dxfId="183" priority="57">
      <formula>AND($F13&lt;&gt;"",$C13&lt;&gt;$E13)</formula>
    </cfRule>
    <cfRule type="expression" dxfId="182" priority="58">
      <formula>AND($F13="y",$C13=$E13)</formula>
    </cfRule>
  </conditionalFormatting>
  <conditionalFormatting sqref="E14">
    <cfRule type="expression" dxfId="181" priority="55">
      <formula>AND($F14&lt;&gt;"",$C14&lt;&gt;$E14)</formula>
    </cfRule>
    <cfRule type="expression" dxfId="180" priority="56">
      <formula>AND($F14="y",$C14=$E14)</formula>
    </cfRule>
  </conditionalFormatting>
  <conditionalFormatting sqref="E15">
    <cfRule type="expression" dxfId="179" priority="53">
      <formula>AND($F15&lt;&gt;"",$C15&lt;&gt;$E15)</formula>
    </cfRule>
    <cfRule type="expression" dxfId="178" priority="54">
      <formula>AND($F15="y",$C15=$E15)</formula>
    </cfRule>
  </conditionalFormatting>
  <conditionalFormatting sqref="E16">
    <cfRule type="expression" dxfId="177" priority="51">
      <formula>AND($F16&lt;&gt;"",$C16&lt;&gt;$E16)</formula>
    </cfRule>
    <cfRule type="expression" dxfId="176" priority="52">
      <formula>AND($F16="y",$C16=$E16)</formula>
    </cfRule>
  </conditionalFormatting>
  <conditionalFormatting sqref="E17">
    <cfRule type="expression" dxfId="175" priority="49">
      <formula>AND($F17&lt;&gt;"",$C17&lt;&gt;$E17)</formula>
    </cfRule>
    <cfRule type="expression" dxfId="174" priority="50">
      <formula>AND($F17="y",$C17=$E17)</formula>
    </cfRule>
  </conditionalFormatting>
  <conditionalFormatting sqref="E18">
    <cfRule type="expression" dxfId="173" priority="47">
      <formula>AND($F18&lt;&gt;"",$C18&lt;&gt;$E18)</formula>
    </cfRule>
    <cfRule type="expression" dxfId="172" priority="48">
      <formula>AND($F18="y",$C18=$E18)</formula>
    </cfRule>
  </conditionalFormatting>
  <conditionalFormatting sqref="E19">
    <cfRule type="expression" dxfId="171" priority="45">
      <formula>AND($F19&lt;&gt;"",$C19&lt;&gt;$E19)</formula>
    </cfRule>
    <cfRule type="expression" dxfId="170" priority="46">
      <formula>AND($F19="y",$C19=$E19)</formula>
    </cfRule>
  </conditionalFormatting>
  <conditionalFormatting sqref="E20">
    <cfRule type="expression" dxfId="169" priority="43">
      <formula>AND($F20&lt;&gt;"",$C20&lt;&gt;$E20)</formula>
    </cfRule>
    <cfRule type="expression" dxfId="168" priority="44">
      <formula>AND($F20="y",$C20=$E20)</formula>
    </cfRule>
  </conditionalFormatting>
  <conditionalFormatting sqref="E21">
    <cfRule type="expression" dxfId="167" priority="41">
      <formula>AND($F21&lt;&gt;"",$C21&lt;&gt;$E21)</formula>
    </cfRule>
    <cfRule type="expression" dxfId="166" priority="42">
      <formula>AND($F21="y",$C21=$E21)</formula>
    </cfRule>
  </conditionalFormatting>
  <conditionalFormatting sqref="H9">
    <cfRule type="expression" dxfId="165" priority="39">
      <formula>AND($I9&lt;&gt;"",$H9&lt;&gt;$C9)</formula>
    </cfRule>
    <cfRule type="expression" dxfId="164" priority="40">
      <formula>AND($I9="y",$C9=$H9)</formula>
    </cfRule>
  </conditionalFormatting>
  <conditionalFormatting sqref="H10">
    <cfRule type="expression" dxfId="163" priority="37">
      <formula>AND($I10&lt;&gt;"",$H10&lt;&gt;$C10)</formula>
    </cfRule>
    <cfRule type="expression" dxfId="162" priority="38">
      <formula>AND($I10="y",$C10=$H10)</formula>
    </cfRule>
  </conditionalFormatting>
  <conditionalFormatting sqref="H11">
    <cfRule type="expression" dxfId="161" priority="35">
      <formula>AND($I11&lt;&gt;"",$H11&lt;&gt;$C11)</formula>
    </cfRule>
    <cfRule type="expression" dxfId="160" priority="36">
      <formula>AND($I11="y",$C11=$H11)</formula>
    </cfRule>
  </conditionalFormatting>
  <conditionalFormatting sqref="H12">
    <cfRule type="expression" dxfId="159" priority="33">
      <formula>AND($I12&lt;&gt;"",$H12&lt;&gt;$C12)</formula>
    </cfRule>
    <cfRule type="expression" dxfId="158" priority="34">
      <formula>AND($I12="y",$C12=$H12)</formula>
    </cfRule>
  </conditionalFormatting>
  <conditionalFormatting sqref="H13">
    <cfRule type="expression" dxfId="157" priority="31">
      <formula>AND($I13&lt;&gt;"",$H13&lt;&gt;$C13)</formula>
    </cfRule>
    <cfRule type="expression" dxfId="156" priority="32">
      <formula>AND($I13="y",$C13=$H13)</formula>
    </cfRule>
  </conditionalFormatting>
  <conditionalFormatting sqref="H14">
    <cfRule type="expression" dxfId="155" priority="29">
      <formula>AND($I14&lt;&gt;"",$H14&lt;&gt;$C14)</formula>
    </cfRule>
    <cfRule type="expression" dxfId="154" priority="30">
      <formula>AND($I14="y",$C14=$H14)</formula>
    </cfRule>
  </conditionalFormatting>
  <conditionalFormatting sqref="H15">
    <cfRule type="expression" dxfId="153" priority="27">
      <formula>AND($I15&lt;&gt;"",$H15&lt;&gt;$C15)</formula>
    </cfRule>
    <cfRule type="expression" dxfId="152" priority="28">
      <formula>AND($I15="y",$C15=$H15)</formula>
    </cfRule>
  </conditionalFormatting>
  <conditionalFormatting sqref="H16">
    <cfRule type="expression" dxfId="151" priority="25">
      <formula>AND($I16&lt;&gt;"",$H16&lt;&gt;$C16)</formula>
    </cfRule>
    <cfRule type="expression" dxfId="150" priority="26">
      <formula>AND($I16="y",$C16=$H16)</formula>
    </cfRule>
  </conditionalFormatting>
  <conditionalFormatting sqref="H17">
    <cfRule type="expression" dxfId="149" priority="23">
      <formula>AND($I17&lt;&gt;"",$H17&lt;&gt;$C17)</formula>
    </cfRule>
    <cfRule type="expression" dxfId="148" priority="24">
      <formula>AND($I17="y",$C17=$H17)</formula>
    </cfRule>
  </conditionalFormatting>
  <conditionalFormatting sqref="H18">
    <cfRule type="expression" dxfId="147" priority="21">
      <formula>AND($I18&lt;&gt;"",$H18&lt;&gt;$C18)</formula>
    </cfRule>
    <cfRule type="expression" dxfId="146" priority="22">
      <formula>AND($I18="y",$C18=$H18)</formula>
    </cfRule>
  </conditionalFormatting>
  <conditionalFormatting sqref="H19">
    <cfRule type="expression" dxfId="145" priority="19">
      <formula>AND($I19&lt;&gt;"",$H19&lt;&gt;$C19)</formula>
    </cfRule>
    <cfRule type="expression" dxfId="144" priority="20">
      <formula>AND($I19="y",$C19=$H19)</formula>
    </cfRule>
  </conditionalFormatting>
  <conditionalFormatting sqref="H20">
    <cfRule type="expression" dxfId="143" priority="17">
      <formula>AND($I20&lt;&gt;"",$H20&lt;&gt;$C20)</formula>
    </cfRule>
    <cfRule type="expression" dxfId="142" priority="18">
      <formula>AND($I20="y",$C20=$H20)</formula>
    </cfRule>
  </conditionalFormatting>
  <conditionalFormatting sqref="H21">
    <cfRule type="expression" dxfId="141" priority="15">
      <formula>AND($I21&lt;&gt;"",$H21&lt;&gt;$C21)</formula>
    </cfRule>
    <cfRule type="expression" dxfId="140" priority="16">
      <formula>AND($I21="y",$C21=$H21)</formula>
    </cfRule>
  </conditionalFormatting>
  <hyperlinks>
    <hyperlink ref="O1" r:id="rId1" xr:uid="{8EC44223-A61D-46E5-9B59-065DB9B10304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19B1-1D70-48BB-9AFE-4D146D4BF1CC}">
  <dimension ref="A1:P25"/>
  <sheetViews>
    <sheetView showGridLines="0" tabSelected="1" workbookViewId="0">
      <selection activeCell="F6" sqref="F6"/>
    </sheetView>
  </sheetViews>
  <sheetFormatPr defaultRowHeight="14.4" x14ac:dyDescent="0.3"/>
  <cols>
    <col min="1" max="1" width="21.6640625" customWidth="1"/>
    <col min="2" max="2" width="2.77734375" style="40" customWidth="1"/>
    <col min="3" max="3" width="6.33203125" customWidth="1"/>
    <col min="4" max="4" width="3.77734375" customWidth="1"/>
    <col min="6" max="6" width="3.33203125" customWidth="1"/>
    <col min="9" max="9" width="3.33203125" customWidth="1"/>
    <col min="12" max="12" width="3.33203125" customWidth="1"/>
  </cols>
  <sheetData>
    <row r="1" spans="1:16" ht="21" x14ac:dyDescent="0.4">
      <c r="A1" s="109" t="s">
        <v>89</v>
      </c>
      <c r="B1" s="56"/>
      <c r="C1" s="56"/>
      <c r="D1" s="5"/>
      <c r="E1" s="17"/>
      <c r="F1" s="2"/>
      <c r="G1" s="37"/>
      <c r="H1" s="5"/>
      <c r="I1" s="17"/>
      <c r="J1" s="38"/>
      <c r="K1" s="5"/>
      <c r="L1" s="17"/>
      <c r="M1" s="37"/>
      <c r="N1" s="7"/>
      <c r="O1" s="5"/>
      <c r="P1" s="11"/>
    </row>
    <row r="2" spans="1:16" ht="18" x14ac:dyDescent="0.35">
      <c r="A2" s="133" t="s">
        <v>90</v>
      </c>
      <c r="B2" s="133"/>
      <c r="C2" s="133"/>
      <c r="D2" s="133"/>
      <c r="E2" s="132" t="s">
        <v>45</v>
      </c>
      <c r="F2" s="132"/>
      <c r="G2" s="132"/>
      <c r="H2" s="132"/>
      <c r="I2" s="132"/>
      <c r="J2" s="132"/>
      <c r="K2" s="132"/>
      <c r="L2" s="132"/>
      <c r="M2" s="81"/>
      <c r="N2" s="27"/>
      <c r="O2" s="31"/>
      <c r="P2" s="11"/>
    </row>
    <row r="3" spans="1:16" ht="21" x14ac:dyDescent="0.4">
      <c r="A3" s="111"/>
      <c r="B3" s="111"/>
      <c r="C3" s="112">
        <f>A23</f>
        <v>0.6</v>
      </c>
      <c r="D3" s="109"/>
      <c r="E3" s="30"/>
      <c r="F3" s="2"/>
      <c r="G3" s="37"/>
      <c r="H3" s="5"/>
      <c r="I3" s="17"/>
      <c r="J3" s="38"/>
      <c r="K3" s="5"/>
      <c r="L3" s="17"/>
      <c r="M3" s="37"/>
      <c r="N3" s="7"/>
      <c r="O3" s="5"/>
      <c r="P3" s="11"/>
    </row>
    <row r="4" spans="1:16" ht="21" x14ac:dyDescent="0.4">
      <c r="A4" s="53"/>
      <c r="B4" s="40">
        <f>IF(OR(AND($F4="y",$C4=E4,$I4="",$L4=""),AND($F4="",$C4=H4,$I4="y",$L4=""),AND($F4="",$C4=$K4,$I4="",$L4="y")),1,0)</f>
        <v>1</v>
      </c>
      <c r="C4" s="55" t="s">
        <v>66</v>
      </c>
      <c r="D4" s="15" t="str">
        <f>CONCATENATE(F3+1,".")</f>
        <v>1.</v>
      </c>
      <c r="E4" s="97" t="s">
        <v>66</v>
      </c>
      <c r="F4" s="98" t="s">
        <v>47</v>
      </c>
      <c r="G4" s="26"/>
      <c r="H4" s="97" t="s">
        <v>68</v>
      </c>
      <c r="I4" s="98"/>
      <c r="J4" s="26"/>
      <c r="K4" s="97" t="s">
        <v>65</v>
      </c>
      <c r="L4" s="98"/>
      <c r="M4" s="9"/>
      <c r="N4" s="36"/>
    </row>
    <row r="5" spans="1:16" ht="21" x14ac:dyDescent="0.4">
      <c r="A5" s="53"/>
      <c r="B5" s="40">
        <f t="shared" ref="B5:B23" si="0">IF(OR(AND($F5="y",$C5=E5,$I5&lt;&gt;"y",$L5&lt;&gt;"y"),AND($F5&lt;&gt;"y",$C5=H5,$I5="y",$L5&lt;&gt;"y"),AND($F5&lt;&gt;"y",$C5=$K5,$I5&lt;&gt;"y",$L5="y")),1,0)</f>
        <v>0</v>
      </c>
      <c r="C5" s="55" t="s">
        <v>49</v>
      </c>
      <c r="D5" s="15" t="str">
        <f t="shared" ref="D5:D14" si="1">CONCATENATE(D4+1,".")</f>
        <v>2.</v>
      </c>
      <c r="E5" s="54" t="s">
        <v>53</v>
      </c>
      <c r="F5" s="8" t="s">
        <v>47</v>
      </c>
      <c r="G5" s="26"/>
      <c r="H5" s="54" t="s">
        <v>49</v>
      </c>
      <c r="I5" s="8"/>
      <c r="J5" s="26"/>
      <c r="K5" s="54" t="s">
        <v>5</v>
      </c>
      <c r="L5" s="8"/>
      <c r="M5" s="9"/>
      <c r="N5" s="36"/>
    </row>
    <row r="6" spans="1:16" ht="21" x14ac:dyDescent="0.4">
      <c r="A6" s="53"/>
      <c r="B6" s="40">
        <f t="shared" si="0"/>
        <v>0</v>
      </c>
      <c r="C6" s="55" t="s">
        <v>48</v>
      </c>
      <c r="D6" s="15" t="str">
        <f t="shared" si="1"/>
        <v>3.</v>
      </c>
      <c r="E6" s="54" t="s">
        <v>61</v>
      </c>
      <c r="F6" s="8"/>
      <c r="G6" s="26"/>
      <c r="H6" s="54" t="s">
        <v>48</v>
      </c>
      <c r="I6" s="8"/>
      <c r="J6" s="26" t="s">
        <v>47</v>
      </c>
      <c r="K6" s="54" t="s">
        <v>63</v>
      </c>
      <c r="L6" s="8"/>
      <c r="M6" s="9"/>
      <c r="N6" s="36"/>
    </row>
    <row r="7" spans="1:16" ht="21" x14ac:dyDescent="0.4">
      <c r="A7" s="53"/>
      <c r="B7" s="40">
        <f t="shared" si="0"/>
        <v>1</v>
      </c>
      <c r="C7" s="55" t="s">
        <v>58</v>
      </c>
      <c r="D7" s="15" t="str">
        <f t="shared" si="1"/>
        <v>4.</v>
      </c>
      <c r="E7" s="54" t="s">
        <v>58</v>
      </c>
      <c r="F7" s="8" t="s">
        <v>47</v>
      </c>
      <c r="G7" s="26"/>
      <c r="H7" s="54" t="s">
        <v>57</v>
      </c>
      <c r="I7" s="8"/>
      <c r="J7" s="26"/>
      <c r="K7" s="54" t="s">
        <v>56</v>
      </c>
      <c r="L7" s="8" t="str">
        <f>[1]!wwsInput()</f>
        <v/>
      </c>
      <c r="M7" s="9"/>
      <c r="N7" s="36"/>
    </row>
    <row r="8" spans="1:16" ht="21" x14ac:dyDescent="0.4">
      <c r="A8" s="53"/>
      <c r="B8" s="40">
        <f t="shared" si="0"/>
        <v>1</v>
      </c>
      <c r="C8" s="55" t="s">
        <v>75</v>
      </c>
      <c r="D8" s="15" t="str">
        <f t="shared" si="1"/>
        <v>5.</v>
      </c>
      <c r="E8" s="54" t="s">
        <v>73</v>
      </c>
      <c r="F8" s="8"/>
      <c r="G8" s="26"/>
      <c r="H8" s="54" t="s">
        <v>75</v>
      </c>
      <c r="I8" s="8" t="s">
        <v>47</v>
      </c>
      <c r="J8" s="26"/>
      <c r="K8" s="54" t="s">
        <v>74</v>
      </c>
      <c r="L8" s="8" t="str">
        <f>[1]!wwsInput()</f>
        <v/>
      </c>
      <c r="M8" s="9"/>
      <c r="N8" s="36"/>
    </row>
    <row r="9" spans="1:16" ht="21" x14ac:dyDescent="0.4">
      <c r="A9" s="53"/>
      <c r="B9" s="40">
        <f t="shared" si="0"/>
        <v>1</v>
      </c>
      <c r="C9" s="55" t="s">
        <v>52</v>
      </c>
      <c r="D9" s="15" t="str">
        <f t="shared" si="1"/>
        <v>6.</v>
      </c>
      <c r="E9" s="54" t="s">
        <v>54</v>
      </c>
      <c r="F9" s="8" t="str">
        <f>[1]!wwsInput()</f>
        <v/>
      </c>
      <c r="G9" s="26"/>
      <c r="H9" s="54" t="s">
        <v>51</v>
      </c>
      <c r="I9" s="8" t="str">
        <f>[1]!wwsInput()</f>
        <v/>
      </c>
      <c r="J9" s="26"/>
      <c r="K9" s="54" t="s">
        <v>52</v>
      </c>
      <c r="L9" s="8" t="s">
        <v>47</v>
      </c>
      <c r="M9" s="9"/>
      <c r="N9" s="36"/>
    </row>
    <row r="10" spans="1:16" ht="21" x14ac:dyDescent="0.4">
      <c r="A10" s="53"/>
      <c r="B10" s="40">
        <f t="shared" si="0"/>
        <v>1</v>
      </c>
      <c r="C10" s="55" t="s">
        <v>72</v>
      </c>
      <c r="D10" s="15" t="str">
        <f t="shared" si="1"/>
        <v>7.</v>
      </c>
      <c r="E10" s="54" t="s">
        <v>74</v>
      </c>
      <c r="F10" s="8" t="str">
        <f>[1]!wwsInput()</f>
        <v/>
      </c>
      <c r="G10" s="26"/>
      <c r="H10" s="54" t="s">
        <v>7</v>
      </c>
      <c r="I10" s="8" t="str">
        <f>[1]!wwsInput()</f>
        <v/>
      </c>
      <c r="J10" s="26"/>
      <c r="K10" s="54" t="s">
        <v>72</v>
      </c>
      <c r="L10" s="8" t="s">
        <v>47</v>
      </c>
      <c r="M10" s="9"/>
      <c r="N10" s="36"/>
    </row>
    <row r="11" spans="1:16" ht="21" x14ac:dyDescent="0.4">
      <c r="A11" s="53"/>
      <c r="B11" s="40">
        <f t="shared" si="0"/>
        <v>0</v>
      </c>
      <c r="C11" s="55" t="s">
        <v>55</v>
      </c>
      <c r="D11" s="15" t="str">
        <f t="shared" si="1"/>
        <v>8.</v>
      </c>
      <c r="E11" s="54" t="s">
        <v>55</v>
      </c>
      <c r="F11" s="8" t="str">
        <f>[1]!wwsInput()</f>
        <v/>
      </c>
      <c r="G11" s="26"/>
      <c r="H11" s="54" t="s">
        <v>50</v>
      </c>
      <c r="I11" s="8" t="str">
        <f>[1]!wwsInput()</f>
        <v/>
      </c>
      <c r="J11" s="26"/>
      <c r="K11" s="54" t="s">
        <v>30</v>
      </c>
      <c r="L11" s="8" t="s">
        <v>47</v>
      </c>
      <c r="M11" s="9"/>
      <c r="N11" s="36"/>
    </row>
    <row r="12" spans="1:16" ht="21" x14ac:dyDescent="0.4">
      <c r="A12" s="53"/>
      <c r="B12" s="40">
        <f t="shared" si="0"/>
        <v>1</v>
      </c>
      <c r="C12" s="55" t="s">
        <v>75</v>
      </c>
      <c r="D12" s="15" t="str">
        <f t="shared" si="1"/>
        <v>9.</v>
      </c>
      <c r="E12" s="54" t="s">
        <v>75</v>
      </c>
      <c r="F12" s="8" t="s">
        <v>47</v>
      </c>
      <c r="G12" s="26"/>
      <c r="H12" s="54" t="s">
        <v>29</v>
      </c>
      <c r="I12" s="8" t="str">
        <f>[1]!wwsInput()</f>
        <v/>
      </c>
      <c r="J12" s="26"/>
      <c r="K12" s="54" t="s">
        <v>71</v>
      </c>
      <c r="L12" s="8" t="str">
        <f>[1]!wwsInput()</f>
        <v/>
      </c>
      <c r="M12" s="9"/>
      <c r="N12" s="36"/>
    </row>
    <row r="13" spans="1:16" ht="21" x14ac:dyDescent="0.4">
      <c r="A13" s="53"/>
      <c r="B13" s="40">
        <f t="shared" si="0"/>
        <v>0</v>
      </c>
      <c r="C13" s="55" t="s">
        <v>68</v>
      </c>
      <c r="D13" s="15" t="str">
        <f t="shared" si="1"/>
        <v>10.</v>
      </c>
      <c r="E13" s="54" t="s">
        <v>65</v>
      </c>
      <c r="F13" s="8" t="s">
        <v>47</v>
      </c>
      <c r="G13" s="26"/>
      <c r="H13" s="54" t="s">
        <v>67</v>
      </c>
      <c r="I13" s="8" t="str">
        <f>[1]!wwsInput()</f>
        <v/>
      </c>
      <c r="J13" s="26"/>
      <c r="K13" s="54" t="s">
        <v>68</v>
      </c>
      <c r="L13" s="8" t="str">
        <f>[1]!wwsInput()</f>
        <v/>
      </c>
      <c r="M13" s="9"/>
      <c r="N13" s="36"/>
    </row>
    <row r="14" spans="1:16" ht="21" x14ac:dyDescent="0.4">
      <c r="A14" s="53"/>
      <c r="B14" s="40">
        <f t="shared" si="0"/>
        <v>1</v>
      </c>
      <c r="C14" s="55" t="s">
        <v>64</v>
      </c>
      <c r="D14" s="15" t="str">
        <f t="shared" si="1"/>
        <v>11.</v>
      </c>
      <c r="E14" s="54" t="s">
        <v>64</v>
      </c>
      <c r="F14" s="8" t="s">
        <v>47</v>
      </c>
      <c r="G14" s="26"/>
      <c r="H14" s="54" t="s">
        <v>59</v>
      </c>
      <c r="I14" s="8" t="str">
        <f>[1]!wwsInput()</f>
        <v/>
      </c>
      <c r="J14" s="26"/>
      <c r="K14" s="54" t="s">
        <v>31</v>
      </c>
      <c r="L14" s="8" t="str">
        <f>[1]!wwsInput()</f>
        <v/>
      </c>
      <c r="M14" s="9"/>
      <c r="N14" s="36"/>
    </row>
    <row r="15" spans="1:16" ht="21" x14ac:dyDescent="0.4">
      <c r="A15" s="53"/>
      <c r="B15" s="40">
        <f t="shared" ref="B15:B19" si="2">IF(OR(AND($F15="y",$C15=E15,$I15="",$L15=""),AND($F15="",$C15=H15,$I15="y",$L15=""),AND($F15="",$C15=$K15,$I15="",$L15="y")),1,0)</f>
        <v>1</v>
      </c>
      <c r="C15" s="55" t="s">
        <v>69</v>
      </c>
      <c r="D15" s="15">
        <v>12</v>
      </c>
      <c r="E15" s="54" t="s">
        <v>85</v>
      </c>
      <c r="F15" s="8"/>
      <c r="G15" s="26"/>
      <c r="H15" s="54" t="s">
        <v>69</v>
      </c>
      <c r="I15" s="8" t="s">
        <v>47</v>
      </c>
      <c r="J15" s="26"/>
      <c r="K15" s="54" t="s">
        <v>86</v>
      </c>
      <c r="L15" s="8"/>
      <c r="M15" s="9"/>
      <c r="N15" s="36"/>
    </row>
    <row r="16" spans="1:16" ht="21" x14ac:dyDescent="0.4">
      <c r="A16" s="53"/>
      <c r="B16" s="40">
        <f t="shared" si="2"/>
        <v>1</v>
      </c>
      <c r="C16" s="55" t="s">
        <v>70</v>
      </c>
      <c r="D16" s="15">
        <v>13</v>
      </c>
      <c r="E16" s="54" t="s">
        <v>28</v>
      </c>
      <c r="F16" s="8"/>
      <c r="G16" s="26"/>
      <c r="H16" s="54" t="s">
        <v>7</v>
      </c>
      <c r="I16" s="8"/>
      <c r="J16" s="26"/>
      <c r="K16" s="54" t="s">
        <v>70</v>
      </c>
      <c r="L16" s="8" t="s">
        <v>47</v>
      </c>
      <c r="M16" s="9"/>
      <c r="N16" s="36"/>
    </row>
    <row r="17" spans="1:16" ht="21" x14ac:dyDescent="0.4">
      <c r="A17" s="53"/>
      <c r="B17" s="40">
        <f t="shared" si="2"/>
        <v>1</v>
      </c>
      <c r="C17" s="55" t="s">
        <v>71</v>
      </c>
      <c r="D17" s="15">
        <v>14</v>
      </c>
      <c r="E17" s="54" t="s">
        <v>71</v>
      </c>
      <c r="F17" s="8" t="s">
        <v>47</v>
      </c>
      <c r="G17" s="26"/>
      <c r="H17" s="54" t="s">
        <v>87</v>
      </c>
      <c r="I17" s="8"/>
      <c r="J17" s="26"/>
      <c r="K17" s="54" t="s">
        <v>29</v>
      </c>
      <c r="L17" s="8"/>
      <c r="M17" s="9"/>
      <c r="N17" s="36"/>
    </row>
    <row r="18" spans="1:16" ht="21" x14ac:dyDescent="0.4">
      <c r="A18" s="53"/>
      <c r="B18" s="40">
        <f t="shared" si="2"/>
        <v>0</v>
      </c>
      <c r="C18" s="55" t="s">
        <v>72</v>
      </c>
      <c r="D18" s="15">
        <v>15</v>
      </c>
      <c r="E18" s="54" t="s">
        <v>60</v>
      </c>
      <c r="F18" s="8" t="s">
        <v>47</v>
      </c>
      <c r="G18" s="26"/>
      <c r="H18" s="54" t="s">
        <v>72</v>
      </c>
      <c r="I18" s="8"/>
      <c r="J18" s="26"/>
      <c r="K18" s="54" t="s">
        <v>86</v>
      </c>
      <c r="L18" s="8"/>
      <c r="M18" s="9"/>
      <c r="N18" s="36"/>
    </row>
    <row r="19" spans="1:16" ht="21" x14ac:dyDescent="0.4">
      <c r="A19" s="53"/>
      <c r="B19" s="40">
        <f t="shared" si="2"/>
        <v>1</v>
      </c>
      <c r="C19" s="55" t="s">
        <v>28</v>
      </c>
      <c r="D19" s="15">
        <v>16</v>
      </c>
      <c r="E19" s="54" t="s">
        <v>30</v>
      </c>
      <c r="F19" s="8"/>
      <c r="G19" s="26"/>
      <c r="H19" s="54" t="s">
        <v>28</v>
      </c>
      <c r="I19" s="8" t="s">
        <v>47</v>
      </c>
      <c r="J19" s="26"/>
      <c r="K19" s="54" t="s">
        <v>88</v>
      </c>
      <c r="L19" s="8"/>
      <c r="M19" s="9"/>
      <c r="N19" s="36"/>
    </row>
    <row r="20" spans="1:16" ht="21" x14ac:dyDescent="0.4">
      <c r="A20" s="53"/>
      <c r="B20" s="40">
        <f t="shared" si="0"/>
        <v>0</v>
      </c>
      <c r="C20" s="55" t="s">
        <v>48</v>
      </c>
      <c r="D20" s="15">
        <v>17</v>
      </c>
      <c r="E20" s="54" t="s">
        <v>62</v>
      </c>
      <c r="F20" s="8" t="str">
        <f>[1]!wwsInput()</f>
        <v/>
      </c>
      <c r="G20" s="26"/>
      <c r="H20" s="54" t="s">
        <v>31</v>
      </c>
      <c r="I20" s="8" t="s">
        <v>47</v>
      </c>
      <c r="J20" s="26"/>
      <c r="K20" s="54" t="s">
        <v>48</v>
      </c>
      <c r="L20" s="8" t="str">
        <f>[1]!wwsInput()</f>
        <v/>
      </c>
      <c r="M20" s="9"/>
      <c r="N20" s="36"/>
    </row>
    <row r="21" spans="1:16" ht="21" x14ac:dyDescent="0.4">
      <c r="A21" s="53"/>
      <c r="B21" s="40">
        <f t="shared" si="0"/>
        <v>0</v>
      </c>
      <c r="C21" s="55" t="s">
        <v>7</v>
      </c>
      <c r="D21" s="15">
        <v>18</v>
      </c>
      <c r="E21" s="54" t="s">
        <v>70</v>
      </c>
      <c r="F21" s="8" t="str">
        <f>[1]!wwsInput()</f>
        <v/>
      </c>
      <c r="G21" s="26"/>
      <c r="H21" s="54" t="s">
        <v>29</v>
      </c>
      <c r="I21" s="8" t="s">
        <v>47</v>
      </c>
      <c r="J21" s="26"/>
      <c r="K21" s="54" t="s">
        <v>7</v>
      </c>
      <c r="L21" s="8" t="str">
        <f>[1]!wwsInput()</f>
        <v/>
      </c>
      <c r="M21" s="9"/>
      <c r="N21" s="36"/>
    </row>
    <row r="22" spans="1:16" ht="21" x14ac:dyDescent="0.4">
      <c r="A22" s="53"/>
      <c r="B22" s="40">
        <f t="shared" si="0"/>
        <v>1</v>
      </c>
      <c r="C22" s="55" t="s">
        <v>60</v>
      </c>
      <c r="D22" s="15">
        <v>19</v>
      </c>
      <c r="E22" s="54" t="s">
        <v>69</v>
      </c>
      <c r="F22" s="8" t="str">
        <f>[1]!wwsInput()</f>
        <v/>
      </c>
      <c r="G22" s="26"/>
      <c r="H22" s="54" t="s">
        <v>60</v>
      </c>
      <c r="I22" s="8" t="s">
        <v>47</v>
      </c>
      <c r="J22" s="26"/>
      <c r="K22" s="54" t="s">
        <v>72</v>
      </c>
      <c r="L22" s="8" t="str">
        <f>[1]!wwsInput()</f>
        <v/>
      </c>
      <c r="M22" s="9"/>
      <c r="N22" s="36"/>
    </row>
    <row r="23" spans="1:16" ht="21" x14ac:dyDescent="0.4">
      <c r="A23" s="110">
        <f>SUM(B4:B23)/20</f>
        <v>0.6</v>
      </c>
      <c r="B23" s="40">
        <f t="shared" si="0"/>
        <v>0</v>
      </c>
      <c r="C23" s="55" t="s">
        <v>62</v>
      </c>
      <c r="D23" s="15">
        <v>20</v>
      </c>
      <c r="E23" s="54" t="s">
        <v>59</v>
      </c>
      <c r="F23" s="8" t="str">
        <f>[1]!wwsInput()</f>
        <v/>
      </c>
      <c r="G23" s="26"/>
      <c r="H23" s="54" t="s">
        <v>62</v>
      </c>
      <c r="I23" s="8" t="str">
        <f>[1]!wwsInput()</f>
        <v/>
      </c>
      <c r="J23" s="26"/>
      <c r="K23" s="54" t="s">
        <v>63</v>
      </c>
      <c r="L23" s="8" t="s">
        <v>47</v>
      </c>
      <c r="M23" s="9"/>
      <c r="N23" s="36"/>
    </row>
    <row r="24" spans="1:16" ht="21" x14ac:dyDescent="0.4">
      <c r="A24" s="90"/>
      <c r="B24" s="4"/>
      <c r="C24" s="30"/>
      <c r="D24" s="91"/>
      <c r="E24" s="92"/>
      <c r="F24" s="93"/>
      <c r="G24" s="93"/>
      <c r="H24" s="94"/>
      <c r="I24" s="93"/>
      <c r="J24" s="93"/>
      <c r="K24" s="92"/>
      <c r="L24" s="91"/>
      <c r="M24" s="102"/>
      <c r="N24" s="11"/>
      <c r="O24" s="2"/>
      <c r="P24" s="2"/>
    </row>
    <row r="25" spans="1:16" ht="21" x14ac:dyDescent="0.4">
      <c r="A25" s="129"/>
      <c r="B25" s="129"/>
      <c r="C25" s="129"/>
      <c r="D25" s="95"/>
      <c r="E25" s="46"/>
      <c r="F25" s="91"/>
      <c r="G25" s="92"/>
      <c r="H25" s="93"/>
      <c r="I25" s="93"/>
      <c r="J25" s="94"/>
      <c r="K25" s="93"/>
      <c r="L25" s="93"/>
      <c r="M25" s="92"/>
      <c r="N25" s="91"/>
      <c r="O25" s="93"/>
      <c r="P25" s="96" t="s">
        <v>43</v>
      </c>
    </row>
  </sheetData>
  <mergeCells count="3">
    <mergeCell ref="A25:C25"/>
    <mergeCell ref="E2:L2"/>
    <mergeCell ref="A2:D2"/>
  </mergeCells>
  <conditionalFormatting sqref="G6 M14:M19 G14:G19 J14:J19">
    <cfRule type="cellIs" dxfId="137" priority="138" operator="equal">
      <formula>"CORRECT !"</formula>
    </cfRule>
  </conditionalFormatting>
  <conditionalFormatting sqref="G7">
    <cfRule type="cellIs" dxfId="136" priority="137" operator="equal">
      <formula>"CORRECT !"</formula>
    </cfRule>
  </conditionalFormatting>
  <conditionalFormatting sqref="G8">
    <cfRule type="cellIs" dxfId="135" priority="136" operator="equal">
      <formula>"CORRECT !"</formula>
    </cfRule>
  </conditionalFormatting>
  <conditionalFormatting sqref="G23">
    <cfRule type="cellIs" dxfId="134" priority="125" operator="equal">
      <formula>"CORRECT !"</formula>
    </cfRule>
  </conditionalFormatting>
  <conditionalFormatting sqref="J10">
    <cfRule type="cellIs" dxfId="133" priority="124" operator="equal">
      <formula>"CORRECT !"</formula>
    </cfRule>
  </conditionalFormatting>
  <conditionalFormatting sqref="M4">
    <cfRule type="cellIs" dxfId="132" priority="162" operator="equal">
      <formula>"CORRECT !"</formula>
    </cfRule>
  </conditionalFormatting>
  <conditionalFormatting sqref="M5">
    <cfRule type="cellIs" dxfId="131" priority="161" operator="equal">
      <formula>"CORRECT !"</formula>
    </cfRule>
  </conditionalFormatting>
  <conditionalFormatting sqref="M6">
    <cfRule type="cellIs" dxfId="130" priority="160" operator="equal">
      <formula>"CORRECT !"</formula>
    </cfRule>
  </conditionalFormatting>
  <conditionalFormatting sqref="M7">
    <cfRule type="cellIs" dxfId="129" priority="159" operator="equal">
      <formula>"CORRECT !"</formula>
    </cfRule>
  </conditionalFormatting>
  <conditionalFormatting sqref="M8">
    <cfRule type="cellIs" dxfId="128" priority="158" operator="equal">
      <formula>"CORRECT !"</formula>
    </cfRule>
  </conditionalFormatting>
  <conditionalFormatting sqref="M9">
    <cfRule type="cellIs" dxfId="127" priority="157" operator="equal">
      <formula>"CORRECT !"</formula>
    </cfRule>
  </conditionalFormatting>
  <conditionalFormatting sqref="M10">
    <cfRule type="cellIs" dxfId="126" priority="156" operator="equal">
      <formula>"CORRECT !"</formula>
    </cfRule>
  </conditionalFormatting>
  <conditionalFormatting sqref="M11">
    <cfRule type="cellIs" dxfId="125" priority="155" operator="equal">
      <formula>"CORRECT !"</formula>
    </cfRule>
  </conditionalFormatting>
  <conditionalFormatting sqref="M12">
    <cfRule type="cellIs" dxfId="124" priority="154" operator="equal">
      <formula>"CORRECT !"</formula>
    </cfRule>
  </conditionalFormatting>
  <conditionalFormatting sqref="M13">
    <cfRule type="cellIs" dxfId="123" priority="153" operator="equal">
      <formula>"CORRECT !"</formula>
    </cfRule>
  </conditionalFormatting>
  <conditionalFormatting sqref="M20">
    <cfRule type="cellIs" dxfId="122" priority="151" operator="equal">
      <formula>"CORRECT !"</formula>
    </cfRule>
  </conditionalFormatting>
  <conditionalFormatting sqref="M21">
    <cfRule type="cellIs" dxfId="121" priority="150" operator="equal">
      <formula>"CORRECT !"</formula>
    </cfRule>
  </conditionalFormatting>
  <conditionalFormatting sqref="M23">
    <cfRule type="cellIs" dxfId="120" priority="149" operator="equal">
      <formula>"CORRECT !"</formula>
    </cfRule>
  </conditionalFormatting>
  <conditionalFormatting sqref="G4">
    <cfRule type="cellIs" dxfId="119" priority="148" operator="equal">
      <formula>"CORRECT !"</formula>
    </cfRule>
  </conditionalFormatting>
  <conditionalFormatting sqref="J4">
    <cfRule type="cellIs" dxfId="118" priority="147" operator="equal">
      <formula>"CORRECT !"</formula>
    </cfRule>
  </conditionalFormatting>
  <conditionalFormatting sqref="G5">
    <cfRule type="cellIs" dxfId="117" priority="146" operator="equal">
      <formula>"CORRECT !"</formula>
    </cfRule>
  </conditionalFormatting>
  <conditionalFormatting sqref="J5">
    <cfRule type="cellIs" dxfId="116" priority="145" operator="equal">
      <formula>"CORRECT !"</formula>
    </cfRule>
  </conditionalFormatting>
  <conditionalFormatting sqref="G9">
    <cfRule type="cellIs" dxfId="115" priority="144" operator="equal">
      <formula>"CORRECT !"</formula>
    </cfRule>
  </conditionalFormatting>
  <conditionalFormatting sqref="J9">
    <cfRule type="cellIs" dxfId="114" priority="143" operator="equal">
      <formula>"CORRECT !"</formula>
    </cfRule>
  </conditionalFormatting>
  <conditionalFormatting sqref="E4 E14:E19">
    <cfRule type="expression" dxfId="113" priority="141">
      <formula>AND($F4&lt;&gt;"",$C4&lt;&gt;$E4)</formula>
    </cfRule>
    <cfRule type="expression" dxfId="112" priority="142">
      <formula>AND($F4="y",$C4=$E4)</formula>
    </cfRule>
  </conditionalFormatting>
  <conditionalFormatting sqref="E3">
    <cfRule type="expression" dxfId="111" priority="140">
      <formula>$P$1&lt;&gt;""</formula>
    </cfRule>
  </conditionalFormatting>
  <conditionalFormatting sqref="E25">
    <cfRule type="expression" dxfId="110" priority="139">
      <formula>$P$1&lt;&gt;""</formula>
    </cfRule>
  </conditionalFormatting>
  <conditionalFormatting sqref="J6">
    <cfRule type="cellIs" dxfId="109" priority="135" operator="equal">
      <formula>"CORRECT !"</formula>
    </cfRule>
  </conditionalFormatting>
  <conditionalFormatting sqref="J7">
    <cfRule type="cellIs" dxfId="108" priority="134" operator="equal">
      <formula>"CORRECT !"</formula>
    </cfRule>
  </conditionalFormatting>
  <conditionalFormatting sqref="J8">
    <cfRule type="cellIs" dxfId="107" priority="133" operator="equal">
      <formula>"CORRECT !"</formula>
    </cfRule>
  </conditionalFormatting>
  <conditionalFormatting sqref="G10">
    <cfRule type="cellIs" dxfId="106" priority="132" operator="equal">
      <formula>"CORRECT !"</formula>
    </cfRule>
  </conditionalFormatting>
  <conditionalFormatting sqref="G11">
    <cfRule type="cellIs" dxfId="105" priority="131" operator="equal">
      <formula>"CORRECT !"</formula>
    </cfRule>
  </conditionalFormatting>
  <conditionalFormatting sqref="G12">
    <cfRule type="cellIs" dxfId="104" priority="130" operator="equal">
      <formula>"CORRECT !"</formula>
    </cfRule>
  </conditionalFormatting>
  <conditionalFormatting sqref="G13">
    <cfRule type="cellIs" dxfId="103" priority="129" operator="equal">
      <formula>"CORRECT !"</formula>
    </cfRule>
  </conditionalFormatting>
  <conditionalFormatting sqref="G20">
    <cfRule type="cellIs" dxfId="102" priority="127" operator="equal">
      <formula>"CORRECT !"</formula>
    </cfRule>
  </conditionalFormatting>
  <conditionalFormatting sqref="G21">
    <cfRule type="cellIs" dxfId="101" priority="126" operator="equal">
      <formula>"CORRECT !"</formula>
    </cfRule>
  </conditionalFormatting>
  <conditionalFormatting sqref="J11">
    <cfRule type="cellIs" dxfId="100" priority="123" operator="equal">
      <formula>"CORRECT !"</formula>
    </cfRule>
  </conditionalFormatting>
  <conditionalFormatting sqref="J12">
    <cfRule type="cellIs" dxfId="99" priority="122" operator="equal">
      <formula>"CORRECT !"</formula>
    </cfRule>
  </conditionalFormatting>
  <conditionalFormatting sqref="J13">
    <cfRule type="cellIs" dxfId="98" priority="121" operator="equal">
      <formula>"CORRECT !"</formula>
    </cfRule>
  </conditionalFormatting>
  <conditionalFormatting sqref="J20">
    <cfRule type="cellIs" dxfId="97" priority="119" operator="equal">
      <formula>"CORRECT !"</formula>
    </cfRule>
  </conditionalFormatting>
  <conditionalFormatting sqref="J21">
    <cfRule type="cellIs" dxfId="96" priority="118" operator="equal">
      <formula>"CORRECT !"</formula>
    </cfRule>
  </conditionalFormatting>
  <conditionalFormatting sqref="J23">
    <cfRule type="cellIs" dxfId="95" priority="117" operator="equal">
      <formula>"CORRECT !"</formula>
    </cfRule>
  </conditionalFormatting>
  <conditionalFormatting sqref="K4">
    <cfRule type="expression" dxfId="94" priority="115">
      <formula>AND($L4&lt;&gt;"",$C4&lt;&gt;$K4)</formula>
    </cfRule>
    <cfRule type="expression" dxfId="93" priority="116">
      <formula>AND($L4="y",$C4=$K4)</formula>
    </cfRule>
  </conditionalFormatting>
  <conditionalFormatting sqref="M22">
    <cfRule type="cellIs" dxfId="92" priority="114" operator="equal">
      <formula>"CORRECT !"</formula>
    </cfRule>
  </conditionalFormatting>
  <conditionalFormatting sqref="G22">
    <cfRule type="cellIs" dxfId="91" priority="113" operator="equal">
      <formula>"CORRECT !"</formula>
    </cfRule>
  </conditionalFormatting>
  <conditionalFormatting sqref="J22">
    <cfRule type="cellIs" dxfId="90" priority="112" operator="equal">
      <formula>"CORRECT !"</formula>
    </cfRule>
  </conditionalFormatting>
  <conditionalFormatting sqref="H4 H14">
    <cfRule type="expression" dxfId="89" priority="110">
      <formula>AND($I4&lt;&gt;"",$H4&lt;&gt;$C4)</formula>
    </cfRule>
    <cfRule type="expression" dxfId="88" priority="111">
      <formula>AND($I4="y",$C4=$H4)</formula>
    </cfRule>
  </conditionalFormatting>
  <conditionalFormatting sqref="K5 K14:K19">
    <cfRule type="expression" dxfId="87" priority="108">
      <formula>AND($L5="y",$C5&lt;&gt;$K5)</formula>
    </cfRule>
    <cfRule type="expression" dxfId="86" priority="109">
      <formula>AND($L5="y",$C5=$K5)</formula>
    </cfRule>
  </conditionalFormatting>
  <conditionalFormatting sqref="K6">
    <cfRule type="expression" dxfId="85" priority="106">
      <formula>AND($L6="y",$C6&lt;&gt;$K6)</formula>
    </cfRule>
    <cfRule type="expression" dxfId="84" priority="107">
      <formula>AND($L6="y",$C6=$K6)</formula>
    </cfRule>
  </conditionalFormatting>
  <conditionalFormatting sqref="K7">
    <cfRule type="expression" dxfId="83" priority="104">
      <formula>AND($L7="y",$C7&lt;&gt;$K7)</formula>
    </cfRule>
    <cfRule type="expression" dxfId="82" priority="105">
      <formula>AND($L7="y",$C7=$K7)</formula>
    </cfRule>
  </conditionalFormatting>
  <conditionalFormatting sqref="K8">
    <cfRule type="expression" dxfId="81" priority="102">
      <formula>AND($L8="y",$C8&lt;&gt;$K8)</formula>
    </cfRule>
    <cfRule type="expression" dxfId="80" priority="103">
      <formula>AND($L8="y",$C8=$K8)</formula>
    </cfRule>
  </conditionalFormatting>
  <conditionalFormatting sqref="K9">
    <cfRule type="expression" dxfId="79" priority="100">
      <formula>AND($L9="y",$C9&lt;&gt;$K9)</formula>
    </cfRule>
    <cfRule type="expression" dxfId="78" priority="101">
      <formula>AND($L9="y",$C9=$K9)</formula>
    </cfRule>
  </conditionalFormatting>
  <conditionalFormatting sqref="K10">
    <cfRule type="expression" dxfId="77" priority="98">
      <formula>AND($L10="y",$C10&lt;&gt;$K10)</formula>
    </cfRule>
    <cfRule type="expression" dxfId="76" priority="99">
      <formula>AND($L10="y",$C10=$K10)</formula>
    </cfRule>
  </conditionalFormatting>
  <conditionalFormatting sqref="K11">
    <cfRule type="expression" dxfId="75" priority="96">
      <formula>AND($L11="y",$C11&lt;&gt;$K11)</formula>
    </cfRule>
    <cfRule type="expression" dxfId="74" priority="97">
      <formula>AND($L11="y",$C11=$K11)</formula>
    </cfRule>
  </conditionalFormatting>
  <conditionalFormatting sqref="K12">
    <cfRule type="expression" dxfId="73" priority="94">
      <formula>AND($L12="y",$C12&lt;&gt;$K12)</formula>
    </cfRule>
    <cfRule type="expression" dxfId="72" priority="95">
      <formula>AND($L12="y",$C12=$K12)</formula>
    </cfRule>
  </conditionalFormatting>
  <conditionalFormatting sqref="K13">
    <cfRule type="expression" dxfId="71" priority="92">
      <formula>AND($L13="y",$C13&lt;&gt;$K13)</formula>
    </cfRule>
    <cfRule type="expression" dxfId="70" priority="93">
      <formula>AND($L13="y",$C13=$K13)</formula>
    </cfRule>
  </conditionalFormatting>
  <conditionalFormatting sqref="K20">
    <cfRule type="expression" dxfId="69" priority="88">
      <formula>AND($L20="y",$C20&lt;&gt;$K20)</formula>
    </cfRule>
    <cfRule type="expression" dxfId="68" priority="89">
      <formula>AND($L20="y",$C20=$K20)</formula>
    </cfRule>
  </conditionalFormatting>
  <conditionalFormatting sqref="K21">
    <cfRule type="expression" dxfId="67" priority="86">
      <formula>AND($L21="y",$C21&lt;&gt;$K21)</formula>
    </cfRule>
    <cfRule type="expression" dxfId="66" priority="87">
      <formula>AND($L21="y",$C21=$K21)</formula>
    </cfRule>
  </conditionalFormatting>
  <conditionalFormatting sqref="K22">
    <cfRule type="expression" dxfId="65" priority="84">
      <formula>AND($L22="y",$C22&lt;&gt;$K22)</formula>
    </cfRule>
    <cfRule type="expression" dxfId="64" priority="85">
      <formula>AND($L22="y",$C22=$K22)</formula>
    </cfRule>
  </conditionalFormatting>
  <conditionalFormatting sqref="K23">
    <cfRule type="expression" dxfId="63" priority="82">
      <formula>AND($L23="y",$C23&lt;&gt;$K23)</formula>
    </cfRule>
    <cfRule type="expression" dxfId="62" priority="83">
      <formula>AND($L23="y",$C23=$K23)</formula>
    </cfRule>
  </conditionalFormatting>
  <conditionalFormatting sqref="E5">
    <cfRule type="expression" dxfId="61" priority="80">
      <formula>AND($F5&lt;&gt;"",$C5&lt;&gt;$E5)</formula>
    </cfRule>
    <cfRule type="expression" dxfId="60" priority="81">
      <formula>AND($F5="y",$C5=$E5)</formula>
    </cfRule>
  </conditionalFormatting>
  <conditionalFormatting sqref="H5">
    <cfRule type="expression" dxfId="59" priority="78">
      <formula>AND($I5&lt;&gt;"",$H5&lt;&gt;$C5)</formula>
    </cfRule>
    <cfRule type="expression" dxfId="58" priority="79">
      <formula>AND($I5="y",$C5=$H5)</formula>
    </cfRule>
  </conditionalFormatting>
  <conditionalFormatting sqref="E6">
    <cfRule type="expression" dxfId="57" priority="76">
      <formula>AND($F6&lt;&gt;"",$C6&lt;&gt;$E6)</formula>
    </cfRule>
    <cfRule type="expression" dxfId="56" priority="77">
      <formula>AND($F6="y",$C6=$E6)</formula>
    </cfRule>
  </conditionalFormatting>
  <conditionalFormatting sqref="E7">
    <cfRule type="expression" dxfId="55" priority="74">
      <formula>AND($F7&lt;&gt;"",$C7&lt;&gt;$E7)</formula>
    </cfRule>
    <cfRule type="expression" dxfId="54" priority="75">
      <formula>AND($F7="y",$C7=$E7)</formula>
    </cfRule>
  </conditionalFormatting>
  <conditionalFormatting sqref="E8">
    <cfRule type="expression" dxfId="53" priority="72">
      <formula>AND($F8&lt;&gt;"",$C8&lt;&gt;$E8)</formula>
    </cfRule>
    <cfRule type="expression" dxfId="52" priority="73">
      <formula>AND($F8="y",$C8=$E8)</formula>
    </cfRule>
  </conditionalFormatting>
  <conditionalFormatting sqref="E9">
    <cfRule type="expression" dxfId="51" priority="70">
      <formula>AND($F9&lt;&gt;"",$C9&lt;&gt;$E9)</formula>
    </cfRule>
    <cfRule type="expression" dxfId="50" priority="71">
      <formula>AND($F9="y",$C9=$E9)</formula>
    </cfRule>
  </conditionalFormatting>
  <conditionalFormatting sqref="E10">
    <cfRule type="expression" dxfId="49" priority="68">
      <formula>AND($F10&lt;&gt;"",$C10&lt;&gt;$E10)</formula>
    </cfRule>
    <cfRule type="expression" dxfId="48" priority="69">
      <formula>AND($F10="y",$C10=$E10)</formula>
    </cfRule>
  </conditionalFormatting>
  <conditionalFormatting sqref="E11">
    <cfRule type="expression" dxfId="47" priority="66">
      <formula>AND($F11&lt;&gt;"",$C11&lt;&gt;$E11)</formula>
    </cfRule>
    <cfRule type="expression" dxfId="46" priority="67">
      <formula>AND($F11="y",$C11=$E11)</formula>
    </cfRule>
  </conditionalFormatting>
  <conditionalFormatting sqref="E12">
    <cfRule type="expression" dxfId="45" priority="64">
      <formula>AND($F12&lt;&gt;"",$C12&lt;&gt;$E12)</formula>
    </cfRule>
    <cfRule type="expression" dxfId="44" priority="65">
      <formula>AND($F12="y",$C12=$E12)</formula>
    </cfRule>
  </conditionalFormatting>
  <conditionalFormatting sqref="E13">
    <cfRule type="expression" dxfId="43" priority="62">
      <formula>AND($F13&lt;&gt;"",$C13&lt;&gt;$E13)</formula>
    </cfRule>
    <cfRule type="expression" dxfId="42" priority="63">
      <formula>AND($F13="y",$C13=$E13)</formula>
    </cfRule>
  </conditionalFormatting>
  <conditionalFormatting sqref="E20">
    <cfRule type="expression" dxfId="41" priority="58">
      <formula>AND($F20&lt;&gt;"",$C20&lt;&gt;$E20)</formula>
    </cfRule>
    <cfRule type="expression" dxfId="40" priority="59">
      <formula>AND($F20="y",$C20=$E20)</formula>
    </cfRule>
  </conditionalFormatting>
  <conditionalFormatting sqref="E21">
    <cfRule type="expression" dxfId="39" priority="56">
      <formula>AND($F21&lt;&gt;"",$C21&lt;&gt;$E21)</formula>
    </cfRule>
    <cfRule type="expression" dxfId="38" priority="57">
      <formula>AND($F21="y",$C21=$E21)</formula>
    </cfRule>
  </conditionalFormatting>
  <conditionalFormatting sqref="E22">
    <cfRule type="expression" dxfId="37" priority="54">
      <formula>AND($F22&lt;&gt;"",$C22&lt;&gt;$E22)</formula>
    </cfRule>
    <cfRule type="expression" dxfId="36" priority="55">
      <formula>AND($F22="y",$C22=$E22)</formula>
    </cfRule>
  </conditionalFormatting>
  <conditionalFormatting sqref="E23">
    <cfRule type="expression" dxfId="35" priority="52">
      <formula>AND($F23&lt;&gt;"",$C23&lt;&gt;$E23)</formula>
    </cfRule>
    <cfRule type="expression" dxfId="34" priority="53">
      <formula>AND($F23="y",$C23=$E23)</formula>
    </cfRule>
  </conditionalFormatting>
  <conditionalFormatting sqref="H6">
    <cfRule type="expression" dxfId="33" priority="50">
      <formula>AND($I6&lt;&gt;"",$H6&lt;&gt;$C6)</formula>
    </cfRule>
    <cfRule type="expression" dxfId="32" priority="51">
      <formula>AND($I6="y",$C6=$H6)</formula>
    </cfRule>
  </conditionalFormatting>
  <conditionalFormatting sqref="H7">
    <cfRule type="expression" dxfId="31" priority="48">
      <formula>AND($I7&lt;&gt;"",$H7&lt;&gt;$C7)</formula>
    </cfRule>
    <cfRule type="expression" dxfId="30" priority="49">
      <formula>AND($I7="y",$C7=$H7)</formula>
    </cfRule>
  </conditionalFormatting>
  <conditionalFormatting sqref="H8">
    <cfRule type="expression" dxfId="29" priority="46">
      <formula>AND($I8&lt;&gt;"",$H8&lt;&gt;$C8)</formula>
    </cfRule>
    <cfRule type="expression" dxfId="28" priority="47">
      <formula>AND($I8="y",$C8=$H8)</formula>
    </cfRule>
  </conditionalFormatting>
  <conditionalFormatting sqref="H9">
    <cfRule type="expression" dxfId="27" priority="44">
      <formula>AND($I9&lt;&gt;"",$H9&lt;&gt;$C9)</formula>
    </cfRule>
    <cfRule type="expression" dxfId="26" priority="45">
      <formula>AND($I9="y",$C9=$H9)</formula>
    </cfRule>
  </conditionalFormatting>
  <conditionalFormatting sqref="H10">
    <cfRule type="expression" dxfId="25" priority="42">
      <formula>AND($I10&lt;&gt;"",$H10&lt;&gt;$C10)</formula>
    </cfRule>
    <cfRule type="expression" dxfId="24" priority="43">
      <formula>AND($I10="y",$C10=$H10)</formula>
    </cfRule>
  </conditionalFormatting>
  <conditionalFormatting sqref="H11">
    <cfRule type="expression" dxfId="23" priority="40">
      <formula>AND($I11&lt;&gt;"",$H11&lt;&gt;$C11)</formula>
    </cfRule>
    <cfRule type="expression" dxfId="22" priority="41">
      <formula>AND($I11="y",$C11=$H11)</formula>
    </cfRule>
  </conditionalFormatting>
  <conditionalFormatting sqref="H12">
    <cfRule type="expression" dxfId="21" priority="38">
      <formula>AND($I12&lt;&gt;"",$H12&lt;&gt;$C12)</formula>
    </cfRule>
    <cfRule type="expression" dxfId="20" priority="39">
      <formula>AND($I12="y",$C12=$H12)</formula>
    </cfRule>
  </conditionalFormatting>
  <conditionalFormatting sqref="H13">
    <cfRule type="expression" dxfId="19" priority="36">
      <formula>AND($I13&lt;&gt;"",$H13&lt;&gt;$C13)</formula>
    </cfRule>
    <cfRule type="expression" dxfId="18" priority="37">
      <formula>AND($I13="y",$C13=$H13)</formula>
    </cfRule>
  </conditionalFormatting>
  <conditionalFormatting sqref="H20">
    <cfRule type="expression" dxfId="17" priority="32">
      <formula>AND($I20&lt;&gt;"",$H20&lt;&gt;$C20)</formula>
    </cfRule>
    <cfRule type="expression" dxfId="16" priority="33">
      <formula>AND($I20="y",$C20=$H20)</formula>
    </cfRule>
  </conditionalFormatting>
  <conditionalFormatting sqref="H21">
    <cfRule type="expression" dxfId="15" priority="30">
      <formula>AND($I21&lt;&gt;"",$H21&lt;&gt;$C21)</formula>
    </cfRule>
    <cfRule type="expression" dxfId="14" priority="31">
      <formula>AND($I21="y",$C21=$H21)</formula>
    </cfRule>
  </conditionalFormatting>
  <conditionalFormatting sqref="H22">
    <cfRule type="expression" dxfId="13" priority="28">
      <formula>AND($I22&lt;&gt;"",$H22&lt;&gt;$C22)</formula>
    </cfRule>
    <cfRule type="expression" dxfId="12" priority="29">
      <formula>AND($I22="y",$C22=$H22)</formula>
    </cfRule>
  </conditionalFormatting>
  <conditionalFormatting sqref="H23">
    <cfRule type="expression" dxfId="11" priority="26">
      <formula>AND($I23&lt;&gt;"",$H23&lt;&gt;$C23)</formula>
    </cfRule>
    <cfRule type="expression" dxfId="10" priority="27">
      <formula>AND($I23="y",$C23=$H23)</formula>
    </cfRule>
  </conditionalFormatting>
  <conditionalFormatting sqref="F5">
    <cfRule type="expression" dxfId="9" priority="24">
      <formula>OR(I5&lt;&gt;"",L5&lt;&gt;"")</formula>
    </cfRule>
    <cfRule type="expression" dxfId="8" priority="25">
      <formula>"OR(i5&lt;&gt;"""",L5&lt;&gt;"""")"</formula>
    </cfRule>
  </conditionalFormatting>
  <conditionalFormatting sqref="I5">
    <cfRule type="expression" dxfId="7" priority="23">
      <formula>OR(F5&lt;&gt;"",L5&lt;&gt;"")</formula>
    </cfRule>
  </conditionalFormatting>
  <conditionalFormatting sqref="L5">
    <cfRule type="expression" dxfId="6" priority="22">
      <formula>OR(F5&lt;&gt;"",I5&lt;&gt;"")</formula>
    </cfRule>
  </conditionalFormatting>
  <conditionalFormatting sqref="F6:F23">
    <cfRule type="expression" dxfId="0" priority="17">
      <formula>OR($I6&lt;&gt;"",$L6&lt;&gt;"")</formula>
    </cfRule>
  </conditionalFormatting>
  <conditionalFormatting sqref="I6">
    <cfRule type="expression" dxfId="5" priority="16">
      <formula>OR(F6&lt;&gt;"",L6&lt;&gt;"")</formula>
    </cfRule>
  </conditionalFormatting>
  <conditionalFormatting sqref="I7:I23">
    <cfRule type="expression" dxfId="4" priority="15">
      <formula>OR(F7&lt;&gt;"",L7&lt;&gt;"")</formula>
    </cfRule>
  </conditionalFormatting>
  <conditionalFormatting sqref="L6:L23">
    <cfRule type="expression" dxfId="3" priority="13">
      <formula>OR(F6&lt;&gt;"",I6&lt;&gt;"")</formula>
    </cfRule>
  </conditionalFormatting>
  <conditionalFormatting sqref="H15:H19">
    <cfRule type="expression" dxfId="2" priority="1">
      <formula>AND($I15&lt;&gt;"",$H15&lt;&gt;$C15)</formula>
    </cfRule>
    <cfRule type="expression" dxfId="1" priority="2">
      <formula>AND($I15="y",$C15=$H15)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60F2-AD23-480B-9131-F1056C1F6C17}">
  <dimension ref="B13:H26"/>
  <sheetViews>
    <sheetView showGridLines="0" topLeftCell="A13" workbookViewId="0">
      <selection activeCell="H15" sqref="H15"/>
    </sheetView>
  </sheetViews>
  <sheetFormatPr defaultRowHeight="14.4" x14ac:dyDescent="0.3"/>
  <cols>
    <col min="3" max="3" width="10.5546875" customWidth="1"/>
    <col min="4" max="4" width="3.5546875" customWidth="1"/>
    <col min="5" max="5" width="3.21875" customWidth="1"/>
    <col min="6" max="6" width="3.5546875" customWidth="1"/>
    <col min="8" max="8" width="8.88671875" style="114"/>
  </cols>
  <sheetData>
    <row r="13" spans="2:8" x14ac:dyDescent="0.3">
      <c r="G13" s="113" t="s">
        <v>1</v>
      </c>
    </row>
    <row r="15" spans="2:8" ht="18" x14ac:dyDescent="0.35">
      <c r="B15" s="1"/>
      <c r="C15" s="15"/>
      <c r="D15" s="3"/>
      <c r="E15" s="3"/>
      <c r="F15" s="3"/>
      <c r="G15" s="59"/>
      <c r="H15" s="49"/>
    </row>
    <row r="16" spans="2:8" ht="18" x14ac:dyDescent="0.35">
      <c r="B16" s="127" t="s">
        <v>0</v>
      </c>
      <c r="C16" s="127"/>
      <c r="D16" s="127"/>
      <c r="E16" s="127"/>
      <c r="F16" s="127"/>
      <c r="G16" s="59"/>
      <c r="H16" s="115"/>
    </row>
    <row r="17" spans="2:8" ht="18" x14ac:dyDescent="0.35">
      <c r="B17" s="79"/>
      <c r="C17" s="116"/>
      <c r="D17" s="117"/>
      <c r="E17" s="117"/>
      <c r="F17" s="117"/>
      <c r="G17" s="118"/>
      <c r="H17" s="49"/>
    </row>
    <row r="18" spans="2:8" ht="21" x14ac:dyDescent="0.4">
      <c r="B18" s="51"/>
      <c r="C18" s="116" t="str">
        <f>CONCATENATE(C17+1,".")</f>
        <v>1.</v>
      </c>
      <c r="D18" s="119" t="s">
        <v>4</v>
      </c>
      <c r="E18" s="84" t="s">
        <v>3</v>
      </c>
      <c r="F18" s="119" t="s">
        <v>2</v>
      </c>
      <c r="G18" s="120" t="str">
        <f>IF(CONCATENATE(D18,E18,F18)=H18,$G$13,"")</f>
        <v>√</v>
      </c>
      <c r="H18" s="48" t="s">
        <v>49</v>
      </c>
    </row>
    <row r="19" spans="2:8" ht="21" x14ac:dyDescent="0.4">
      <c r="B19" s="51"/>
      <c r="C19" s="116" t="str">
        <f t="shared" ref="C19:C25" si="0">CONCATENATE(C18+1,".")</f>
        <v>2.</v>
      </c>
      <c r="D19" s="121" t="s">
        <v>91</v>
      </c>
      <c r="E19" s="121" t="s">
        <v>3</v>
      </c>
      <c r="F19" s="121" t="s">
        <v>92</v>
      </c>
      <c r="G19" s="120"/>
      <c r="H19" s="48" t="s">
        <v>30</v>
      </c>
    </row>
    <row r="20" spans="2:8" ht="21" x14ac:dyDescent="0.4">
      <c r="B20" s="51"/>
      <c r="C20" s="116" t="str">
        <f t="shared" si="0"/>
        <v>3.</v>
      </c>
      <c r="D20" s="121" t="s">
        <v>2</v>
      </c>
      <c r="E20" s="121" t="s">
        <v>3</v>
      </c>
      <c r="F20" s="121" t="s">
        <v>2</v>
      </c>
      <c r="G20" s="120" t="str">
        <f t="shared" ref="G20:G25" si="1">IF(CONCATENATE(D20,E20,F20)=H20,$G$13,"")</f>
        <v/>
      </c>
      <c r="H20" s="48" t="s">
        <v>50</v>
      </c>
    </row>
    <row r="21" spans="2:8" ht="21" x14ac:dyDescent="0.4">
      <c r="B21" s="51"/>
      <c r="C21" s="116" t="str">
        <f t="shared" si="0"/>
        <v>4.</v>
      </c>
      <c r="D21" s="119" t="s">
        <v>2</v>
      </c>
      <c r="E21" s="84" t="s">
        <v>3</v>
      </c>
      <c r="F21" s="119" t="s">
        <v>4</v>
      </c>
      <c r="G21" s="120" t="str">
        <f t="shared" si="1"/>
        <v>√</v>
      </c>
      <c r="H21" s="48" t="s">
        <v>5</v>
      </c>
    </row>
    <row r="22" spans="2:8" ht="21" x14ac:dyDescent="0.4">
      <c r="B22" s="51"/>
      <c r="C22" s="116" t="str">
        <f t="shared" si="0"/>
        <v>5.</v>
      </c>
      <c r="D22" s="119" t="s">
        <v>92</v>
      </c>
      <c r="E22" s="84" t="s">
        <v>3</v>
      </c>
      <c r="F22" s="119" t="s">
        <v>92</v>
      </c>
      <c r="G22" s="120" t="str">
        <f t="shared" si="1"/>
        <v>√</v>
      </c>
      <c r="H22" s="48" t="s">
        <v>51</v>
      </c>
    </row>
    <row r="23" spans="2:8" ht="21" x14ac:dyDescent="0.4">
      <c r="B23" s="1"/>
      <c r="C23" s="122" t="str">
        <f t="shared" si="0"/>
        <v>6.</v>
      </c>
      <c r="D23" s="119" t="s">
        <v>92</v>
      </c>
      <c r="E23" s="84" t="s">
        <v>3</v>
      </c>
      <c r="F23" s="119" t="s">
        <v>91</v>
      </c>
      <c r="G23" s="120" t="str">
        <f t="shared" si="1"/>
        <v/>
      </c>
      <c r="H23" s="48" t="s">
        <v>52</v>
      </c>
    </row>
    <row r="24" spans="2:8" ht="21" x14ac:dyDescent="0.4">
      <c r="B24" s="1"/>
      <c r="C24" s="122" t="str">
        <f t="shared" si="0"/>
        <v>7.</v>
      </c>
      <c r="D24" s="123" t="s">
        <v>4</v>
      </c>
      <c r="E24" s="123"/>
      <c r="F24" s="123" t="s">
        <v>4</v>
      </c>
      <c r="G24" s="120" t="str">
        <f t="shared" si="1"/>
        <v/>
      </c>
      <c r="H24" s="48" t="s">
        <v>53</v>
      </c>
    </row>
    <row r="25" spans="2:8" ht="21" x14ac:dyDescent="0.4">
      <c r="B25" s="1"/>
      <c r="C25" s="122" t="str">
        <f t="shared" si="0"/>
        <v>8.</v>
      </c>
      <c r="D25" s="119" t="s">
        <v>92</v>
      </c>
      <c r="E25" s="84" t="s">
        <v>3</v>
      </c>
      <c r="F25" s="119" t="s">
        <v>91</v>
      </c>
      <c r="G25" s="120" t="str">
        <f t="shared" si="1"/>
        <v>√</v>
      </c>
      <c r="H25" s="48" t="s">
        <v>54</v>
      </c>
    </row>
    <row r="26" spans="2:8" x14ac:dyDescent="0.3">
      <c r="C26" s="124"/>
      <c r="D26" s="124"/>
      <c r="E26" s="124"/>
      <c r="F26" s="124"/>
      <c r="G26" s="124"/>
      <c r="H26" s="125"/>
    </row>
  </sheetData>
  <mergeCells count="1">
    <mergeCell ref="B16:F16"/>
  </mergeCells>
  <conditionalFormatting sqref="G18">
    <cfRule type="cellIs" dxfId="593" priority="17" operator="equal">
      <formula>"CORRECT !"</formula>
    </cfRule>
  </conditionalFormatting>
  <conditionalFormatting sqref="H19">
    <cfRule type="expression" dxfId="592" priority="9">
      <formula>$A$4&lt;&gt;""</formula>
    </cfRule>
  </conditionalFormatting>
  <conditionalFormatting sqref="H20">
    <cfRule type="expression" dxfId="591" priority="8">
      <formula>$A$4&lt;&gt;""</formula>
    </cfRule>
  </conditionalFormatting>
  <conditionalFormatting sqref="H21">
    <cfRule type="expression" dxfId="590" priority="7">
      <formula>$A$4&lt;&gt;""</formula>
    </cfRule>
  </conditionalFormatting>
  <conditionalFormatting sqref="H22">
    <cfRule type="expression" dxfId="589" priority="6">
      <formula>$A$4&lt;&gt;""</formula>
    </cfRule>
  </conditionalFormatting>
  <conditionalFormatting sqref="H23">
    <cfRule type="expression" dxfId="588" priority="5">
      <formula>$A$4&lt;&gt;""</formula>
    </cfRule>
  </conditionalFormatting>
  <conditionalFormatting sqref="H24">
    <cfRule type="expression" dxfId="587" priority="4">
      <formula>$A$4&lt;&gt;""</formula>
    </cfRule>
  </conditionalFormatting>
  <conditionalFormatting sqref="H25">
    <cfRule type="expression" dxfId="586" priority="3">
      <formula>$A$4&lt;&gt;""</formula>
    </cfRule>
  </conditionalFormatting>
  <conditionalFormatting sqref="G19:G25">
    <cfRule type="cellIs" dxfId="585" priority="1" operator="equal">
      <formula>"CORRECT !"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6983-46C0-4AA5-AAB0-F9EEBC64507F}">
  <dimension ref="B1:O33"/>
  <sheetViews>
    <sheetView workbookViewId="0">
      <selection activeCell="E10" sqref="E10:E14"/>
    </sheetView>
  </sheetViews>
  <sheetFormatPr defaultRowHeight="14.4" x14ac:dyDescent="0.3"/>
  <cols>
    <col min="2" max="2" width="3.77734375" style="103" customWidth="1"/>
    <col min="4" max="4" width="9.5546875" customWidth="1"/>
    <col min="5" max="5" width="8.88671875" customWidth="1"/>
    <col min="6" max="6" width="12.88671875" customWidth="1"/>
    <col min="7" max="7" width="3.77734375" style="99" customWidth="1"/>
  </cols>
  <sheetData>
    <row r="1" spans="2:15" ht="23.4" x14ac:dyDescent="0.45">
      <c r="C1" s="134" t="s">
        <v>44</v>
      </c>
      <c r="D1" s="134"/>
      <c r="E1" s="134"/>
      <c r="F1" s="134"/>
      <c r="G1" s="134"/>
      <c r="H1" s="134"/>
      <c r="I1" s="134"/>
      <c r="J1" s="101"/>
      <c r="K1" s="101"/>
      <c r="L1" s="101"/>
      <c r="M1" s="101"/>
      <c r="N1" s="101"/>
      <c r="O1" s="101"/>
    </row>
    <row r="2" spans="2:15" ht="18" x14ac:dyDescent="0.35">
      <c r="C2" s="128" t="s">
        <v>82</v>
      </c>
      <c r="D2" s="128"/>
      <c r="E2" s="128"/>
      <c r="F2" s="128"/>
      <c r="G2" s="128"/>
      <c r="H2" s="128"/>
      <c r="I2" s="128"/>
      <c r="J2" s="77"/>
      <c r="K2" s="77"/>
      <c r="L2" s="77"/>
      <c r="M2" s="77"/>
      <c r="N2" s="77"/>
      <c r="O2" s="77"/>
    </row>
    <row r="4" spans="2:15" x14ac:dyDescent="0.3">
      <c r="C4" s="135" t="s">
        <v>80</v>
      </c>
      <c r="D4" s="135"/>
      <c r="E4" s="135"/>
      <c r="G4" s="135" t="s">
        <v>81</v>
      </c>
      <c r="H4" s="135"/>
      <c r="I4" s="135"/>
    </row>
    <row r="5" spans="2:15" x14ac:dyDescent="0.3">
      <c r="H5" s="14"/>
    </row>
    <row r="6" spans="2:15" ht="21" x14ac:dyDescent="0.4">
      <c r="B6" s="103">
        <v>1</v>
      </c>
      <c r="C6" s="84" t="s">
        <v>49</v>
      </c>
      <c r="D6" s="99">
        <v>21</v>
      </c>
      <c r="E6" s="84" t="s">
        <v>65</v>
      </c>
      <c r="G6" s="99">
        <v>1</v>
      </c>
      <c r="H6" s="100" t="s">
        <v>66</v>
      </c>
    </row>
    <row r="7" spans="2:15" ht="21" x14ac:dyDescent="0.4">
      <c r="B7" s="103">
        <f t="shared" ref="B7:B25" si="0">1+B6</f>
        <v>2</v>
      </c>
      <c r="C7" s="84" t="s">
        <v>30</v>
      </c>
      <c r="D7" s="99">
        <f t="shared" ref="D7:D19" si="1">1+D6</f>
        <v>22</v>
      </c>
      <c r="E7" s="84" t="s">
        <v>66</v>
      </c>
      <c r="G7" s="99">
        <f>1+G6</f>
        <v>2</v>
      </c>
      <c r="H7" s="100" t="s">
        <v>49</v>
      </c>
    </row>
    <row r="8" spans="2:15" ht="21" x14ac:dyDescent="0.4">
      <c r="B8" s="103">
        <f t="shared" si="0"/>
        <v>3</v>
      </c>
      <c r="C8" s="84" t="s">
        <v>50</v>
      </c>
      <c r="D8" s="99">
        <f t="shared" si="1"/>
        <v>23</v>
      </c>
      <c r="E8" s="84" t="s">
        <v>67</v>
      </c>
      <c r="G8" s="99">
        <f t="shared" ref="G8:G20" si="2">1+G7</f>
        <v>3</v>
      </c>
      <c r="H8" s="100" t="s">
        <v>48</v>
      </c>
    </row>
    <row r="9" spans="2:15" ht="21" x14ac:dyDescent="0.4">
      <c r="B9" s="103">
        <f t="shared" si="0"/>
        <v>4</v>
      </c>
      <c r="C9" s="84" t="s">
        <v>5</v>
      </c>
      <c r="D9" s="99">
        <f t="shared" si="1"/>
        <v>24</v>
      </c>
      <c r="E9" s="84" t="s">
        <v>68</v>
      </c>
      <c r="G9" s="99">
        <f t="shared" si="2"/>
        <v>4</v>
      </c>
      <c r="H9" s="100" t="s">
        <v>58</v>
      </c>
    </row>
    <row r="10" spans="2:15" ht="21" x14ac:dyDescent="0.4">
      <c r="B10" s="103">
        <f t="shared" si="0"/>
        <v>5</v>
      </c>
      <c r="C10" s="84" t="s">
        <v>51</v>
      </c>
      <c r="D10" s="99">
        <f t="shared" si="1"/>
        <v>25</v>
      </c>
      <c r="E10" s="84" t="s">
        <v>69</v>
      </c>
      <c r="G10" s="99">
        <f t="shared" si="2"/>
        <v>5</v>
      </c>
      <c r="H10" s="100" t="s">
        <v>75</v>
      </c>
    </row>
    <row r="11" spans="2:15" ht="21" x14ac:dyDescent="0.4">
      <c r="B11" s="103">
        <f t="shared" si="0"/>
        <v>6</v>
      </c>
      <c r="C11" s="84" t="s">
        <v>52</v>
      </c>
      <c r="D11" s="99">
        <f t="shared" si="1"/>
        <v>26</v>
      </c>
      <c r="E11" s="84" t="s">
        <v>70</v>
      </c>
      <c r="G11" s="99">
        <f t="shared" si="2"/>
        <v>6</v>
      </c>
      <c r="H11" s="100" t="s">
        <v>52</v>
      </c>
    </row>
    <row r="12" spans="2:15" ht="21" x14ac:dyDescent="0.4">
      <c r="B12" s="103">
        <f t="shared" si="0"/>
        <v>7</v>
      </c>
      <c r="C12" s="84" t="s">
        <v>53</v>
      </c>
      <c r="D12" s="99">
        <f t="shared" si="1"/>
        <v>27</v>
      </c>
      <c r="E12" s="84" t="s">
        <v>71</v>
      </c>
      <c r="G12" s="99">
        <f t="shared" si="2"/>
        <v>7</v>
      </c>
      <c r="H12" s="100" t="s">
        <v>72</v>
      </c>
    </row>
    <row r="13" spans="2:15" ht="21" x14ac:dyDescent="0.4">
      <c r="B13" s="103">
        <f t="shared" si="0"/>
        <v>8</v>
      </c>
      <c r="C13" s="84" t="s">
        <v>54</v>
      </c>
      <c r="D13" s="99">
        <f t="shared" si="1"/>
        <v>28</v>
      </c>
      <c r="E13" s="84" t="s">
        <v>72</v>
      </c>
      <c r="G13" s="99">
        <f t="shared" si="2"/>
        <v>8</v>
      </c>
      <c r="H13" s="100" t="s">
        <v>55</v>
      </c>
    </row>
    <row r="14" spans="2:15" ht="21" x14ac:dyDescent="0.4">
      <c r="B14" s="103">
        <f t="shared" si="0"/>
        <v>9</v>
      </c>
      <c r="C14" s="84" t="s">
        <v>55</v>
      </c>
      <c r="D14" s="99">
        <f t="shared" si="1"/>
        <v>29</v>
      </c>
      <c r="E14" s="84" t="s">
        <v>28</v>
      </c>
      <c r="G14" s="99">
        <f t="shared" si="2"/>
        <v>9</v>
      </c>
      <c r="H14" s="100" t="s">
        <v>75</v>
      </c>
    </row>
    <row r="15" spans="2:15" ht="21" x14ac:dyDescent="0.4">
      <c r="B15" s="103">
        <f t="shared" si="0"/>
        <v>10</v>
      </c>
      <c r="C15" s="84" t="s">
        <v>56</v>
      </c>
      <c r="D15" s="99">
        <f t="shared" si="1"/>
        <v>30</v>
      </c>
      <c r="E15" s="84" t="s">
        <v>29</v>
      </c>
      <c r="G15" s="99">
        <f t="shared" si="2"/>
        <v>10</v>
      </c>
      <c r="H15" s="100" t="s">
        <v>68</v>
      </c>
    </row>
    <row r="16" spans="2:15" ht="21" x14ac:dyDescent="0.4">
      <c r="B16" s="103">
        <f t="shared" si="0"/>
        <v>11</v>
      </c>
      <c r="C16" s="84" t="s">
        <v>57</v>
      </c>
      <c r="D16" s="99">
        <f t="shared" si="1"/>
        <v>31</v>
      </c>
      <c r="E16" s="84" t="s">
        <v>73</v>
      </c>
      <c r="G16" s="99">
        <f t="shared" si="2"/>
        <v>11</v>
      </c>
      <c r="H16" s="100" t="s">
        <v>64</v>
      </c>
    </row>
    <row r="17" spans="2:8" ht="21" x14ac:dyDescent="0.4">
      <c r="B17" s="103">
        <f t="shared" si="0"/>
        <v>12</v>
      </c>
      <c r="C17" s="84" t="s">
        <v>58</v>
      </c>
      <c r="D17" s="99">
        <f t="shared" si="1"/>
        <v>32</v>
      </c>
      <c r="E17" s="84" t="s">
        <v>74</v>
      </c>
      <c r="G17" s="99">
        <f t="shared" si="2"/>
        <v>12</v>
      </c>
      <c r="H17" s="100" t="s">
        <v>48</v>
      </c>
    </row>
    <row r="18" spans="2:8" ht="21" x14ac:dyDescent="0.4">
      <c r="B18" s="103">
        <f t="shared" si="0"/>
        <v>13</v>
      </c>
      <c r="C18" s="84" t="s">
        <v>59</v>
      </c>
      <c r="D18" s="99">
        <f t="shared" si="1"/>
        <v>33</v>
      </c>
      <c r="E18" s="84" t="s">
        <v>7</v>
      </c>
      <c r="G18" s="99">
        <f t="shared" si="2"/>
        <v>13</v>
      </c>
      <c r="H18" s="100" t="s">
        <v>7</v>
      </c>
    </row>
    <row r="19" spans="2:8" ht="21" x14ac:dyDescent="0.4">
      <c r="B19" s="103">
        <f t="shared" si="0"/>
        <v>14</v>
      </c>
      <c r="C19" s="84" t="s">
        <v>60</v>
      </c>
      <c r="D19" s="99">
        <f t="shared" si="1"/>
        <v>34</v>
      </c>
      <c r="E19" s="84" t="s">
        <v>75</v>
      </c>
      <c r="G19" s="99">
        <f t="shared" si="2"/>
        <v>14</v>
      </c>
      <c r="H19" s="100" t="s">
        <v>60</v>
      </c>
    </row>
    <row r="20" spans="2:8" ht="21" x14ac:dyDescent="0.4">
      <c r="B20" s="103">
        <f t="shared" si="0"/>
        <v>15</v>
      </c>
      <c r="C20" s="84" t="s">
        <v>61</v>
      </c>
      <c r="D20" s="99"/>
      <c r="G20" s="99">
        <f t="shared" si="2"/>
        <v>15</v>
      </c>
      <c r="H20" s="100" t="s">
        <v>62</v>
      </c>
    </row>
    <row r="21" spans="2:8" ht="21" x14ac:dyDescent="0.4">
      <c r="B21" s="103">
        <f t="shared" si="0"/>
        <v>16</v>
      </c>
      <c r="C21" s="84" t="s">
        <v>62</v>
      </c>
      <c r="H21" s="14"/>
    </row>
    <row r="22" spans="2:8" ht="21" x14ac:dyDescent="0.4">
      <c r="B22" s="103">
        <f t="shared" si="0"/>
        <v>17</v>
      </c>
      <c r="C22" s="84" t="s">
        <v>31</v>
      </c>
    </row>
    <row r="23" spans="2:8" ht="21" x14ac:dyDescent="0.4">
      <c r="B23" s="103">
        <f t="shared" si="0"/>
        <v>18</v>
      </c>
      <c r="C23" s="84" t="s">
        <v>63</v>
      </c>
    </row>
    <row r="24" spans="2:8" ht="21" x14ac:dyDescent="0.4">
      <c r="B24" s="103">
        <f t="shared" si="0"/>
        <v>19</v>
      </c>
      <c r="C24" s="84" t="s">
        <v>64</v>
      </c>
    </row>
    <row r="25" spans="2:8" ht="21" x14ac:dyDescent="0.4">
      <c r="B25" s="103">
        <f t="shared" si="0"/>
        <v>20</v>
      </c>
      <c r="C25" s="84" t="s">
        <v>48</v>
      </c>
    </row>
    <row r="33" spans="10:10" x14ac:dyDescent="0.3">
      <c r="J33" t="s">
        <v>43</v>
      </c>
    </row>
  </sheetData>
  <mergeCells count="4">
    <mergeCell ref="C1:I1"/>
    <mergeCell ref="C2:I2"/>
    <mergeCell ref="C4:E4"/>
    <mergeCell ref="G4:I4"/>
  </mergeCells>
  <conditionalFormatting sqref="C6">
    <cfRule type="expression" dxfId="584" priority="49">
      <formula>$A$4&lt;&gt;""</formula>
    </cfRule>
  </conditionalFormatting>
  <conditionalFormatting sqref="C7">
    <cfRule type="expression" dxfId="583" priority="48">
      <formula>$A$4&lt;&gt;""</formula>
    </cfRule>
  </conditionalFormatting>
  <conditionalFormatting sqref="C8">
    <cfRule type="expression" dxfId="582" priority="47">
      <formula>$A$4&lt;&gt;""</formula>
    </cfRule>
  </conditionalFormatting>
  <conditionalFormatting sqref="C9">
    <cfRule type="expression" dxfId="581" priority="46">
      <formula>$A$4&lt;&gt;""</formula>
    </cfRule>
  </conditionalFormatting>
  <conditionalFormatting sqref="C10">
    <cfRule type="expression" dxfId="580" priority="45">
      <formula>$A$4&lt;&gt;""</formula>
    </cfRule>
  </conditionalFormatting>
  <conditionalFormatting sqref="C11">
    <cfRule type="expression" dxfId="579" priority="44">
      <formula>$A$4&lt;&gt;""</formula>
    </cfRule>
  </conditionalFormatting>
  <conditionalFormatting sqref="C12">
    <cfRule type="expression" dxfId="578" priority="43">
      <formula>$A$4&lt;&gt;""</formula>
    </cfRule>
  </conditionalFormatting>
  <conditionalFormatting sqref="C13">
    <cfRule type="expression" dxfId="577" priority="42">
      <formula>$A$4&lt;&gt;""</formula>
    </cfRule>
  </conditionalFormatting>
  <conditionalFormatting sqref="C14">
    <cfRule type="expression" dxfId="576" priority="41">
      <formula>$A$4&lt;&gt;""</formula>
    </cfRule>
  </conditionalFormatting>
  <conditionalFormatting sqref="C15">
    <cfRule type="expression" dxfId="575" priority="40">
      <formula>$A$4&lt;&gt;""</formula>
    </cfRule>
  </conditionalFormatting>
  <conditionalFormatting sqref="C16">
    <cfRule type="expression" dxfId="574" priority="39">
      <formula>$A$4&lt;&gt;""</formula>
    </cfRule>
  </conditionalFormatting>
  <conditionalFormatting sqref="C17">
    <cfRule type="expression" dxfId="573" priority="38">
      <formula>$A$4&lt;&gt;""</formula>
    </cfRule>
  </conditionalFormatting>
  <conditionalFormatting sqref="C18">
    <cfRule type="expression" dxfId="572" priority="37">
      <formula>$A$4&lt;&gt;""</formula>
    </cfRule>
  </conditionalFormatting>
  <conditionalFormatting sqref="C19">
    <cfRule type="expression" dxfId="571" priority="36">
      <formula>$A$4&lt;&gt;""</formula>
    </cfRule>
  </conditionalFormatting>
  <conditionalFormatting sqref="C20">
    <cfRule type="expression" dxfId="570" priority="35">
      <formula>$A$4&lt;&gt;""</formula>
    </cfRule>
  </conditionalFormatting>
  <conditionalFormatting sqref="C21">
    <cfRule type="expression" dxfId="569" priority="34">
      <formula>$A$4&lt;&gt;""</formula>
    </cfRule>
  </conditionalFormatting>
  <conditionalFormatting sqref="C22">
    <cfRule type="expression" dxfId="568" priority="33">
      <formula>$A$4&lt;&gt;""</formula>
    </cfRule>
  </conditionalFormatting>
  <conditionalFormatting sqref="C23">
    <cfRule type="expression" dxfId="567" priority="32">
      <formula>$A$4&lt;&gt;""</formula>
    </cfRule>
  </conditionalFormatting>
  <conditionalFormatting sqref="C24">
    <cfRule type="expression" dxfId="566" priority="31">
      <formula>$A$4&lt;&gt;""</formula>
    </cfRule>
  </conditionalFormatting>
  <conditionalFormatting sqref="C25">
    <cfRule type="expression" dxfId="565" priority="30">
      <formula>$A$4&lt;&gt;""</formula>
    </cfRule>
  </conditionalFormatting>
  <conditionalFormatting sqref="E6">
    <cfRule type="expression" dxfId="564" priority="29">
      <formula>$A$4&lt;&gt;""</formula>
    </cfRule>
  </conditionalFormatting>
  <conditionalFormatting sqref="E7">
    <cfRule type="expression" dxfId="563" priority="28">
      <formula>$A$4&lt;&gt;""</formula>
    </cfRule>
  </conditionalFormatting>
  <conditionalFormatting sqref="E8">
    <cfRule type="expression" dxfId="562" priority="27">
      <formula>$A$4&lt;&gt;""</formula>
    </cfRule>
  </conditionalFormatting>
  <conditionalFormatting sqref="E9">
    <cfRule type="expression" dxfId="561" priority="26">
      <formula>$A$4&lt;&gt;""</formula>
    </cfRule>
  </conditionalFormatting>
  <conditionalFormatting sqref="E10">
    <cfRule type="expression" dxfId="560" priority="25">
      <formula>$A$4&lt;&gt;""</formula>
    </cfRule>
  </conditionalFormatting>
  <conditionalFormatting sqref="E11">
    <cfRule type="expression" dxfId="559" priority="24">
      <formula>$A$4&lt;&gt;""</formula>
    </cfRule>
  </conditionalFormatting>
  <conditionalFormatting sqref="E12">
    <cfRule type="expression" dxfId="558" priority="23">
      <formula>$A$4&lt;&gt;""</formula>
    </cfRule>
  </conditionalFormatting>
  <conditionalFormatting sqref="E13">
    <cfRule type="expression" dxfId="557" priority="22">
      <formula>$A$4&lt;&gt;""</formula>
    </cfRule>
  </conditionalFormatting>
  <conditionalFormatting sqref="E14">
    <cfRule type="expression" dxfId="556" priority="21">
      <formula>$A$4&lt;&gt;""</formula>
    </cfRule>
  </conditionalFormatting>
  <conditionalFormatting sqref="E15">
    <cfRule type="expression" dxfId="555" priority="20">
      <formula>$A$4&lt;&gt;""</formula>
    </cfRule>
  </conditionalFormatting>
  <conditionalFormatting sqref="E16">
    <cfRule type="expression" dxfId="554" priority="19">
      <formula>$A$4&lt;&gt;""</formula>
    </cfRule>
  </conditionalFormatting>
  <conditionalFormatting sqref="E17">
    <cfRule type="expression" dxfId="553" priority="18">
      <formula>$A$4&lt;&gt;""</formula>
    </cfRule>
  </conditionalFormatting>
  <conditionalFormatting sqref="E18">
    <cfRule type="expression" dxfId="552" priority="17">
      <formula>$A$4&lt;&gt;""</formula>
    </cfRule>
  </conditionalFormatting>
  <conditionalFormatting sqref="E19">
    <cfRule type="expression" dxfId="551" priority="16">
      <formula>$A$4&lt;&gt;""</formula>
    </cfRule>
  </conditionalFormatting>
  <conditionalFormatting sqref="H6">
    <cfRule type="expression" dxfId="550" priority="15">
      <formula>$A$5&lt;&gt;""</formula>
    </cfRule>
  </conditionalFormatting>
  <conditionalFormatting sqref="H7">
    <cfRule type="expression" dxfId="549" priority="14">
      <formula>$A$5&lt;&gt;""</formula>
    </cfRule>
  </conditionalFormatting>
  <conditionalFormatting sqref="H8">
    <cfRule type="expression" dxfId="548" priority="13">
      <formula>$A$5&lt;&gt;""</formula>
    </cfRule>
  </conditionalFormatting>
  <conditionalFormatting sqref="H9">
    <cfRule type="expression" dxfId="547" priority="12">
      <formula>$A$5&lt;&gt;""</formula>
    </cfRule>
  </conditionalFormatting>
  <conditionalFormatting sqref="H10">
    <cfRule type="expression" dxfId="546" priority="11">
      <formula>$A$5&lt;&gt;""</formula>
    </cfRule>
  </conditionalFormatting>
  <conditionalFormatting sqref="H11">
    <cfRule type="expression" dxfId="545" priority="10">
      <formula>$A$5&lt;&gt;""</formula>
    </cfRule>
  </conditionalFormatting>
  <conditionalFormatting sqref="H12">
    <cfRule type="expression" dxfId="544" priority="9">
      <formula>$A$5&lt;&gt;""</formula>
    </cfRule>
  </conditionalFormatting>
  <conditionalFormatting sqref="H13">
    <cfRule type="expression" dxfId="543" priority="8">
      <formula>$A$5&lt;&gt;""</formula>
    </cfRule>
  </conditionalFormatting>
  <conditionalFormatting sqref="H14">
    <cfRule type="expression" dxfId="542" priority="7">
      <formula>$A$5&lt;&gt;""</formula>
    </cfRule>
  </conditionalFormatting>
  <conditionalFormatting sqref="H15">
    <cfRule type="expression" dxfId="541" priority="6">
      <formula>$A$5&lt;&gt;""</formula>
    </cfRule>
  </conditionalFormatting>
  <conditionalFormatting sqref="H16">
    <cfRule type="expression" dxfId="540" priority="5">
      <formula>$A$5&lt;&gt;""</formula>
    </cfRule>
  </conditionalFormatting>
  <conditionalFormatting sqref="H17">
    <cfRule type="expression" dxfId="539" priority="4">
      <formula>$A$5&lt;&gt;""</formula>
    </cfRule>
  </conditionalFormatting>
  <conditionalFormatting sqref="H18">
    <cfRule type="expression" dxfId="538" priority="3">
      <formula>$A$5&lt;&gt;""</formula>
    </cfRule>
  </conditionalFormatting>
  <conditionalFormatting sqref="H19">
    <cfRule type="expression" dxfId="537" priority="2">
      <formula>$A$5&lt;&gt;""</formula>
    </cfRule>
  </conditionalFormatting>
  <conditionalFormatting sqref="H20">
    <cfRule type="expression" dxfId="536" priority="1">
      <formula>$A$5&lt;&gt;""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BGMD fillin</vt:lpstr>
      <vt:lpstr>BGMD 3-choice</vt:lpstr>
      <vt:lpstr>BGMD choice assess</vt:lpstr>
      <vt:lpstr>BGMD fillin assess</vt:lpstr>
      <vt:lpstr>BGMDmaster</vt:lpstr>
      <vt:lpstr>'BGMD 3-choice'!Print_Area</vt:lpstr>
      <vt:lpstr>BGMDmaster!Print_Area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cp:lastPrinted>2019-08-13T11:44:07Z</cp:lastPrinted>
  <dcterms:created xsi:type="dcterms:W3CDTF">2019-01-22T16:30:16Z</dcterms:created>
  <dcterms:modified xsi:type="dcterms:W3CDTF">2019-08-15T12:29:18Z</dcterms:modified>
  <cp:category/>
  <cp:contentStatus/>
</cp:coreProperties>
</file>