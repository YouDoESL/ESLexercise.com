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8_{6EE79DFD-41DB-40C7-9867-E23547129F32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Phonics A Tier 1" sheetId="1" r:id="rId1"/>
    <sheet name="Phonics A Tier 2" sheetId="2" r:id="rId2"/>
    <sheet name="Phonics A Tier 4" sheetId="5" r:id="rId3"/>
    <sheet name="Phonics A Tier 3" sheetId="3" r:id="rId4"/>
    <sheet name="Teacher Lists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Q15" i="5"/>
  <c r="G12" i="5"/>
  <c r="G10" i="5"/>
  <c r="O13" i="5"/>
  <c r="G14" i="5"/>
  <c r="Q9" i="5"/>
  <c r="I10" i="5"/>
  <c r="O9" i="5"/>
  <c r="P11" i="5"/>
  <c r="O14" i="5"/>
  <c r="I15" i="5"/>
  <c r="Q10" i="5"/>
  <c r="H14" i="5"/>
  <c r="P16" i="5"/>
  <c r="G9" i="5"/>
  <c r="H12" i="5"/>
  <c r="U3" i="5"/>
  <c r="P8" i="5"/>
  <c r="I9" i="5"/>
  <c r="H13" i="5"/>
  <c r="P15" i="5"/>
  <c r="H16" i="5"/>
  <c r="I8" i="5"/>
  <c r="P7" i="5"/>
  <c r="A1" i="3"/>
  <c r="H10" i="5"/>
  <c r="H15" i="5"/>
  <c r="I13" i="5"/>
  <c r="I14" i="5"/>
  <c r="Q7" i="5"/>
  <c r="I7" i="5"/>
  <c r="Q16" i="5"/>
  <c r="P5" i="5"/>
  <c r="G7" i="5"/>
  <c r="P9" i="5"/>
  <c r="A1" i="2"/>
  <c r="I16" i="5"/>
  <c r="G15" i="5"/>
  <c r="G11" i="5"/>
  <c r="A1" i="1"/>
  <c r="G13" i="5"/>
  <c r="I12" i="5"/>
  <c r="A1" i="5"/>
  <c r="H11" i="5"/>
  <c r="I11" i="5"/>
  <c r="H7" i="5"/>
  <c r="O12" i="5"/>
  <c r="H9" i="5"/>
  <c r="G16" i="5"/>
  <c r="O15" i="5"/>
  <c r="G8" i="5"/>
  <c r="H8" i="5"/>
  <c r="P10" i="5"/>
  <c r="O16" i="5"/>
  <c r="P14" i="5"/>
  <c r="O11" i="5"/>
  <c r="Q11" i="5"/>
  <c r="Q12" i="5"/>
  <c r="Q13" i="5"/>
  <c r="O7" i="5"/>
  <c r="O10" i="5"/>
  <c r="O8" i="5"/>
  <c r="P13" i="5"/>
  <c r="Q14" i="5"/>
  <c r="Q8" i="5"/>
  <c r="P12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32" i="3"/>
  <c r="F32" i="3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R22" i="5" l="1"/>
  <c r="N8" i="2"/>
  <c r="F8" i="2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Q15" i="1"/>
  <c r="I8" i="1"/>
  <c r="H17" i="3"/>
  <c r="H27" i="3"/>
  <c r="G24" i="3"/>
  <c r="G11" i="2"/>
  <c r="Q27" i="3"/>
  <c r="P7" i="2"/>
  <c r="G24" i="1"/>
  <c r="Q14" i="2"/>
  <c r="I24" i="1"/>
  <c r="I10" i="3"/>
  <c r="O17" i="1"/>
  <c r="I25" i="1"/>
  <c r="Q24" i="3"/>
  <c r="Q29" i="3"/>
  <c r="G15" i="2"/>
  <c r="H10" i="2"/>
  <c r="G15" i="3"/>
  <c r="I14" i="2"/>
  <c r="H13" i="2"/>
  <c r="P5" i="1"/>
  <c r="O24" i="3"/>
  <c r="G21" i="1"/>
  <c r="Q24" i="1"/>
  <c r="Q14" i="3"/>
  <c r="O8" i="1"/>
  <c r="Q8" i="1"/>
  <c r="O25" i="1"/>
  <c r="P23" i="1"/>
  <c r="P29" i="3"/>
  <c r="I16" i="1"/>
  <c r="O7" i="1"/>
  <c r="I14" i="3"/>
  <c r="O9" i="2"/>
  <c r="G17" i="3"/>
  <c r="H20" i="3"/>
  <c r="P32" i="3"/>
  <c r="I9" i="1"/>
  <c r="G9" i="2"/>
  <c r="H26" i="1"/>
  <c r="O19" i="2"/>
  <c r="Q19" i="2"/>
  <c r="G14" i="2"/>
  <c r="I7" i="3"/>
  <c r="Q21" i="1"/>
  <c r="H9" i="1"/>
  <c r="U3" i="3"/>
  <c r="H19" i="2"/>
  <c r="O24" i="1"/>
  <c r="Q21" i="3"/>
  <c r="O21" i="2"/>
  <c r="P13" i="2"/>
  <c r="G31" i="1"/>
  <c r="G13" i="2"/>
  <c r="O9" i="3"/>
  <c r="I20" i="3"/>
  <c r="P20" i="3"/>
  <c r="I12" i="1"/>
  <c r="Q25" i="1"/>
  <c r="O22" i="3"/>
  <c r="O29" i="1"/>
  <c r="I31" i="1"/>
  <c r="I26" i="3"/>
  <c r="P10" i="2"/>
  <c r="H22" i="1"/>
  <c r="O15" i="2"/>
  <c r="P16" i="2"/>
  <c r="I23" i="1"/>
  <c r="I15" i="1"/>
  <c r="P19" i="3"/>
  <c r="G11" i="1"/>
  <c r="I29" i="1"/>
  <c r="O22" i="1"/>
  <c r="P5" i="3"/>
  <c r="O11" i="2"/>
  <c r="P22" i="1"/>
  <c r="I30" i="3"/>
  <c r="H12" i="2"/>
  <c r="H29" i="3"/>
  <c r="Q12" i="3"/>
  <c r="I15" i="3"/>
  <c r="H16" i="3"/>
  <c r="P30" i="3"/>
  <c r="P9" i="1"/>
  <c r="G8" i="3"/>
  <c r="G26" i="3"/>
  <c r="O20" i="3"/>
  <c r="Q17" i="3"/>
  <c r="Q25" i="3"/>
  <c r="I13" i="1"/>
  <c r="H21" i="1"/>
  <c r="G18" i="3"/>
  <c r="G13" i="1"/>
  <c r="P12" i="1"/>
  <c r="P22" i="3"/>
  <c r="G30" i="3"/>
  <c r="P8" i="1"/>
  <c r="O32" i="3"/>
  <c r="O13" i="1"/>
  <c r="Q10" i="3"/>
  <c r="Q7" i="1"/>
  <c r="O11" i="3"/>
  <c r="O21" i="3"/>
  <c r="O25" i="3"/>
  <c r="I27" i="3"/>
  <c r="I18" i="1"/>
  <c r="G25" i="3"/>
  <c r="G18" i="2"/>
  <c r="G8" i="1"/>
  <c r="P28" i="1"/>
  <c r="H8" i="3"/>
  <c r="P19" i="1"/>
  <c r="G20" i="1"/>
  <c r="G9" i="3"/>
  <c r="P18" i="3"/>
  <c r="O12" i="2"/>
  <c r="P31" i="3"/>
  <c r="Q13" i="3"/>
  <c r="I25" i="3"/>
  <c r="H26" i="3"/>
  <c r="G27" i="1"/>
  <c r="O15" i="3"/>
  <c r="I26" i="1"/>
  <c r="H30" i="1"/>
  <c r="Q13" i="1"/>
  <c r="I19" i="2"/>
  <c r="I10" i="2"/>
  <c r="P21" i="3"/>
  <c r="P21" i="1"/>
  <c r="H18" i="1"/>
  <c r="Q13" i="2"/>
  <c r="O29" i="3"/>
  <c r="O16" i="1"/>
  <c r="G16" i="1"/>
  <c r="O17" i="3"/>
  <c r="O26" i="1"/>
  <c r="P15" i="1"/>
  <c r="P26" i="1"/>
  <c r="H9" i="2"/>
  <c r="Q18" i="3"/>
  <c r="P19" i="2"/>
  <c r="G21" i="3"/>
  <c r="P7" i="1"/>
  <c r="H20" i="2"/>
  <c r="O9" i="1"/>
  <c r="G22" i="1"/>
  <c r="G29" i="1"/>
  <c r="G12" i="2"/>
  <c r="H23" i="3"/>
  <c r="H18" i="3"/>
  <c r="H15" i="2"/>
  <c r="H16" i="1"/>
  <c r="O26" i="3"/>
  <c r="P9" i="3"/>
  <c r="O21" i="1"/>
  <c r="Q28" i="3"/>
  <c r="H7" i="3"/>
  <c r="G20" i="2"/>
  <c r="P16" i="3"/>
  <c r="G9" i="1"/>
  <c r="Q22" i="3"/>
  <c r="P13" i="3"/>
  <c r="I10" i="1"/>
  <c r="G19" i="2"/>
  <c r="I17" i="3"/>
  <c r="P27" i="3"/>
  <c r="O14" i="1"/>
  <c r="G32" i="3"/>
  <c r="G17" i="1"/>
  <c r="G25" i="1"/>
  <c r="G10" i="2"/>
  <c r="H14" i="2"/>
  <c r="U3" i="1"/>
  <c r="P10" i="3"/>
  <c r="O23" i="3"/>
  <c r="I28" i="1"/>
  <c r="O18" i="2"/>
  <c r="P14" i="3"/>
  <c r="P5" i="2"/>
  <c r="G8" i="2"/>
  <c r="G14" i="1"/>
  <c r="P12" i="2"/>
  <c r="Q10" i="2"/>
  <c r="Q8" i="2"/>
  <c r="Q15" i="2"/>
  <c r="G14" i="3"/>
  <c r="Q15" i="3"/>
  <c r="G19" i="1"/>
  <c r="I19" i="3"/>
  <c r="Q23" i="1"/>
  <c r="O16" i="2"/>
  <c r="Q21" i="2"/>
  <c r="Q18" i="2"/>
  <c r="O7" i="3"/>
  <c r="Q31" i="1"/>
  <c r="G19" i="3"/>
  <c r="P11" i="1"/>
  <c r="H27" i="1"/>
  <c r="Q16" i="2"/>
  <c r="P16" i="1"/>
  <c r="G30" i="1"/>
  <c r="I20" i="2"/>
  <c r="H18" i="2"/>
  <c r="G7" i="1"/>
  <c r="Q17" i="2"/>
  <c r="P14" i="2"/>
  <c r="P17" i="1"/>
  <c r="P15" i="3"/>
  <c r="P8" i="3"/>
  <c r="O18" i="3"/>
  <c r="Q30" i="1"/>
  <c r="P20" i="1"/>
  <c r="H8" i="1"/>
  <c r="H22" i="3"/>
  <c r="H9" i="3"/>
  <c r="P31" i="1"/>
  <c r="H25" i="3"/>
  <c r="O27" i="3"/>
  <c r="G16" i="3"/>
  <c r="I11" i="3"/>
  <c r="P11" i="2"/>
  <c r="O8" i="3"/>
  <c r="I12" i="3"/>
  <c r="P26" i="3"/>
  <c r="P10" i="1"/>
  <c r="P8" i="2"/>
  <c r="G12" i="3"/>
  <c r="I7" i="2"/>
  <c r="H7" i="1"/>
  <c r="P15" i="2"/>
  <c r="I15" i="2"/>
  <c r="Q9" i="3"/>
  <c r="O28" i="1"/>
  <c r="P20" i="2"/>
  <c r="O10" i="3"/>
  <c r="H31" i="3"/>
  <c r="Q20" i="3"/>
  <c r="G21" i="2"/>
  <c r="O10" i="2"/>
  <c r="O7" i="2"/>
  <c r="P18" i="1"/>
  <c r="Q11" i="3"/>
  <c r="G16" i="2"/>
  <c r="P14" i="1"/>
  <c r="O27" i="1"/>
  <c r="I9" i="3"/>
  <c r="H31" i="1"/>
  <c r="H14" i="1"/>
  <c r="G29" i="3"/>
  <c r="P21" i="2"/>
  <c r="Q16" i="3"/>
  <c r="H28" i="3"/>
  <c r="O30" i="3"/>
  <c r="H25" i="1"/>
  <c r="P30" i="1"/>
  <c r="H11" i="1"/>
  <c r="I20" i="1"/>
  <c r="O10" i="1"/>
  <c r="Q7" i="2"/>
  <c r="H10" i="1"/>
  <c r="G23" i="3"/>
  <c r="Q23" i="3"/>
  <c r="H15" i="1"/>
  <c r="I17" i="1"/>
  <c r="H30" i="3"/>
  <c r="I29" i="3"/>
  <c r="H11" i="2"/>
  <c r="Q26" i="1"/>
  <c r="G31" i="3"/>
  <c r="I13" i="2"/>
  <c r="H21" i="3"/>
  <c r="I31" i="3"/>
  <c r="Q29" i="1"/>
  <c r="I21" i="1"/>
  <c r="P13" i="1"/>
  <c r="P25" i="1"/>
  <c r="I27" i="1"/>
  <c r="H17" i="2"/>
  <c r="G15" i="1"/>
  <c r="I16" i="3"/>
  <c r="O18" i="1"/>
  <c r="U3" i="2"/>
  <c r="I17" i="2"/>
  <c r="P23" i="3"/>
  <c r="H24" i="1"/>
  <c r="H8" i="2"/>
  <c r="I28" i="3"/>
  <c r="G11" i="3"/>
  <c r="I14" i="1"/>
  <c r="P17" i="2"/>
  <c r="I32" i="3"/>
  <c r="I22" i="1"/>
  <c r="H19" i="1"/>
  <c r="G27" i="3"/>
  <c r="Q20" i="1"/>
  <c r="O11" i="1"/>
  <c r="I9" i="2"/>
  <c r="H28" i="1"/>
  <c r="O14" i="2"/>
  <c r="O16" i="3"/>
  <c r="I11" i="2"/>
  <c r="I16" i="2"/>
  <c r="G26" i="1"/>
  <c r="G10" i="3"/>
  <c r="H16" i="2"/>
  <c r="I11" i="1"/>
  <c r="I18" i="3"/>
  <c r="Q17" i="1"/>
  <c r="Q16" i="1"/>
  <c r="Q19" i="1"/>
  <c r="O13" i="3"/>
  <c r="P18" i="2"/>
  <c r="I24" i="3"/>
  <c r="G12" i="1"/>
  <c r="O20" i="1"/>
  <c r="Q18" i="1"/>
  <c r="I23" i="3"/>
  <c r="O17" i="2"/>
  <c r="O30" i="1"/>
  <c r="G10" i="1"/>
  <c r="I8" i="3"/>
  <c r="Q31" i="3"/>
  <c r="H7" i="2"/>
  <c r="H13" i="3"/>
  <c r="G7" i="3"/>
  <c r="P12" i="3"/>
  <c r="I13" i="3"/>
  <c r="P9" i="2"/>
  <c r="I21" i="2"/>
  <c r="Q28" i="1"/>
  <c r="I21" i="3"/>
  <c r="O28" i="3"/>
  <c r="H23" i="1"/>
  <c r="Q19" i="3"/>
  <c r="G20" i="3"/>
  <c r="G7" i="2"/>
  <c r="H24" i="3"/>
  <c r="G28" i="3"/>
  <c r="G23" i="1"/>
  <c r="P24" i="1"/>
  <c r="Q9" i="2"/>
  <c r="H17" i="1"/>
  <c r="P27" i="1"/>
  <c r="Q27" i="1"/>
  <c r="Q30" i="3"/>
  <c r="G28" i="1"/>
  <c r="H32" i="3"/>
  <c r="Q11" i="1"/>
  <c r="Q12" i="1"/>
  <c r="O20" i="2"/>
  <c r="I22" i="3"/>
  <c r="O12" i="3"/>
  <c r="O14" i="3"/>
  <c r="O8" i="2"/>
  <c r="Q9" i="1"/>
  <c r="I19" i="1"/>
  <c r="P17" i="3"/>
  <c r="G18" i="1"/>
  <c r="H14" i="3"/>
  <c r="H10" i="3"/>
  <c r="I18" i="2"/>
  <c r="O12" i="1"/>
  <c r="P7" i="3"/>
  <c r="H13" i="1"/>
  <c r="H11" i="3"/>
  <c r="Q20" i="2"/>
  <c r="Q22" i="1"/>
  <c r="O31" i="1"/>
  <c r="H29" i="1"/>
  <c r="H12" i="3"/>
  <c r="P25" i="3"/>
  <c r="G17" i="2"/>
  <c r="I30" i="1"/>
  <c r="H20" i="1"/>
  <c r="I7" i="1"/>
  <c r="P11" i="3"/>
  <c r="I12" i="2"/>
  <c r="G22" i="3"/>
  <c r="Q26" i="3"/>
  <c r="P24" i="3"/>
  <c r="Q32" i="3"/>
  <c r="O19" i="3"/>
  <c r="O19" i="1"/>
  <c r="H12" i="1"/>
  <c r="O13" i="2"/>
  <c r="P28" i="3"/>
  <c r="O15" i="1"/>
  <c r="G13" i="3"/>
  <c r="Q12" i="2"/>
  <c r="P29" i="1"/>
  <c r="O31" i="3"/>
  <c r="Q10" i="1"/>
  <c r="H19" i="3"/>
  <c r="O23" i="1"/>
  <c r="Q8" i="3"/>
  <c r="H15" i="3"/>
  <c r="H21" i="2"/>
  <c r="Q11" i="2"/>
  <c r="Q14" i="1"/>
  <c r="Q7" i="3"/>
  <c r="I8" i="2"/>
  <c r="A22" i="1" l="1"/>
  <c r="J22" i="1"/>
  <c r="J12" i="3"/>
  <c r="A12" i="3"/>
  <c r="A29" i="1"/>
  <c r="J29" i="1"/>
  <c r="J16" i="2"/>
  <c r="J13" i="3"/>
  <c r="A13" i="3"/>
  <c r="J21" i="3"/>
  <c r="A21" i="3"/>
  <c r="R8" i="3"/>
  <c r="R22" i="3"/>
  <c r="J10" i="3"/>
  <c r="A10" i="3"/>
  <c r="J26" i="1"/>
  <c r="A26" i="1"/>
  <c r="J9" i="1"/>
  <c r="A9" i="1"/>
  <c r="R19" i="3"/>
  <c r="A16" i="3"/>
  <c r="J16" i="3"/>
  <c r="R27" i="3"/>
  <c r="R16" i="3"/>
  <c r="R17" i="3"/>
  <c r="R9" i="3"/>
  <c r="A16" i="1"/>
  <c r="J16" i="1"/>
  <c r="J13" i="2"/>
  <c r="A22" i="3"/>
  <c r="J22" i="3"/>
  <c r="A31" i="1"/>
  <c r="J31" i="1"/>
  <c r="R29" i="3"/>
  <c r="J10" i="1"/>
  <c r="A10" i="1"/>
  <c r="J27" i="3"/>
  <c r="A27" i="3"/>
  <c r="R18" i="3"/>
  <c r="J20" i="2"/>
  <c r="J17" i="2"/>
  <c r="A11" i="3"/>
  <c r="J11" i="3"/>
  <c r="J14" i="2"/>
  <c r="J7" i="1"/>
  <c r="A7" i="1"/>
  <c r="R15" i="3"/>
  <c r="J27" i="1"/>
  <c r="A27" i="1"/>
  <c r="J21" i="2"/>
  <c r="A30" i="1"/>
  <c r="J30" i="1"/>
  <c r="J9" i="2"/>
  <c r="J17" i="3"/>
  <c r="A17" i="3"/>
  <c r="J15" i="1"/>
  <c r="A15" i="1"/>
  <c r="J19" i="3"/>
  <c r="A19" i="3"/>
  <c r="J9" i="3"/>
  <c r="A9" i="3"/>
  <c r="A18" i="1"/>
  <c r="J18" i="1"/>
  <c r="J20" i="1"/>
  <c r="A20" i="1"/>
  <c r="R7" i="3"/>
  <c r="A8" i="1"/>
  <c r="J8" i="1"/>
  <c r="R14" i="3"/>
  <c r="J18" i="2"/>
  <c r="R12" i="3"/>
  <c r="A25" i="3"/>
  <c r="J25" i="3"/>
  <c r="R10" i="3"/>
  <c r="J19" i="1"/>
  <c r="A19" i="1"/>
  <c r="R26" i="3"/>
  <c r="J31" i="3"/>
  <c r="A31" i="3"/>
  <c r="J14" i="3"/>
  <c r="A14" i="3"/>
  <c r="R25" i="3"/>
  <c r="R21" i="3"/>
  <c r="J21" i="1"/>
  <c r="A21" i="1"/>
  <c r="J11" i="1"/>
  <c r="A11" i="1"/>
  <c r="R11" i="3"/>
  <c r="R24" i="3"/>
  <c r="J28" i="1"/>
  <c r="A28" i="1"/>
  <c r="J14" i="1"/>
  <c r="A14" i="1"/>
  <c r="J8" i="2"/>
  <c r="A15" i="3"/>
  <c r="J15" i="3"/>
  <c r="A12" i="1"/>
  <c r="J12" i="1"/>
  <c r="A23" i="3"/>
  <c r="J23" i="3"/>
  <c r="J30" i="3"/>
  <c r="A30" i="3"/>
  <c r="J15" i="2"/>
  <c r="J23" i="1"/>
  <c r="A23" i="1"/>
  <c r="J28" i="3"/>
  <c r="A28" i="3"/>
  <c r="R23" i="3"/>
  <c r="A13" i="1"/>
  <c r="J13" i="1"/>
  <c r="A18" i="3"/>
  <c r="J18" i="3"/>
  <c r="J7" i="2"/>
  <c r="A20" i="3"/>
  <c r="J20" i="3"/>
  <c r="R31" i="3"/>
  <c r="J10" i="2"/>
  <c r="R30" i="3"/>
  <c r="J25" i="1"/>
  <c r="A25" i="1"/>
  <c r="A24" i="1"/>
  <c r="J24" i="1"/>
  <c r="R28" i="3"/>
  <c r="A17" i="1"/>
  <c r="J17" i="1"/>
  <c r="R20" i="3"/>
  <c r="J32" i="3"/>
  <c r="A32" i="3"/>
  <c r="A26" i="3"/>
  <c r="J26" i="3"/>
  <c r="J8" i="3"/>
  <c r="A8" i="3"/>
  <c r="J11" i="2"/>
  <c r="J29" i="3"/>
  <c r="A29" i="3"/>
  <c r="J24" i="3"/>
  <c r="A24" i="3"/>
  <c r="J12" i="2"/>
  <c r="J19" i="2"/>
  <c r="R13" i="3"/>
  <c r="J7" i="3"/>
  <c r="A7" i="3"/>
  <c r="R8" i="2"/>
  <c r="R10" i="2"/>
  <c r="A13" i="2"/>
  <c r="A15" i="2"/>
  <c r="R16" i="2"/>
  <c r="R18" i="2"/>
  <c r="A20" i="2"/>
  <c r="A22" i="2"/>
  <c r="A24" i="2"/>
  <c r="A8" i="2"/>
  <c r="A10" i="2"/>
  <c r="R11" i="2"/>
  <c r="R13" i="2"/>
  <c r="R15" i="2"/>
  <c r="R17" i="2"/>
  <c r="R19" i="2"/>
  <c r="R21" i="2"/>
  <c r="R7" i="2"/>
  <c r="R9" i="2"/>
  <c r="A11" i="2"/>
  <c r="R12" i="2"/>
  <c r="A14" i="2"/>
  <c r="A16" i="2"/>
  <c r="A18" i="2"/>
  <c r="R20" i="2"/>
  <c r="A26" i="2"/>
  <c r="A28" i="2"/>
  <c r="A30" i="2"/>
  <c r="A9" i="2"/>
  <c r="A12" i="2"/>
  <c r="R14" i="2"/>
  <c r="A17" i="2"/>
  <c r="A19" i="2"/>
  <c r="A21" i="2"/>
  <c r="A23" i="2"/>
  <c r="A25" i="2"/>
  <c r="A27" i="2"/>
  <c r="A29" i="2"/>
  <c r="A31" i="2"/>
  <c r="A7" i="2"/>
  <c r="N9" i="2"/>
  <c r="N8" i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F9" i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8" i="1"/>
  <c r="R32" i="3" l="1"/>
  <c r="R33" i="3" s="1"/>
  <c r="R22" i="2"/>
  <c r="N10" i="2"/>
  <c r="R9" i="1"/>
  <c r="R15" i="1"/>
  <c r="R19" i="1"/>
  <c r="R21" i="1"/>
  <c r="R25" i="1"/>
  <c r="R27" i="1"/>
  <c r="R31" i="1"/>
  <c r="R8" i="1"/>
  <c r="R10" i="1"/>
  <c r="R12" i="1"/>
  <c r="R14" i="1"/>
  <c r="R16" i="1"/>
  <c r="R18" i="1"/>
  <c r="R20" i="1"/>
  <c r="R22" i="1"/>
  <c r="R24" i="1"/>
  <c r="R26" i="1"/>
  <c r="R28" i="1"/>
  <c r="R30" i="1"/>
  <c r="R13" i="1"/>
  <c r="R11" i="1"/>
  <c r="R17" i="1"/>
  <c r="R23" i="1"/>
  <c r="R29" i="1"/>
  <c r="R7" i="1"/>
  <c r="N11" i="2" l="1"/>
  <c r="R32" i="1"/>
  <c r="N12" i="2" l="1"/>
  <c r="N13" i="2" l="1"/>
  <c r="N14" i="2" l="1"/>
  <c r="N15" i="2" l="1"/>
  <c r="N16" i="2" l="1"/>
  <c r="N17" i="2" l="1"/>
  <c r="N18" i="2" l="1"/>
  <c r="N19" i="2" l="1"/>
  <c r="N20" i="2" l="1"/>
  <c r="N21" i="2" l="1"/>
</calcChain>
</file>

<file path=xl/sharedStrings.xml><?xml version="1.0" encoding="utf-8"?>
<sst xmlns="http://schemas.openxmlformats.org/spreadsheetml/2006/main" count="460" uniqueCount="103">
  <si>
    <t>bat</t>
  </si>
  <si>
    <t>nap</t>
  </si>
  <si>
    <t>tap</t>
  </si>
  <si>
    <t>bam</t>
  </si>
  <si>
    <t>mad</t>
  </si>
  <si>
    <t>dam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</si>
  <si>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</si>
  <si>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</si>
  <si>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</si>
  <si>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</si>
  <si>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</si>
  <si>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</si>
  <si>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</si>
  <si>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</si>
  <si>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</si>
  <si>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mat</t>
  </si>
  <si>
    <t>pat</t>
  </si>
  <si>
    <t>dab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</si>
  <si>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</si>
  <si>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</si>
  <si>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</si>
  <si>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</si>
  <si>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</si>
  <si>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</si>
  <si>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</si>
  <si>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</si>
  <si>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</si>
  <si>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</si>
  <si>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</si>
  <si>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</si>
  <si>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</si>
  <si>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</si>
  <si>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</si>
  <si>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dip</t>
  </si>
  <si>
    <t>bib</t>
  </si>
  <si>
    <t>dim</t>
  </si>
  <si>
    <t>pit</t>
  </si>
  <si>
    <t>bit</t>
  </si>
  <si>
    <t>did</t>
  </si>
  <si>
    <t>pip</t>
  </si>
  <si>
    <t>nip</t>
  </si>
  <si>
    <t>pin</t>
  </si>
  <si>
    <t>mom</t>
  </si>
  <si>
    <t>mop</t>
  </si>
  <si>
    <t>bob</t>
  </si>
  <si>
    <t>pop</t>
  </si>
  <si>
    <t>bot</t>
  </si>
  <si>
    <t>top</t>
  </si>
  <si>
    <t>bop</t>
  </si>
  <si>
    <t>dot</t>
  </si>
  <si>
    <t>pot</t>
  </si>
  <si>
    <t>tot</t>
  </si>
  <si>
    <t>pod</t>
  </si>
  <si>
    <t>not</t>
  </si>
  <si>
    <t>mob</t>
  </si>
  <si>
    <t>nod</t>
  </si>
  <si>
    <t>mud</t>
  </si>
  <si>
    <t>bum</t>
  </si>
  <si>
    <t>bud</t>
  </si>
  <si>
    <t>bun</t>
  </si>
  <si>
    <t>tub</t>
  </si>
  <si>
    <t>pub</t>
  </si>
  <si>
    <t>nub</t>
  </si>
  <si>
    <t>dub</t>
  </si>
  <si>
    <t>but</t>
  </si>
  <si>
    <t>pun</t>
  </si>
  <si>
    <t>nun</t>
  </si>
  <si>
    <t>bub</t>
  </si>
  <si>
    <t>nut</t>
  </si>
  <si>
    <t>SAY:</t>
  </si>
  <si>
    <t>CHOOSE:</t>
  </si>
  <si>
    <t>Sound file is here:</t>
  </si>
  <si>
    <t>or here:</t>
  </si>
  <si>
    <t>Practice Set #1</t>
  </si>
  <si>
    <t>Test Set #1</t>
  </si>
  <si>
    <t>#end</t>
  </si>
  <si>
    <t>Your Name:</t>
  </si>
  <si>
    <t>(This column will not appear)</t>
  </si>
  <si>
    <t>tad</t>
  </si>
  <si>
    <t>pup</t>
  </si>
  <si>
    <t>nib</t>
  </si>
  <si>
    <t>mod</t>
  </si>
  <si>
    <t>Practice Set #3</t>
  </si>
  <si>
    <t>Test Set #3</t>
  </si>
  <si>
    <t>Practice Set #2</t>
  </si>
  <si>
    <t>Test Set #2</t>
  </si>
  <si>
    <t>Teacher lists for Phonics Set A</t>
  </si>
  <si>
    <t>Tier 1</t>
  </si>
  <si>
    <t>here</t>
  </si>
  <si>
    <t>teacher list --&gt;</t>
  </si>
  <si>
    <t>(25 items)</t>
  </si>
  <si>
    <t>Tier 2</t>
  </si>
  <si>
    <t>Tier 3</t>
  </si>
  <si>
    <t>(15 items)</t>
  </si>
  <si>
    <t>(26 items)</t>
  </si>
  <si>
    <t>MOVE U3 to somewhere</t>
  </si>
  <si>
    <t>like R1 (for each audio file)</t>
  </si>
  <si>
    <t>Practice Set #4</t>
  </si>
  <si>
    <t>Test Set #4</t>
  </si>
  <si>
    <t>dun</t>
  </si>
  <si>
    <t>pep</t>
  </si>
  <si>
    <t>Tier 4</t>
  </si>
  <si>
    <t>(10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</si>
</sst>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9" fontId="0" fillId="0" borderId="0" xfId="0" applyNumberFormat="1" applyAlignment="1">
      <alignment vertical="center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3" fillId="4" borderId="0" xfId="0" applyFont="1" applyFill="1"/>
    <xf numFmtId="0" fontId="14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applyFont="1"/>
    <xf numFmtId="0" fontId="7" fillId="4" borderId="0" xfId="0" applyFont="1" applyFill="1" applyBorder="1" applyAlignment="1">
      <alignment horizontal="left" vertical="center" indent="2"/>
    </xf>
    <xf numFmtId="0" fontId="8" fillId="0" borderId="0" xfId="0" applyFont="1" applyBorder="1" applyAlignment="1">
      <alignment vertical="center" wrapText="1"/>
    </xf>
    <xf numFmtId="0" fontId="11" fillId="0" borderId="3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15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10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4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8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8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9" fillId="0" borderId="0" xfId="0" applyFont="1" applyBorder="1" applyAlignment="1">
      <alignment vertical="center" wrapText="1"/>
    </xf>
    <xf numFmtId="0" fontId="20" fillId="0" borderId="0" xfId="0" applyFont="1"/>
    <xf numFmtId="0" fontId="1" fillId="0" borderId="0" xfId="0" applyFont="1" applyAlignment="1">
      <alignment horizontal="left" wrapText="1"/>
    </xf>
    <xf numFmtId="0" fontId="10" fillId="3" borderId="2" xfId="0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horizontal="right"/>
    </xf>
    <xf numFmtId="0" fontId="14" fillId="4" borderId="0" xfId="0" applyFont="1" applyFill="1" applyBorder="1" applyAlignment="1">
      <alignment horizontal="right"/>
    </xf>
    <xf numFmtId="0" fontId="1" fillId="0" borderId="0" xfId="0" applyFont="1" applyBorder="1" applyAlignment="1">
      <alignment horizontal="left" wrapText="1"/>
    </xf>
    <xf numFmtId="0" fontId="17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973"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kaye.com/HACC/Phonics_Set_A_Teacher_Lists.ht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kaye.com/HACC/Phonics_Set_A_Teacher_List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kaye.com/HACC/Phonics_Set_A_Teacher_Lists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34"/>
  <sheetViews>
    <sheetView showGridLines="0" workbookViewId="0"/>
  </sheetViews>
  <sheetFormatPr defaultRowHeight="14.4"/>
  <cols>
    <col min="1" max="1" width="8.88671875" style="8"/>
    <col min="2" max="4" width="3.77734375" style="16" customWidth="1"/>
    <col min="6" max="6" width="5.109375" style="1" customWidth="1"/>
    <col min="7" max="9" width="10.77734375" style="1" customWidth="1"/>
    <col min="14" max="14" width="6" customWidth="1"/>
    <col min="15" max="17" width="10.77734375" style="1" customWidth="1"/>
    <col min="18" max="18" width="5.33203125" customWidth="1"/>
  </cols>
  <sheetData>
    <row r="1" spans="1:21" ht="16.8">
      <c r="A1" s="63" t="str">
        <f>[1]!wwsSetup("useHTTPS", TRUE)</f>
        <v>useHTTPS = "True"</v>
      </c>
      <c r="D1" s="17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R1" s="5"/>
      <c r="U1" t="s">
        <v>95</v>
      </c>
    </row>
    <row r="2" spans="1:21" s="28" customFormat="1" ht="15.6" customHeight="1">
      <c r="A2" s="24"/>
      <c r="B2" s="25"/>
      <c r="C2" s="25"/>
      <c r="D2" s="25"/>
      <c r="E2" s="26" t="s">
        <v>71</v>
      </c>
      <c r="F2" s="66"/>
      <c r="G2" s="66"/>
      <c r="H2" s="66"/>
      <c r="I2" s="27" t="s">
        <v>72</v>
      </c>
      <c r="J2" s="66"/>
      <c r="K2" s="66"/>
      <c r="L2" s="66"/>
      <c r="M2" s="40"/>
      <c r="N2" s="70" t="s">
        <v>89</v>
      </c>
      <c r="O2" s="70"/>
      <c r="P2" s="41" t="s">
        <v>88</v>
      </c>
      <c r="Q2" s="27"/>
      <c r="U2" s="28" t="s">
        <v>96</v>
      </c>
    </row>
    <row r="3" spans="1:21">
      <c r="E3" s="6"/>
      <c r="F3"/>
      <c r="U3" t="str">
        <f>[1]!wwsSetup("metatags", "NAME OF AUDIO FILE.txt")</f>
        <v>metatags = "NAME OF AUDIO FILE.txt"</v>
      </c>
    </row>
    <row r="4" spans="1:21" ht="52.2" customHeight="1">
      <c r="E4" s="64" t="s">
        <v>77</v>
      </c>
      <c r="F4"/>
      <c r="G4" s="68" t="s">
        <v>73</v>
      </c>
      <c r="H4" s="68"/>
      <c r="I4" s="68"/>
      <c r="K4" s="11"/>
      <c r="O4" s="68" t="s">
        <v>74</v>
      </c>
      <c r="P4" s="68"/>
      <c r="Q4" s="68"/>
    </row>
    <row r="5" spans="1:21" ht="25.2" customHeight="1">
      <c r="E5" s="64"/>
      <c r="N5" s="69" t="s">
        <v>76</v>
      </c>
      <c r="O5" s="69"/>
      <c r="P5" s="65" t="str">
        <f>[1]!wwsInput()</f>
        <v/>
      </c>
      <c r="Q5" s="65"/>
      <c r="R5" s="65"/>
      <c r="S5" s="65"/>
    </row>
    <row r="6" spans="1:21">
      <c r="E6" s="51" t="s">
        <v>69</v>
      </c>
      <c r="G6" s="67" t="s">
        <v>70</v>
      </c>
      <c r="H6" s="67"/>
      <c r="I6" s="67"/>
      <c r="O6" s="67" t="s">
        <v>70</v>
      </c>
      <c r="P6" s="67"/>
      <c r="Q6" s="67"/>
      <c r="S6" s="19"/>
      <c r="T6" s="19"/>
      <c r="U6" s="19"/>
    </row>
    <row r="7" spans="1:21" s="10" customFormat="1" ht="25.05" customHeight="1">
      <c r="A7" s="14" t="str">
        <f>IF(OR(G7&lt;&gt;"",H7&lt;&gt;"",I7&lt;&gt;""),"clikt","")</f>
        <v>clikt</v>
      </c>
      <c r="B7" s="18" t="s">
        <v>46</v>
      </c>
      <c r="C7" s="18" t="s">
        <v>55</v>
      </c>
      <c r="D7" s="18" t="s">
        <v>54</v>
      </c>
      <c r="E7" s="52" t="s">
        <v>54</v>
      </c>
      <c r="F7" s="9">
        <v>1</v>
      </c>
      <c r="G7" s="15" t="str">
        <f>[1]!wwsCheckbox($B7,7,FALSE)</f>
        <v>bot</v>
      </c>
      <c r="H7" s="15" t="str">
        <f>[1]!wwsCheckbox($C7,7,FALSE)</f>
        <v>nod</v>
      </c>
      <c r="I7" s="15" t="str">
        <f>[1]!wwsCheckbox($D7,7,FALSE)</f>
        <v>mob</v>
      </c>
      <c r="J7" s="10" t="str">
        <f>IF(OR(E7=G7,E7=H7,E7=I7),"GOOD","")</f>
        <v>GOOD</v>
      </c>
      <c r="L7" s="14"/>
      <c r="N7" s="9">
        <v>1</v>
      </c>
      <c r="O7" s="15" t="str">
        <f>[1]!wwsCheckbox($C7,107,FALSE)</f>
        <v>nod</v>
      </c>
      <c r="P7" s="15" t="str">
        <f>[1]!wwsCheckbox($D7,107,FALSE)</f>
        <v>mob</v>
      </c>
      <c r="Q7" s="15" t="str">
        <f>[1]!wwsCheckbox($B7,107,FALSE)</f>
        <v>bot</v>
      </c>
      <c r="R7" s="14">
        <f>IF(OR(E7=O7,E7=P7,E7=Q7),1,0)</f>
        <v>1</v>
      </c>
      <c r="S7" s="20"/>
      <c r="T7" s="21"/>
      <c r="U7" s="20"/>
    </row>
    <row r="8" spans="1:21" s="10" customFormat="1" ht="25.05" customHeight="1">
      <c r="A8" s="14" t="str">
        <f>IF(OR(G8&lt;&gt;"",H8&lt;&gt;"",I8&lt;&gt;""),"clikt","")</f>
        <v>clikt</v>
      </c>
      <c r="B8" s="18" t="s">
        <v>24</v>
      </c>
      <c r="C8" s="18" t="s">
        <v>23</v>
      </c>
      <c r="D8" s="18" t="s">
        <v>22</v>
      </c>
      <c r="E8" s="52" t="s">
        <v>23</v>
      </c>
      <c r="F8" s="9">
        <f>1+F7</f>
        <v>2</v>
      </c>
      <c r="G8" s="15" t="str">
        <f>[1]!wwsCheckbox($B8,8,FALSE)</f>
        <v>bet</v>
      </c>
      <c r="H8" s="15" t="str">
        <f>[1]!wwsCheckbox($C8,8,FALSE)</f>
        <v>ten</v>
      </c>
      <c r="I8" s="15" t="str">
        <f>[1]!wwsCheckbox($D8,8,FALSE)</f>
        <v>pen</v>
      </c>
      <c r="J8" s="10" t="str">
        <f>IF(OR(E8=G8,E8=H8,E8=I8),"GOOD","")</f>
        <v>GOOD</v>
      </c>
      <c r="N8" s="9">
        <f>1+N7</f>
        <v>2</v>
      </c>
      <c r="O8" s="15" t="str">
        <f>[1]!wwsCheckbox($C8,108,FALSE)</f>
        <v>ten</v>
      </c>
      <c r="P8" s="15" t="str">
        <f>[1]!wwsCheckbox($D8,108,FALSE)</f>
        <v>pen</v>
      </c>
      <c r="Q8" s="15" t="str">
        <f>[1]!wwsCheckbox($B8,108,FALSE)</f>
        <v>bet</v>
      </c>
      <c r="R8" s="14">
        <f t="shared" ref="R8:R31" si="0">IF(OR(E8=O8,E8=P8,E8=Q8),1,0)</f>
        <v>1</v>
      </c>
      <c r="S8" s="20"/>
      <c r="T8" s="20"/>
      <c r="U8" s="22"/>
    </row>
    <row r="9" spans="1:21" s="10" customFormat="1" ht="25.05" customHeight="1">
      <c r="A9" s="14" t="str">
        <f t="shared" ref="A9:A31" si="1">IF(OR(G9&lt;&gt;"",H9&lt;&gt;"",I9&lt;&gt;""),"clikt","")</f>
        <v>clikt</v>
      </c>
      <c r="B9" s="18" t="s">
        <v>5</v>
      </c>
      <c r="C9" s="18" t="s">
        <v>4</v>
      </c>
      <c r="D9" s="18" t="s">
        <v>3</v>
      </c>
      <c r="E9" s="52" t="s">
        <v>4</v>
      </c>
      <c r="F9" s="9">
        <f t="shared" ref="F9:F31" si="2">1+F8</f>
        <v>3</v>
      </c>
      <c r="G9" s="15" t="str">
        <f>[1]!wwsCheckbox($B9,9,FALSE)</f>
        <v>dam</v>
      </c>
      <c r="H9" s="15" t="str">
        <f>[1]!wwsCheckbox($C9,9,FALSE)</f>
        <v>mad</v>
      </c>
      <c r="I9" s="15" t="str">
        <f>[1]!wwsCheckbox($D9,9,FALSE)</f>
        <v>bam</v>
      </c>
      <c r="J9" s="10" t="str">
        <f t="shared" ref="J9:J31" si="3">IF(OR(E9=G9,E9=H9,E9=I9),"GOOD","")</f>
        <v>GOOD</v>
      </c>
      <c r="N9" s="9">
        <f t="shared" ref="N9:N31" si="4">1+N8</f>
        <v>3</v>
      </c>
      <c r="O9" s="15" t="str">
        <f>[1]!wwsCheckbox($C9,109,FALSE)</f>
        <v>mad</v>
      </c>
      <c r="P9" s="15" t="str">
        <f>[1]!wwsCheckbox($D9,109,FALSE)</f>
        <v>bam</v>
      </c>
      <c r="Q9" s="15" t="str">
        <f>[1]!wwsCheckbox($B9,109,FALSE)</f>
        <v>dam</v>
      </c>
      <c r="R9" s="14">
        <f t="shared" si="0"/>
        <v>1</v>
      </c>
      <c r="S9" s="23"/>
      <c r="T9" s="23"/>
      <c r="U9" s="23"/>
    </row>
    <row r="10" spans="1:21" s="10" customFormat="1" ht="25.05" customHeight="1">
      <c r="A10" s="14" t="str">
        <f t="shared" si="1"/>
        <v>clikt</v>
      </c>
      <c r="B10" s="18" t="s">
        <v>64</v>
      </c>
      <c r="C10" s="18" t="s">
        <v>63</v>
      </c>
      <c r="D10" s="18" t="s">
        <v>62</v>
      </c>
      <c r="E10" s="52" t="s">
        <v>62</v>
      </c>
      <c r="F10" s="9">
        <f t="shared" si="2"/>
        <v>4</v>
      </c>
      <c r="G10" s="15" t="str">
        <f>[1]!wwsCheckbox($B10,10,FALSE)</f>
        <v>but</v>
      </c>
      <c r="H10" s="15" t="str">
        <f>[1]!wwsCheckbox($C10,10,FALSE)</f>
        <v>dub</v>
      </c>
      <c r="I10" s="15" t="str">
        <f>[1]!wwsCheckbox($D10,10,FALSE)</f>
        <v>nub</v>
      </c>
      <c r="J10" s="10" t="str">
        <f t="shared" si="3"/>
        <v>GOOD</v>
      </c>
      <c r="N10" s="9">
        <f t="shared" si="4"/>
        <v>4</v>
      </c>
      <c r="O10" s="15" t="str">
        <f>[1]!wwsCheckbox($C10,1010,FALSE)</f>
        <v>dub</v>
      </c>
      <c r="P10" s="15" t="str">
        <f>[1]!wwsCheckbox($D10,1010,FALSE)</f>
        <v>nub</v>
      </c>
      <c r="Q10" s="15" t="str">
        <f>[1]!wwsCheckbox($B10,1010,FALSE)</f>
        <v>but</v>
      </c>
      <c r="R10" s="14">
        <f t="shared" si="0"/>
        <v>1</v>
      </c>
      <c r="S10" s="23"/>
      <c r="T10" s="23"/>
      <c r="U10" s="23"/>
    </row>
    <row r="11" spans="1:21" s="10" customFormat="1" ht="25.05" customHeight="1">
      <c r="A11" s="14" t="str">
        <f t="shared" si="1"/>
        <v>clikt</v>
      </c>
      <c r="B11" s="18" t="s">
        <v>33</v>
      </c>
      <c r="C11" s="18" t="s">
        <v>32</v>
      </c>
      <c r="D11" s="18" t="s">
        <v>31</v>
      </c>
      <c r="E11" s="52" t="s">
        <v>31</v>
      </c>
      <c r="F11" s="9">
        <f t="shared" si="2"/>
        <v>5</v>
      </c>
      <c r="G11" s="15" t="str">
        <f>[1]!wwsCheckbox($B11,11,FALSE)</f>
        <v>dip</v>
      </c>
      <c r="H11" s="15" t="str">
        <f>[1]!wwsCheckbox($C11,11,FALSE)</f>
        <v>bin</v>
      </c>
      <c r="I11" s="15" t="str">
        <f>[1]!wwsCheckbox($D11,11,FALSE)</f>
        <v>tip</v>
      </c>
      <c r="J11" s="10" t="str">
        <f t="shared" si="3"/>
        <v>GOOD</v>
      </c>
      <c r="N11" s="9">
        <f t="shared" si="4"/>
        <v>5</v>
      </c>
      <c r="O11" s="15" t="str">
        <f>[1]!wwsCheckbox($C11,111,FALSE)</f>
        <v>bin</v>
      </c>
      <c r="P11" s="15" t="str">
        <f>[1]!wwsCheckbox($D11,111,FALSE)</f>
        <v>tip</v>
      </c>
      <c r="Q11" s="15" t="str">
        <f>[1]!wwsCheckbox($B11,111,FALSE)</f>
        <v>dip</v>
      </c>
      <c r="R11" s="14">
        <f t="shared" si="0"/>
        <v>1</v>
      </c>
    </row>
    <row r="12" spans="1:21" s="10" customFormat="1" ht="25.05" customHeight="1">
      <c r="A12" s="14" t="str">
        <f t="shared" si="1"/>
        <v>clikt</v>
      </c>
      <c r="B12" s="18" t="s">
        <v>10</v>
      </c>
      <c r="C12" s="18" t="s">
        <v>9</v>
      </c>
      <c r="D12" s="18" t="s">
        <v>8</v>
      </c>
      <c r="E12" s="52" t="s">
        <v>10</v>
      </c>
      <c r="F12" s="9">
        <f t="shared" si="2"/>
        <v>6</v>
      </c>
      <c r="G12" s="15" t="str">
        <f>[1]!wwsCheckbox($B12,12,FALSE)</f>
        <v>map</v>
      </c>
      <c r="H12" s="15" t="str">
        <f>[1]!wwsCheckbox($C12,12,FALSE)</f>
        <v>tan</v>
      </c>
      <c r="I12" s="15" t="str">
        <f>[1]!wwsCheckbox($D12,12,FALSE)</f>
        <v>bad</v>
      </c>
      <c r="J12" s="10" t="str">
        <f t="shared" si="3"/>
        <v>GOOD</v>
      </c>
      <c r="N12" s="9">
        <f t="shared" si="4"/>
        <v>6</v>
      </c>
      <c r="O12" s="15" t="str">
        <f>[1]!wwsCheckbox($C12,112,FALSE)</f>
        <v>tan</v>
      </c>
      <c r="P12" s="15" t="str">
        <f>[1]!wwsCheckbox($D12,112,FALSE)</f>
        <v>bad</v>
      </c>
      <c r="Q12" s="15" t="str">
        <f>[1]!wwsCheckbox($B12,112,FALSE)</f>
        <v>map</v>
      </c>
      <c r="R12" s="14">
        <f t="shared" si="0"/>
        <v>1</v>
      </c>
    </row>
    <row r="13" spans="1:21" s="10" customFormat="1" ht="25.05" customHeight="1">
      <c r="A13" s="14" t="str">
        <f t="shared" si="1"/>
        <v>clikt</v>
      </c>
      <c r="B13" s="18" t="s">
        <v>53</v>
      </c>
      <c r="C13" s="18" t="s">
        <v>52</v>
      </c>
      <c r="D13" s="18" t="s">
        <v>51</v>
      </c>
      <c r="E13" s="52" t="s">
        <v>51</v>
      </c>
      <c r="F13" s="9">
        <f t="shared" si="2"/>
        <v>7</v>
      </c>
      <c r="G13" s="15" t="str">
        <f>[1]!wwsCheckbox($B13,13,FALSE)</f>
        <v>not</v>
      </c>
      <c r="H13" s="15" t="str">
        <f>[1]!wwsCheckbox($C13,13,FALSE)</f>
        <v>pod</v>
      </c>
      <c r="I13" s="15" t="str">
        <f>[1]!wwsCheckbox($D13,13,FALSE)</f>
        <v>tot</v>
      </c>
      <c r="J13" s="10" t="str">
        <f t="shared" si="3"/>
        <v>GOOD</v>
      </c>
      <c r="N13" s="9">
        <f t="shared" si="4"/>
        <v>7</v>
      </c>
      <c r="O13" s="15" t="str">
        <f>[1]!wwsCheckbox($C13,113,FALSE)</f>
        <v>pod</v>
      </c>
      <c r="P13" s="15" t="str">
        <f>[1]!wwsCheckbox($D13,113,FALSE)</f>
        <v>tot</v>
      </c>
      <c r="Q13" s="15" t="str">
        <f>[1]!wwsCheckbox($B13,113,FALSE)</f>
        <v>not</v>
      </c>
      <c r="R13" s="14">
        <f t="shared" si="0"/>
        <v>1</v>
      </c>
    </row>
    <row r="14" spans="1:21" s="10" customFormat="1" ht="25.05" customHeight="1">
      <c r="A14" s="14" t="str">
        <f t="shared" si="1"/>
        <v>clikt</v>
      </c>
      <c r="B14" s="18" t="s">
        <v>21</v>
      </c>
      <c r="C14" s="18" t="s">
        <v>20</v>
      </c>
      <c r="D14" s="18" t="s">
        <v>19</v>
      </c>
      <c r="E14" s="52" t="s">
        <v>19</v>
      </c>
      <c r="F14" s="9">
        <f t="shared" si="2"/>
        <v>8</v>
      </c>
      <c r="G14" s="15" t="str">
        <f>[1]!wwsCheckbox($B14,14,FALSE)</f>
        <v>men</v>
      </c>
      <c r="H14" s="15" t="str">
        <f>[1]!wwsCheckbox($C14,14,FALSE)</f>
        <v>den</v>
      </c>
      <c r="I14" s="15" t="str">
        <f>[1]!wwsCheckbox($D14,14,FALSE)</f>
        <v>bed</v>
      </c>
      <c r="J14" s="10" t="str">
        <f t="shared" si="3"/>
        <v>GOOD</v>
      </c>
      <c r="N14" s="9">
        <f t="shared" si="4"/>
        <v>8</v>
      </c>
      <c r="O14" s="15" t="str">
        <f>[1]!wwsCheckbox($C14,114,FALSE)</f>
        <v>den</v>
      </c>
      <c r="P14" s="15" t="str">
        <f>[1]!wwsCheckbox($D14,114,FALSE)</f>
        <v>bed</v>
      </c>
      <c r="Q14" s="15" t="str">
        <f>[1]!wwsCheckbox($B14,114,FALSE)</f>
        <v>men</v>
      </c>
      <c r="R14" s="14">
        <f t="shared" si="0"/>
        <v>1</v>
      </c>
    </row>
    <row r="15" spans="1:21" s="10" customFormat="1" ht="25.05" customHeight="1">
      <c r="A15" s="14" t="str">
        <f t="shared" si="1"/>
        <v>clikt</v>
      </c>
      <c r="B15" s="18" t="s">
        <v>61</v>
      </c>
      <c r="C15" s="18" t="s">
        <v>57</v>
      </c>
      <c r="D15" s="18" t="s">
        <v>68</v>
      </c>
      <c r="E15" s="52" t="s">
        <v>68</v>
      </c>
      <c r="F15" s="9">
        <f t="shared" si="2"/>
        <v>9</v>
      </c>
      <c r="G15" s="15" t="str">
        <f>[1]!wwsCheckbox($B15,15,FALSE)</f>
        <v>pub</v>
      </c>
      <c r="H15" s="15" t="str">
        <f>[1]!wwsCheckbox($C15,15,FALSE)</f>
        <v>bum</v>
      </c>
      <c r="I15" s="15" t="str">
        <f>[1]!wwsCheckbox($D15,15,FALSE)</f>
        <v>nut</v>
      </c>
      <c r="J15" s="10" t="str">
        <f t="shared" si="3"/>
        <v>GOOD</v>
      </c>
      <c r="N15" s="9">
        <f t="shared" si="4"/>
        <v>9</v>
      </c>
      <c r="O15" s="15" t="str">
        <f>[1]!wwsCheckbox($C15,115,FALSE)</f>
        <v>bum</v>
      </c>
      <c r="P15" s="15" t="str">
        <f>[1]!wwsCheckbox($D15,115,FALSE)</f>
        <v>nut</v>
      </c>
      <c r="Q15" s="15" t="str">
        <f>[1]!wwsCheckbox($B15,115,FALSE)</f>
        <v>pub</v>
      </c>
      <c r="R15" s="14">
        <f t="shared" si="0"/>
        <v>1</v>
      </c>
    </row>
    <row r="16" spans="1:21" s="10" customFormat="1" ht="25.05" customHeight="1">
      <c r="A16" s="14" t="str">
        <f t="shared" si="1"/>
        <v>clikt</v>
      </c>
      <c r="B16" s="18" t="s">
        <v>47</v>
      </c>
      <c r="C16" s="18" t="s">
        <v>46</v>
      </c>
      <c r="D16" s="18" t="s">
        <v>45</v>
      </c>
      <c r="E16" s="52" t="s">
        <v>45</v>
      </c>
      <c r="F16" s="9">
        <f t="shared" si="2"/>
        <v>10</v>
      </c>
      <c r="G16" s="15" t="str">
        <f>[1]!wwsCheckbox($B16,16,FALSE)</f>
        <v>top</v>
      </c>
      <c r="H16" s="15" t="str">
        <f>[1]!wwsCheckbox($C16,16,FALSE)</f>
        <v>bot</v>
      </c>
      <c r="I16" s="15" t="str">
        <f>[1]!wwsCheckbox($D16,16,FALSE)</f>
        <v>pop</v>
      </c>
      <c r="J16" s="10" t="str">
        <f t="shared" si="3"/>
        <v>GOOD</v>
      </c>
      <c r="N16" s="9">
        <f t="shared" si="4"/>
        <v>10</v>
      </c>
      <c r="O16" s="15" t="str">
        <f>[1]!wwsCheckbox($C16,116,FALSE)</f>
        <v>bot</v>
      </c>
      <c r="P16" s="15" t="str">
        <f>[1]!wwsCheckbox($D16,116,FALSE)</f>
        <v>pop</v>
      </c>
      <c r="Q16" s="15" t="str">
        <f>[1]!wwsCheckbox($B16,116,FALSE)</f>
        <v>top</v>
      </c>
      <c r="R16" s="14">
        <f t="shared" si="0"/>
        <v>1</v>
      </c>
    </row>
    <row r="17" spans="1:18" s="10" customFormat="1" ht="25.05" customHeight="1">
      <c r="A17" s="14" t="str">
        <f t="shared" si="1"/>
        <v>clikt</v>
      </c>
      <c r="B17" s="18" t="s">
        <v>44</v>
      </c>
      <c r="C17" s="18" t="s">
        <v>43</v>
      </c>
      <c r="D17" s="18" t="s">
        <v>42</v>
      </c>
      <c r="E17" s="52" t="s">
        <v>44</v>
      </c>
      <c r="F17" s="9">
        <f t="shared" si="2"/>
        <v>11</v>
      </c>
      <c r="G17" s="15" t="str">
        <f>[1]!wwsCheckbox($B17,17,FALSE)</f>
        <v>bob</v>
      </c>
      <c r="H17" s="15" t="str">
        <f>[1]!wwsCheckbox($C17,17,FALSE)</f>
        <v>mop</v>
      </c>
      <c r="I17" s="15" t="str">
        <f>[1]!wwsCheckbox($D17,17,FALSE)</f>
        <v>mom</v>
      </c>
      <c r="J17" s="10" t="str">
        <f t="shared" si="3"/>
        <v>GOOD</v>
      </c>
      <c r="N17" s="9">
        <f t="shared" si="4"/>
        <v>11</v>
      </c>
      <c r="O17" s="15" t="str">
        <f>[1]!wwsCheckbox($C17,117,FALSE)</f>
        <v>mop</v>
      </c>
      <c r="P17" s="15" t="str">
        <f>[1]!wwsCheckbox($D17,117,FALSE)</f>
        <v>mom</v>
      </c>
      <c r="Q17" s="15" t="str">
        <f>[1]!wwsCheckbox($B17,117,FALSE)</f>
        <v>bob</v>
      </c>
      <c r="R17" s="14">
        <f t="shared" si="0"/>
        <v>1</v>
      </c>
    </row>
    <row r="18" spans="1:18" s="10" customFormat="1" ht="25.05" customHeight="1">
      <c r="A18" s="14" t="str">
        <f t="shared" si="1"/>
        <v>clikt</v>
      </c>
      <c r="B18" s="18" t="s">
        <v>50</v>
      </c>
      <c r="C18" s="18" t="s">
        <v>49</v>
      </c>
      <c r="D18" s="18" t="s">
        <v>48</v>
      </c>
      <c r="E18" s="52" t="s">
        <v>48</v>
      </c>
      <c r="F18" s="9">
        <f t="shared" si="2"/>
        <v>12</v>
      </c>
      <c r="G18" s="15" t="str">
        <f>[1]!wwsCheckbox($B18,18,FALSE)</f>
        <v>pot</v>
      </c>
      <c r="H18" s="15" t="str">
        <f>[1]!wwsCheckbox($C18,18,FALSE)</f>
        <v>dot</v>
      </c>
      <c r="I18" s="15" t="str">
        <f>[1]!wwsCheckbox($D18,18,FALSE)</f>
        <v>bop</v>
      </c>
      <c r="J18" s="10" t="str">
        <f t="shared" si="3"/>
        <v>GOOD</v>
      </c>
      <c r="N18" s="9">
        <f t="shared" si="4"/>
        <v>12</v>
      </c>
      <c r="O18" s="15" t="str">
        <f>[1]!wwsCheckbox($C18,118,FALSE)</f>
        <v>dot</v>
      </c>
      <c r="P18" s="15" t="str">
        <f>[1]!wwsCheckbox($D18,118,FALSE)</f>
        <v>bop</v>
      </c>
      <c r="Q18" s="15" t="str">
        <f>[1]!wwsCheckbox($B18,118,FALSE)</f>
        <v>pot</v>
      </c>
      <c r="R18" s="14">
        <f t="shared" si="0"/>
        <v>1</v>
      </c>
    </row>
    <row r="19" spans="1:18" s="10" customFormat="1" ht="25.05" customHeight="1">
      <c r="A19" s="14" t="str">
        <f t="shared" si="1"/>
        <v>clikt</v>
      </c>
      <c r="B19" s="18" t="s">
        <v>15</v>
      </c>
      <c r="C19" s="18" t="s">
        <v>14</v>
      </c>
      <c r="D19" s="18" t="s">
        <v>0</v>
      </c>
      <c r="E19" s="52" t="s">
        <v>15</v>
      </c>
      <c r="F19" s="9">
        <f t="shared" si="2"/>
        <v>13</v>
      </c>
      <c r="G19" s="15" t="str">
        <f>[1]!wwsCheckbox($B19,19,FALSE)</f>
        <v>mat</v>
      </c>
      <c r="H19" s="15" t="str">
        <f>[1]!wwsCheckbox($C19,19,FALSE)</f>
        <v>nab</v>
      </c>
      <c r="I19" s="15" t="str">
        <f>[1]!wwsCheckbox($D19,19,FALSE)</f>
        <v>bat</v>
      </c>
      <c r="J19" s="10" t="str">
        <f t="shared" si="3"/>
        <v>GOOD</v>
      </c>
      <c r="N19" s="9">
        <f t="shared" si="4"/>
        <v>13</v>
      </c>
      <c r="O19" s="15" t="str">
        <f>[1]!wwsCheckbox($C19,119,FALSE)</f>
        <v>nab</v>
      </c>
      <c r="P19" s="15" t="str">
        <f>[1]!wwsCheckbox($D19,119,FALSE)</f>
        <v>bat</v>
      </c>
      <c r="Q19" s="15" t="str">
        <f>[1]!wwsCheckbox($B19,119,FALSE)</f>
        <v>mat</v>
      </c>
      <c r="R19" s="14">
        <f t="shared" si="0"/>
        <v>1</v>
      </c>
    </row>
    <row r="20" spans="1:18" s="10" customFormat="1" ht="25.05" customHeight="1">
      <c r="A20" s="14" t="str">
        <f t="shared" si="1"/>
        <v>clikt</v>
      </c>
      <c r="B20" s="18" t="s">
        <v>2</v>
      </c>
      <c r="C20" s="18" t="s">
        <v>1</v>
      </c>
      <c r="D20" s="18" t="s">
        <v>0</v>
      </c>
      <c r="E20" s="52" t="s">
        <v>0</v>
      </c>
      <c r="F20" s="9">
        <f t="shared" si="2"/>
        <v>14</v>
      </c>
      <c r="G20" s="15" t="str">
        <f>[1]!wwsCheckbox($B20,20,FALSE)</f>
        <v>tap</v>
      </c>
      <c r="H20" s="15" t="str">
        <f>[1]!wwsCheckbox($C20,20,FALSE)</f>
        <v>nap</v>
      </c>
      <c r="I20" s="15" t="str">
        <f>[1]!wwsCheckbox($D20,20,FALSE)</f>
        <v>bat</v>
      </c>
      <c r="J20" s="10" t="str">
        <f t="shared" si="3"/>
        <v>GOOD</v>
      </c>
      <c r="N20" s="9">
        <f t="shared" si="4"/>
        <v>14</v>
      </c>
      <c r="O20" s="15" t="str">
        <f>[1]!wwsCheckbox($C20,120,FALSE)</f>
        <v>nap</v>
      </c>
      <c r="P20" s="15" t="str">
        <f>[1]!wwsCheckbox($D20,120,FALSE)</f>
        <v>bat</v>
      </c>
      <c r="Q20" s="15" t="str">
        <f>[1]!wwsCheckbox($B20,120,FALSE)</f>
        <v>tap</v>
      </c>
      <c r="R20" s="14">
        <f t="shared" si="0"/>
        <v>1</v>
      </c>
    </row>
    <row r="21" spans="1:18" s="10" customFormat="1" ht="25.05" customHeight="1">
      <c r="A21" s="14" t="str">
        <f t="shared" si="1"/>
        <v>clikt</v>
      </c>
      <c r="B21" s="18" t="s">
        <v>58</v>
      </c>
      <c r="C21" s="18" t="s">
        <v>57</v>
      </c>
      <c r="D21" s="18" t="s">
        <v>56</v>
      </c>
      <c r="E21" s="52" t="s">
        <v>58</v>
      </c>
      <c r="F21" s="9">
        <f t="shared" si="2"/>
        <v>15</v>
      </c>
      <c r="G21" s="15" t="str">
        <f>[1]!wwsCheckbox($B21,21,FALSE)</f>
        <v>bud</v>
      </c>
      <c r="H21" s="15" t="str">
        <f>[1]!wwsCheckbox($C21,21,FALSE)</f>
        <v>bum</v>
      </c>
      <c r="I21" s="15" t="str">
        <f>[1]!wwsCheckbox($D21,21,FALSE)</f>
        <v>mud</v>
      </c>
      <c r="J21" s="10" t="str">
        <f t="shared" si="3"/>
        <v>GOOD</v>
      </c>
      <c r="N21" s="9">
        <f t="shared" si="4"/>
        <v>15</v>
      </c>
      <c r="O21" s="15" t="str">
        <f>[1]!wwsCheckbox($C21,121,FALSE)</f>
        <v>bum</v>
      </c>
      <c r="P21" s="15" t="str">
        <f>[1]!wwsCheckbox($D21,121,FALSE)</f>
        <v>mud</v>
      </c>
      <c r="Q21" s="15" t="str">
        <f>[1]!wwsCheckbox($B21,121,FALSE)</f>
        <v>bud</v>
      </c>
      <c r="R21" s="14">
        <f t="shared" si="0"/>
        <v>1</v>
      </c>
    </row>
    <row r="22" spans="1:18" s="10" customFormat="1" ht="25.05" customHeight="1">
      <c r="A22" s="14" t="str">
        <f t="shared" si="1"/>
        <v>clikt</v>
      </c>
      <c r="B22" s="18" t="s">
        <v>34</v>
      </c>
      <c r="C22" s="18" t="s">
        <v>36</v>
      </c>
      <c r="D22" s="18" t="s">
        <v>35</v>
      </c>
      <c r="E22" s="52" t="s">
        <v>36</v>
      </c>
      <c r="F22" s="9">
        <f t="shared" si="2"/>
        <v>16</v>
      </c>
      <c r="G22" s="15" t="str">
        <f>[1]!wwsCheckbox($B22,22,FALSE)</f>
        <v>bib</v>
      </c>
      <c r="H22" s="15" t="str">
        <f>[1]!wwsCheckbox($C22,22,FALSE)</f>
        <v>pit</v>
      </c>
      <c r="I22" s="15" t="str">
        <f>[1]!wwsCheckbox($D22,22,FALSE)</f>
        <v>dim</v>
      </c>
      <c r="J22" s="10" t="str">
        <f t="shared" si="3"/>
        <v>GOOD</v>
      </c>
      <c r="N22" s="9">
        <f t="shared" si="4"/>
        <v>16</v>
      </c>
      <c r="O22" s="15" t="str">
        <f>[1]!wwsCheckbox($C22,122,FALSE)</f>
        <v>pit</v>
      </c>
      <c r="P22" s="15" t="str">
        <f>[1]!wwsCheckbox($D22,122,FALSE)</f>
        <v>dim</v>
      </c>
      <c r="Q22" s="15" t="str">
        <f>[1]!wwsCheckbox($B22,122,FALSE)</f>
        <v>bib</v>
      </c>
      <c r="R22" s="14">
        <f t="shared" si="0"/>
        <v>1</v>
      </c>
    </row>
    <row r="23" spans="1:18" s="10" customFormat="1" ht="25.05" customHeight="1">
      <c r="A23" s="14" t="str">
        <f t="shared" si="1"/>
        <v>clikt</v>
      </c>
      <c r="B23" s="18" t="s">
        <v>40</v>
      </c>
      <c r="C23" s="18" t="s">
        <v>32</v>
      </c>
      <c r="D23" s="18" t="s">
        <v>41</v>
      </c>
      <c r="E23" s="52" t="s">
        <v>32</v>
      </c>
      <c r="F23" s="9">
        <f t="shared" si="2"/>
        <v>17</v>
      </c>
      <c r="G23" s="15" t="str">
        <f>[1]!wwsCheckbox($B23,23,FALSE)</f>
        <v>nip</v>
      </c>
      <c r="H23" s="15" t="str">
        <f>[1]!wwsCheckbox($C23,23,FALSE)</f>
        <v>bin</v>
      </c>
      <c r="I23" s="15" t="str">
        <f>[1]!wwsCheckbox($D23,23,FALSE)</f>
        <v>pin</v>
      </c>
      <c r="J23" s="10" t="str">
        <f t="shared" si="3"/>
        <v>GOOD</v>
      </c>
      <c r="N23" s="9">
        <f t="shared" si="4"/>
        <v>17</v>
      </c>
      <c r="O23" s="15" t="str">
        <f>[1]!wwsCheckbox($C23,123,FALSE)</f>
        <v>bin</v>
      </c>
      <c r="P23" s="15" t="str">
        <f>[1]!wwsCheckbox($D23,123,FALSE)</f>
        <v>pin</v>
      </c>
      <c r="Q23" s="15" t="str">
        <f>[1]!wwsCheckbox($B23,123,FALSE)</f>
        <v>nip</v>
      </c>
      <c r="R23" s="14">
        <f t="shared" si="0"/>
        <v>1</v>
      </c>
    </row>
    <row r="24" spans="1:18" s="10" customFormat="1" ht="25.05" customHeight="1">
      <c r="A24" s="14" t="str">
        <f t="shared" si="1"/>
        <v>clikt</v>
      </c>
      <c r="B24" s="18" t="s">
        <v>65</v>
      </c>
      <c r="C24" s="18" t="s">
        <v>67</v>
      </c>
      <c r="D24" s="18" t="s">
        <v>66</v>
      </c>
      <c r="E24" s="52" t="s">
        <v>66</v>
      </c>
      <c r="F24" s="9">
        <f t="shared" si="2"/>
        <v>18</v>
      </c>
      <c r="G24" s="15" t="str">
        <f>[1]!wwsCheckbox($B24,24,FALSE)</f>
        <v>pun</v>
      </c>
      <c r="H24" s="15" t="str">
        <f>[1]!wwsCheckbox($C24,24,FALSE)</f>
        <v>bub</v>
      </c>
      <c r="I24" s="15" t="str">
        <f>[1]!wwsCheckbox($D24,24,FALSE)</f>
        <v>nun</v>
      </c>
      <c r="J24" s="10" t="str">
        <f t="shared" si="3"/>
        <v>GOOD</v>
      </c>
      <c r="N24" s="9">
        <f t="shared" si="4"/>
        <v>18</v>
      </c>
      <c r="O24" s="15" t="str">
        <f>[1]!wwsCheckbox($C24,124,FALSE)</f>
        <v>bub</v>
      </c>
      <c r="P24" s="15" t="str">
        <f>[1]!wwsCheckbox($D24,124,FALSE)</f>
        <v>nun</v>
      </c>
      <c r="Q24" s="15" t="str">
        <f>[1]!wwsCheckbox($B24,124,FALSE)</f>
        <v>pun</v>
      </c>
      <c r="R24" s="14">
        <f t="shared" si="0"/>
        <v>1</v>
      </c>
    </row>
    <row r="25" spans="1:18" s="10" customFormat="1" ht="25.05" customHeight="1">
      <c r="A25" s="14" t="str">
        <f t="shared" si="1"/>
        <v>clikt</v>
      </c>
      <c r="B25" s="18" t="s">
        <v>59</v>
      </c>
      <c r="C25" s="18" t="s">
        <v>61</v>
      </c>
      <c r="D25" s="18" t="s">
        <v>60</v>
      </c>
      <c r="E25" s="52" t="s">
        <v>59</v>
      </c>
      <c r="F25" s="9">
        <f t="shared" si="2"/>
        <v>19</v>
      </c>
      <c r="G25" s="15" t="str">
        <f>[1]!wwsCheckbox($B25,25,FALSE)</f>
        <v>bun</v>
      </c>
      <c r="H25" s="15" t="str">
        <f>[1]!wwsCheckbox($C25,25,FALSE)</f>
        <v>pub</v>
      </c>
      <c r="I25" s="15" t="str">
        <f>[1]!wwsCheckbox($D25,25,FALSE)</f>
        <v>tub</v>
      </c>
      <c r="J25" s="10" t="str">
        <f t="shared" si="3"/>
        <v>GOOD</v>
      </c>
      <c r="N25" s="9">
        <f t="shared" si="4"/>
        <v>19</v>
      </c>
      <c r="O25" s="15" t="str">
        <f>[1]!wwsCheckbox($C25,125,FALSE)</f>
        <v>pub</v>
      </c>
      <c r="P25" s="15" t="str">
        <f>[1]!wwsCheckbox($D25,125,FALSE)</f>
        <v>tub</v>
      </c>
      <c r="Q25" s="15" t="str">
        <f>[1]!wwsCheckbox($B25,125,FALSE)</f>
        <v>bun</v>
      </c>
      <c r="R25" s="14">
        <f t="shared" si="0"/>
        <v>1</v>
      </c>
    </row>
    <row r="26" spans="1:18" s="10" customFormat="1" ht="25.05" customHeight="1">
      <c r="A26" s="14" t="str">
        <f t="shared" si="1"/>
        <v>clikt</v>
      </c>
      <c r="B26" s="18" t="s">
        <v>11</v>
      </c>
      <c r="C26" s="18" t="s">
        <v>13</v>
      </c>
      <c r="D26" s="18" t="s">
        <v>12</v>
      </c>
      <c r="E26" s="52" t="s">
        <v>13</v>
      </c>
      <c r="F26" s="9">
        <f t="shared" si="2"/>
        <v>20</v>
      </c>
      <c r="G26" s="15" t="str">
        <f>[1]!wwsCheckbox($B26,26,FALSE)</f>
        <v>ban</v>
      </c>
      <c r="H26" s="15" t="str">
        <f>[1]!wwsCheckbox($C26,26,FALSE)</f>
        <v>pad</v>
      </c>
      <c r="I26" s="15" t="str">
        <f>[1]!wwsCheckbox($D26,26,FALSE)</f>
        <v>man</v>
      </c>
      <c r="J26" s="10" t="str">
        <f t="shared" si="3"/>
        <v>GOOD</v>
      </c>
      <c r="N26" s="9">
        <f t="shared" si="4"/>
        <v>20</v>
      </c>
      <c r="O26" s="15" t="str">
        <f>[1]!wwsCheckbox($C26,126,FALSE)</f>
        <v>pad</v>
      </c>
      <c r="P26" s="15" t="str">
        <f>[1]!wwsCheckbox($D26,126,FALSE)</f>
        <v>man</v>
      </c>
      <c r="Q26" s="15" t="str">
        <f>[1]!wwsCheckbox($B26,126,FALSE)</f>
        <v>ban</v>
      </c>
      <c r="R26" s="14">
        <f t="shared" si="0"/>
        <v>1</v>
      </c>
    </row>
    <row r="27" spans="1:18" s="10" customFormat="1" ht="25.05" customHeight="1">
      <c r="A27" s="14" t="str">
        <f t="shared" si="1"/>
        <v>clikt</v>
      </c>
      <c r="B27" s="18" t="s">
        <v>0</v>
      </c>
      <c r="C27" s="18" t="s">
        <v>7</v>
      </c>
      <c r="D27" s="18" t="s">
        <v>6</v>
      </c>
      <c r="E27" s="52" t="s">
        <v>0</v>
      </c>
      <c r="F27" s="9">
        <f t="shared" si="2"/>
        <v>21</v>
      </c>
      <c r="G27" s="15" t="str">
        <f>[1]!wwsCheckbox($B27,27,FALSE)</f>
        <v>bat</v>
      </c>
      <c r="H27" s="15" t="str">
        <f>[1]!wwsCheckbox($C27,27,FALSE)</f>
        <v>tab</v>
      </c>
      <c r="I27" s="15" t="str">
        <f>[1]!wwsCheckbox($D27,27,FALSE)</f>
        <v>dad</v>
      </c>
      <c r="J27" s="10" t="str">
        <f t="shared" si="3"/>
        <v>GOOD</v>
      </c>
      <c r="N27" s="9">
        <f t="shared" si="4"/>
        <v>21</v>
      </c>
      <c r="O27" s="15" t="str">
        <f>[1]!wwsCheckbox($C27,127,FALSE)</f>
        <v>tab</v>
      </c>
      <c r="P27" s="15" t="str">
        <f>[1]!wwsCheckbox($D27,127,FALSE)</f>
        <v>dad</v>
      </c>
      <c r="Q27" s="15" t="str">
        <f>[1]!wwsCheckbox($B27,127,FALSE)</f>
        <v>bat</v>
      </c>
      <c r="R27" s="14">
        <f t="shared" si="0"/>
        <v>1</v>
      </c>
    </row>
    <row r="28" spans="1:18" s="10" customFormat="1" ht="25.05" customHeight="1">
      <c r="A28" s="14" t="str">
        <f t="shared" si="1"/>
        <v>clikt</v>
      </c>
      <c r="B28" s="18" t="s">
        <v>37</v>
      </c>
      <c r="C28" s="18" t="s">
        <v>39</v>
      </c>
      <c r="D28" s="18" t="s">
        <v>38</v>
      </c>
      <c r="E28" s="52" t="s">
        <v>37</v>
      </c>
      <c r="F28" s="9">
        <f t="shared" si="2"/>
        <v>22</v>
      </c>
      <c r="G28" s="15" t="str">
        <f>[1]!wwsCheckbox($B28,28,FALSE)</f>
        <v>bit</v>
      </c>
      <c r="H28" s="15" t="str">
        <f>[1]!wwsCheckbox($C28,28,FALSE)</f>
        <v>pip</v>
      </c>
      <c r="I28" s="15" t="str">
        <f>[1]!wwsCheckbox($D28,28,FALSE)</f>
        <v>did</v>
      </c>
      <c r="J28" s="10" t="str">
        <f t="shared" si="3"/>
        <v>GOOD</v>
      </c>
      <c r="N28" s="9">
        <f t="shared" si="4"/>
        <v>22</v>
      </c>
      <c r="O28" s="15" t="str">
        <f>[1]!wwsCheckbox($C28,128,FALSE)</f>
        <v>pip</v>
      </c>
      <c r="P28" s="15" t="str">
        <f>[1]!wwsCheckbox($D28,128,FALSE)</f>
        <v>did</v>
      </c>
      <c r="Q28" s="15" t="str">
        <f>[1]!wwsCheckbox($B28,128,FALSE)</f>
        <v>bit</v>
      </c>
      <c r="R28" s="14">
        <f t="shared" si="0"/>
        <v>1</v>
      </c>
    </row>
    <row r="29" spans="1:18" s="10" customFormat="1" ht="25.05" customHeight="1">
      <c r="A29" s="14" t="str">
        <f t="shared" si="1"/>
        <v>clikt</v>
      </c>
      <c r="B29" s="18" t="s">
        <v>28</v>
      </c>
      <c r="C29" s="18" t="s">
        <v>30</v>
      </c>
      <c r="D29" s="18" t="s">
        <v>29</v>
      </c>
      <c r="E29" s="52" t="s">
        <v>30</v>
      </c>
      <c r="F29" s="9">
        <f t="shared" si="2"/>
        <v>23</v>
      </c>
      <c r="G29" s="15" t="str">
        <f>[1]!wwsCheckbox($B29,29,FALSE)</f>
        <v>tin</v>
      </c>
      <c r="H29" s="15" t="str">
        <f>[1]!wwsCheckbox($C29,29,FALSE)</f>
        <v>din</v>
      </c>
      <c r="I29" s="15" t="str">
        <f>[1]!wwsCheckbox($D29,29,FALSE)</f>
        <v>bid</v>
      </c>
      <c r="J29" s="10" t="str">
        <f t="shared" si="3"/>
        <v>GOOD</v>
      </c>
      <c r="N29" s="9">
        <f t="shared" si="4"/>
        <v>23</v>
      </c>
      <c r="O29" s="15" t="str">
        <f>[1]!wwsCheckbox($C29,129,FALSE)</f>
        <v>din</v>
      </c>
      <c r="P29" s="15" t="str">
        <f>[1]!wwsCheckbox($D29,129,FALSE)</f>
        <v>bid</v>
      </c>
      <c r="Q29" s="15" t="str">
        <f>[1]!wwsCheckbox($B29,129,FALSE)</f>
        <v>tin</v>
      </c>
      <c r="R29" s="14">
        <f t="shared" si="0"/>
        <v>1</v>
      </c>
    </row>
    <row r="30" spans="1:18" s="10" customFormat="1" ht="25.05" customHeight="1">
      <c r="A30" s="14" t="str">
        <f t="shared" si="1"/>
        <v>clikt</v>
      </c>
      <c r="B30" s="18" t="s">
        <v>16</v>
      </c>
      <c r="C30" s="18" t="s">
        <v>18</v>
      </c>
      <c r="D30" s="18" t="s">
        <v>17</v>
      </c>
      <c r="E30" s="52" t="s">
        <v>16</v>
      </c>
      <c r="F30" s="9">
        <f t="shared" si="2"/>
        <v>24</v>
      </c>
      <c r="G30" s="15" t="str">
        <f>[1]!wwsCheckbox($B30,30,FALSE)</f>
        <v>pat</v>
      </c>
      <c r="H30" s="15" t="str">
        <f>[1]!wwsCheckbox($C30,30,FALSE)</f>
        <v>pan</v>
      </c>
      <c r="I30" s="15" t="str">
        <f>[1]!wwsCheckbox($D30,30,FALSE)</f>
        <v>dab</v>
      </c>
      <c r="J30" s="10" t="str">
        <f t="shared" si="3"/>
        <v>GOOD</v>
      </c>
      <c r="N30" s="9">
        <f t="shared" si="4"/>
        <v>24</v>
      </c>
      <c r="O30" s="15" t="str">
        <f>[1]!wwsCheckbox($C30,130,FALSE)</f>
        <v>pan</v>
      </c>
      <c r="P30" s="15" t="str">
        <f>[1]!wwsCheckbox($D30,130,FALSE)</f>
        <v>dab</v>
      </c>
      <c r="Q30" s="15" t="str">
        <f>[1]!wwsCheckbox($B30,130,FALSE)</f>
        <v>pat</v>
      </c>
      <c r="R30" s="14">
        <f t="shared" si="0"/>
        <v>1</v>
      </c>
    </row>
    <row r="31" spans="1:18" s="10" customFormat="1" ht="25.05" customHeight="1">
      <c r="A31" s="14" t="str">
        <f t="shared" si="1"/>
        <v>clikt</v>
      </c>
      <c r="B31" s="18" t="s">
        <v>25</v>
      </c>
      <c r="C31" s="18" t="s">
        <v>27</v>
      </c>
      <c r="D31" s="18" t="s">
        <v>26</v>
      </c>
      <c r="E31" s="52" t="s">
        <v>27</v>
      </c>
      <c r="F31" s="9">
        <f t="shared" si="2"/>
        <v>25</v>
      </c>
      <c r="G31" s="15" t="str">
        <f>[1]!wwsCheckbox($B31,31,FALSE)</f>
        <v>met</v>
      </c>
      <c r="H31" s="15" t="str">
        <f>[1]!wwsCheckbox($C31,31,FALSE)</f>
        <v>pet</v>
      </c>
      <c r="I31" s="15" t="str">
        <f>[1]!wwsCheckbox($D31,31,FALSE)</f>
        <v>net</v>
      </c>
      <c r="J31" s="10" t="str">
        <f t="shared" si="3"/>
        <v>GOOD</v>
      </c>
      <c r="N31" s="9">
        <f t="shared" si="4"/>
        <v>25</v>
      </c>
      <c r="O31" s="15" t="str">
        <f>[1]!wwsCheckbox($C31,131,FALSE)</f>
        <v>pet</v>
      </c>
      <c r="P31" s="15" t="str">
        <f>[1]!wwsCheckbox($D31,131,FALSE)</f>
        <v>net</v>
      </c>
      <c r="Q31" s="15" t="str">
        <f>[1]!wwsCheckbox($B31,131,FALSE)</f>
        <v>met</v>
      </c>
      <c r="R31" s="14">
        <f t="shared" si="0"/>
        <v>1</v>
      </c>
    </row>
    <row r="32" spans="1:18">
      <c r="E32" s="8"/>
      <c r="R32" s="12">
        <f>SUM(R7:R31)/25</f>
        <v>1</v>
      </c>
    </row>
    <row r="33" spans="5:21">
      <c r="E33" s="8"/>
      <c r="U33" t="s">
        <v>75</v>
      </c>
    </row>
    <row r="34" spans="5:21">
      <c r="E34" s="8"/>
    </row>
  </sheetData>
  <sortState columnSort="1" ref="B22:D31">
    <sortCondition ref="B25:D25"/>
  </sortState>
  <mergeCells count="10">
    <mergeCell ref="E4:E5"/>
    <mergeCell ref="P5:S5"/>
    <mergeCell ref="J2:L2"/>
    <mergeCell ref="G6:I6"/>
    <mergeCell ref="F2:H2"/>
    <mergeCell ref="O6:Q6"/>
    <mergeCell ref="O4:Q4"/>
    <mergeCell ref="G4:I4"/>
    <mergeCell ref="N5:O5"/>
    <mergeCell ref="N2:O2"/>
  </mergeCells>
  <conditionalFormatting sqref="K4">
    <cfRule type="cellIs" dxfId="972" priority="1293" operator="equal">
      <formula>"""GOOD"""</formula>
    </cfRule>
  </conditionalFormatting>
  <conditionalFormatting sqref="V8">
    <cfRule type="cellIs" dxfId="971" priority="1091" operator="equal">
      <formula>87</formula>
    </cfRule>
  </conditionalFormatting>
  <conditionalFormatting sqref="J7">
    <cfRule type="cellIs" priority="1087" operator="between">
      <formula>1</formula>
      <formula>2</formula>
    </cfRule>
    <cfRule type="cellIs" dxfId="970" priority="1088" operator="equal">
      <formula>"""GOOD"""</formula>
    </cfRule>
  </conditionalFormatting>
  <conditionalFormatting sqref="N7">
    <cfRule type="cellIs" priority="1085" operator="between">
      <formula>1</formula>
      <formula>2</formula>
    </cfRule>
    <cfRule type="cellIs" dxfId="969" priority="1086" operator="equal">
      <formula>"""GOOD"""</formula>
    </cfRule>
  </conditionalFormatting>
  <conditionalFormatting sqref="I7">
    <cfRule type="expression" dxfId="968" priority="927">
      <formula>AND($A7="clikt",$J7&lt;&gt;"GOOD")</formula>
    </cfRule>
    <cfRule type="expression" dxfId="967" priority="928">
      <formula>$J7="GOOD"</formula>
    </cfRule>
  </conditionalFormatting>
  <conditionalFormatting sqref="H7">
    <cfRule type="expression" dxfId="966" priority="929">
      <formula>AND($A7="clikt",$J7&lt;&gt;"GOOD")</formula>
    </cfRule>
    <cfRule type="expression" dxfId="965" priority="930">
      <formula>$J7="GOOD"</formula>
    </cfRule>
  </conditionalFormatting>
  <conditionalFormatting sqref="G7">
    <cfRule type="expression" dxfId="964" priority="1079">
      <formula>AND($A7="clikt",$J7&lt;&gt;"GOOD")</formula>
    </cfRule>
    <cfRule type="expression" dxfId="963" priority="1082">
      <formula>$J7="GOOD"</formula>
    </cfRule>
  </conditionalFormatting>
  <conditionalFormatting sqref="J8">
    <cfRule type="cellIs" priority="912" operator="between">
      <formula>1</formula>
      <formula>2</formula>
    </cfRule>
    <cfRule type="cellIs" dxfId="962" priority="913" operator="equal">
      <formula>"""GOOD"""</formula>
    </cfRule>
  </conditionalFormatting>
  <conditionalFormatting sqref="G8">
    <cfRule type="expression" dxfId="961" priority="350">
      <formula>AND($A8="clikt",$J8&lt;&gt;"GOOD")</formula>
    </cfRule>
    <cfRule type="expression" dxfId="960" priority="351">
      <formula>$J8="GOOD"</formula>
    </cfRule>
  </conditionalFormatting>
  <conditionalFormatting sqref="H8">
    <cfRule type="expression" dxfId="959" priority="348">
      <formula>AND($A8="clikt",$J8&lt;&gt;"GOOD")</formula>
    </cfRule>
    <cfRule type="expression" dxfId="958" priority="349">
      <formula>$J8="GOOD"</formula>
    </cfRule>
  </conditionalFormatting>
  <conditionalFormatting sqref="I8">
    <cfRule type="expression" dxfId="957" priority="346">
      <formula>AND($A8="clikt",$J8&lt;&gt;"GOOD")</formula>
    </cfRule>
    <cfRule type="expression" dxfId="956" priority="347">
      <formula>$J8="GOOD"</formula>
    </cfRule>
  </conditionalFormatting>
  <conditionalFormatting sqref="G9">
    <cfRule type="expression" dxfId="955" priority="344">
      <formula>AND($A9="clikt",$J9&lt;&gt;"GOOD")</formula>
    </cfRule>
    <cfRule type="expression" dxfId="954" priority="345">
      <formula>$J9="GOOD"</formula>
    </cfRule>
  </conditionalFormatting>
  <conditionalFormatting sqref="G10">
    <cfRule type="expression" dxfId="953" priority="342">
      <formula>AND($A10="clikt",$J10&lt;&gt;"GOOD")</formula>
    </cfRule>
    <cfRule type="expression" dxfId="952" priority="343">
      <formula>$J10="GOOD"</formula>
    </cfRule>
  </conditionalFormatting>
  <conditionalFormatting sqref="G11">
    <cfRule type="expression" dxfId="951" priority="340">
      <formula>AND($A11="clikt",$J11&lt;&gt;"GOOD")</formula>
    </cfRule>
    <cfRule type="expression" dxfId="950" priority="341">
      <formula>$J11="GOOD"</formula>
    </cfRule>
  </conditionalFormatting>
  <conditionalFormatting sqref="G12">
    <cfRule type="expression" dxfId="949" priority="338">
      <formula>AND($A12="clikt",$J12&lt;&gt;"GOOD")</formula>
    </cfRule>
    <cfRule type="expression" dxfId="948" priority="339">
      <formula>$J12="GOOD"</formula>
    </cfRule>
  </conditionalFormatting>
  <conditionalFormatting sqref="G13">
    <cfRule type="expression" dxfId="947" priority="336">
      <formula>AND($A13="clikt",$J13&lt;&gt;"GOOD")</formula>
    </cfRule>
    <cfRule type="expression" dxfId="946" priority="337">
      <formula>$J13="GOOD"</formula>
    </cfRule>
  </conditionalFormatting>
  <conditionalFormatting sqref="G14">
    <cfRule type="expression" dxfId="945" priority="334">
      <formula>AND($A14="clikt",$J14&lt;&gt;"GOOD")</formula>
    </cfRule>
    <cfRule type="expression" dxfId="944" priority="335">
      <formula>$J14="GOOD"</formula>
    </cfRule>
  </conditionalFormatting>
  <conditionalFormatting sqref="G15">
    <cfRule type="expression" dxfId="943" priority="332">
      <formula>AND($A15="clikt",$J15&lt;&gt;"GOOD")</formula>
    </cfRule>
    <cfRule type="expression" dxfId="942" priority="333">
      <formula>$J15="GOOD"</formula>
    </cfRule>
  </conditionalFormatting>
  <conditionalFormatting sqref="G16">
    <cfRule type="expression" dxfId="941" priority="330">
      <formula>AND($A16="clikt",$J16&lt;&gt;"GOOD")</formula>
    </cfRule>
    <cfRule type="expression" dxfId="940" priority="331">
      <formula>$J16="GOOD"</formula>
    </cfRule>
  </conditionalFormatting>
  <conditionalFormatting sqref="G17">
    <cfRule type="expression" dxfId="939" priority="328">
      <formula>AND($A17="clikt",$J17&lt;&gt;"GOOD")</formula>
    </cfRule>
    <cfRule type="expression" dxfId="938" priority="329">
      <formula>$J17="GOOD"</formula>
    </cfRule>
  </conditionalFormatting>
  <conditionalFormatting sqref="G18">
    <cfRule type="expression" dxfId="937" priority="326">
      <formula>AND($A18="clikt",$J18&lt;&gt;"GOOD")</formula>
    </cfRule>
    <cfRule type="expression" dxfId="936" priority="327">
      <formula>$J18="GOOD"</formula>
    </cfRule>
  </conditionalFormatting>
  <conditionalFormatting sqref="G19">
    <cfRule type="expression" dxfId="935" priority="324">
      <formula>AND($A19="clikt",$J19&lt;&gt;"GOOD")</formula>
    </cfRule>
    <cfRule type="expression" dxfId="934" priority="325">
      <formula>$J19="GOOD"</formula>
    </cfRule>
  </conditionalFormatting>
  <conditionalFormatting sqref="G20">
    <cfRule type="expression" dxfId="933" priority="322">
      <formula>AND($A20="clikt",$J20&lt;&gt;"GOOD")</formula>
    </cfRule>
    <cfRule type="expression" dxfId="932" priority="323">
      <formula>$J20="GOOD"</formula>
    </cfRule>
  </conditionalFormatting>
  <conditionalFormatting sqref="G21">
    <cfRule type="expression" dxfId="931" priority="320">
      <formula>AND($A21="clikt",$J21&lt;&gt;"GOOD")</formula>
    </cfRule>
    <cfRule type="expression" dxfId="930" priority="321">
      <formula>$J21="GOOD"</formula>
    </cfRule>
  </conditionalFormatting>
  <conditionalFormatting sqref="G22">
    <cfRule type="expression" dxfId="929" priority="318">
      <formula>AND($A22="clikt",$J22&lt;&gt;"GOOD")</formula>
    </cfRule>
    <cfRule type="expression" dxfId="928" priority="319">
      <formula>$J22="GOOD"</formula>
    </cfRule>
  </conditionalFormatting>
  <conditionalFormatting sqref="G23">
    <cfRule type="expression" dxfId="927" priority="316">
      <formula>AND($A23="clikt",$J23&lt;&gt;"GOOD")</formula>
    </cfRule>
    <cfRule type="expression" dxfId="926" priority="317">
      <formula>$J23="GOOD"</formula>
    </cfRule>
  </conditionalFormatting>
  <conditionalFormatting sqref="G24">
    <cfRule type="expression" dxfId="925" priority="314">
      <formula>AND($A24="clikt",$J24&lt;&gt;"GOOD")</formula>
    </cfRule>
    <cfRule type="expression" dxfId="924" priority="315">
      <formula>$J24="GOOD"</formula>
    </cfRule>
  </conditionalFormatting>
  <conditionalFormatting sqref="G25">
    <cfRule type="expression" dxfId="923" priority="312">
      <formula>AND($A25="clikt",$J25&lt;&gt;"GOOD")</formula>
    </cfRule>
    <cfRule type="expression" dxfId="922" priority="313">
      <formula>$J25="GOOD"</formula>
    </cfRule>
  </conditionalFormatting>
  <conditionalFormatting sqref="G26">
    <cfRule type="expression" dxfId="921" priority="310">
      <formula>AND($A26="clikt",$J26&lt;&gt;"GOOD")</formula>
    </cfRule>
    <cfRule type="expression" dxfId="920" priority="311">
      <formula>$J26="GOOD"</formula>
    </cfRule>
  </conditionalFormatting>
  <conditionalFormatting sqref="G27">
    <cfRule type="expression" dxfId="919" priority="308">
      <formula>AND($A27="clikt",$J27&lt;&gt;"GOOD")</formula>
    </cfRule>
    <cfRule type="expression" dxfId="918" priority="309">
      <formula>$J27="GOOD"</formula>
    </cfRule>
  </conditionalFormatting>
  <conditionalFormatting sqref="G28">
    <cfRule type="expression" dxfId="917" priority="306">
      <formula>AND($A28="clikt",$J28&lt;&gt;"GOOD")</formula>
    </cfRule>
    <cfRule type="expression" dxfId="916" priority="307">
      <formula>$J28="GOOD"</formula>
    </cfRule>
  </conditionalFormatting>
  <conditionalFormatting sqref="G29">
    <cfRule type="expression" dxfId="915" priority="304">
      <formula>AND($A29="clikt",$J29&lt;&gt;"GOOD")</formula>
    </cfRule>
    <cfRule type="expression" dxfId="914" priority="305">
      <formula>$J29="GOOD"</formula>
    </cfRule>
  </conditionalFormatting>
  <conditionalFormatting sqref="G30">
    <cfRule type="expression" dxfId="913" priority="302">
      <formula>AND($A30="clikt",$J30&lt;&gt;"GOOD")</formula>
    </cfRule>
    <cfRule type="expression" dxfId="912" priority="303">
      <formula>$J30="GOOD"</formula>
    </cfRule>
  </conditionalFormatting>
  <conditionalFormatting sqref="G31">
    <cfRule type="expression" dxfId="911" priority="300">
      <formula>AND($A31="clikt",$J31&lt;&gt;"GOOD")</formula>
    </cfRule>
    <cfRule type="expression" dxfId="910" priority="301">
      <formula>$J31="GOOD"</formula>
    </cfRule>
  </conditionalFormatting>
  <conditionalFormatting sqref="H9">
    <cfRule type="expression" dxfId="909" priority="298">
      <formula>AND($A9="clikt",$J9&lt;&gt;"GOOD")</formula>
    </cfRule>
    <cfRule type="expression" dxfId="908" priority="299">
      <formula>$J9="GOOD"</formula>
    </cfRule>
  </conditionalFormatting>
  <conditionalFormatting sqref="H10">
    <cfRule type="expression" dxfId="907" priority="296">
      <formula>AND($A10="clikt",$J10&lt;&gt;"GOOD")</formula>
    </cfRule>
    <cfRule type="expression" dxfId="906" priority="297">
      <formula>$J10="GOOD"</formula>
    </cfRule>
  </conditionalFormatting>
  <conditionalFormatting sqref="H11">
    <cfRule type="expression" dxfId="905" priority="294">
      <formula>AND($A11="clikt",$J11&lt;&gt;"GOOD")</formula>
    </cfRule>
    <cfRule type="expression" dxfId="904" priority="295">
      <formula>$J11="GOOD"</formula>
    </cfRule>
  </conditionalFormatting>
  <conditionalFormatting sqref="H12">
    <cfRule type="expression" dxfId="903" priority="292">
      <formula>AND($A12="clikt",$J12&lt;&gt;"GOOD")</formula>
    </cfRule>
    <cfRule type="expression" dxfId="902" priority="293">
      <formula>$J12="GOOD"</formula>
    </cfRule>
  </conditionalFormatting>
  <conditionalFormatting sqref="H13">
    <cfRule type="expression" dxfId="901" priority="290">
      <formula>AND($A13="clikt",$J13&lt;&gt;"GOOD")</formula>
    </cfRule>
    <cfRule type="expression" dxfId="900" priority="291">
      <formula>$J13="GOOD"</formula>
    </cfRule>
  </conditionalFormatting>
  <conditionalFormatting sqref="H14">
    <cfRule type="expression" dxfId="899" priority="288">
      <formula>AND($A14="clikt",$J14&lt;&gt;"GOOD")</formula>
    </cfRule>
    <cfRule type="expression" dxfId="898" priority="289">
      <formula>$J14="GOOD"</formula>
    </cfRule>
  </conditionalFormatting>
  <conditionalFormatting sqref="H15">
    <cfRule type="expression" dxfId="897" priority="286">
      <formula>AND($A15="clikt",$J15&lt;&gt;"GOOD")</formula>
    </cfRule>
    <cfRule type="expression" dxfId="896" priority="287">
      <formula>$J15="GOOD"</formula>
    </cfRule>
  </conditionalFormatting>
  <conditionalFormatting sqref="H16">
    <cfRule type="expression" dxfId="895" priority="284">
      <formula>AND($A16="clikt",$J16&lt;&gt;"GOOD")</formula>
    </cfRule>
    <cfRule type="expression" dxfId="894" priority="285">
      <formula>$J16="GOOD"</formula>
    </cfRule>
  </conditionalFormatting>
  <conditionalFormatting sqref="H17">
    <cfRule type="expression" dxfId="893" priority="282">
      <formula>AND($A17="clikt",$J17&lt;&gt;"GOOD")</formula>
    </cfRule>
    <cfRule type="expression" dxfId="892" priority="283">
      <formula>$J17="GOOD"</formula>
    </cfRule>
  </conditionalFormatting>
  <conditionalFormatting sqref="H18">
    <cfRule type="expression" dxfId="891" priority="280">
      <formula>AND($A18="clikt",$J18&lt;&gt;"GOOD")</formula>
    </cfRule>
    <cfRule type="expression" dxfId="890" priority="281">
      <formula>$J18="GOOD"</formula>
    </cfRule>
  </conditionalFormatting>
  <conditionalFormatting sqref="H19">
    <cfRule type="expression" dxfId="889" priority="278">
      <formula>AND($A19="clikt",$J19&lt;&gt;"GOOD")</formula>
    </cfRule>
    <cfRule type="expression" dxfId="888" priority="279">
      <formula>$J19="GOOD"</formula>
    </cfRule>
  </conditionalFormatting>
  <conditionalFormatting sqref="H20">
    <cfRule type="expression" dxfId="887" priority="276">
      <formula>AND($A20="clikt",$J20&lt;&gt;"GOOD")</formula>
    </cfRule>
    <cfRule type="expression" dxfId="886" priority="277">
      <formula>$J20="GOOD"</formula>
    </cfRule>
  </conditionalFormatting>
  <conditionalFormatting sqref="H21">
    <cfRule type="expression" dxfId="885" priority="274">
      <formula>AND($A21="clikt",$J21&lt;&gt;"GOOD")</formula>
    </cfRule>
    <cfRule type="expression" dxfId="884" priority="275">
      <formula>$J21="GOOD"</formula>
    </cfRule>
  </conditionalFormatting>
  <conditionalFormatting sqref="H22">
    <cfRule type="expression" dxfId="883" priority="272">
      <formula>AND($A22="clikt",$J22&lt;&gt;"GOOD")</formula>
    </cfRule>
    <cfRule type="expression" dxfId="882" priority="273">
      <formula>$J22="GOOD"</formula>
    </cfRule>
  </conditionalFormatting>
  <conditionalFormatting sqref="H23">
    <cfRule type="expression" dxfId="881" priority="270">
      <formula>AND($A23="clikt",$J23&lt;&gt;"GOOD")</formula>
    </cfRule>
    <cfRule type="expression" dxfId="880" priority="271">
      <formula>$J23="GOOD"</formula>
    </cfRule>
  </conditionalFormatting>
  <conditionalFormatting sqref="H24">
    <cfRule type="expression" dxfId="879" priority="268">
      <formula>AND($A24="clikt",$J24&lt;&gt;"GOOD")</formula>
    </cfRule>
    <cfRule type="expression" dxfId="878" priority="269">
      <formula>$J24="GOOD"</formula>
    </cfRule>
  </conditionalFormatting>
  <conditionalFormatting sqref="H25">
    <cfRule type="expression" dxfId="877" priority="266">
      <formula>AND($A25="clikt",$J25&lt;&gt;"GOOD")</formula>
    </cfRule>
    <cfRule type="expression" dxfId="876" priority="267">
      <formula>$J25="GOOD"</formula>
    </cfRule>
  </conditionalFormatting>
  <conditionalFormatting sqref="H26">
    <cfRule type="expression" dxfId="875" priority="264">
      <formula>AND($A26="clikt",$J26&lt;&gt;"GOOD")</formula>
    </cfRule>
    <cfRule type="expression" dxfId="874" priority="265">
      <formula>$J26="GOOD"</formula>
    </cfRule>
  </conditionalFormatting>
  <conditionalFormatting sqref="H27">
    <cfRule type="expression" dxfId="873" priority="262">
      <formula>AND($A27="clikt",$J27&lt;&gt;"GOOD")</formula>
    </cfRule>
    <cfRule type="expression" dxfId="872" priority="263">
      <formula>$J27="GOOD"</formula>
    </cfRule>
  </conditionalFormatting>
  <conditionalFormatting sqref="H28">
    <cfRule type="expression" dxfId="871" priority="260">
      <formula>AND($A28="clikt",$J28&lt;&gt;"GOOD")</formula>
    </cfRule>
    <cfRule type="expression" dxfId="870" priority="261">
      <formula>$J28="GOOD"</formula>
    </cfRule>
  </conditionalFormatting>
  <conditionalFormatting sqref="H29">
    <cfRule type="expression" dxfId="869" priority="258">
      <formula>AND($A29="clikt",$J29&lt;&gt;"GOOD")</formula>
    </cfRule>
    <cfRule type="expression" dxfId="868" priority="259">
      <formula>$J29="GOOD"</formula>
    </cfRule>
  </conditionalFormatting>
  <conditionalFormatting sqref="H30">
    <cfRule type="expression" dxfId="867" priority="256">
      <formula>AND($A30="clikt",$J30&lt;&gt;"GOOD")</formula>
    </cfRule>
    <cfRule type="expression" dxfId="866" priority="257">
      <formula>$J30="GOOD"</formula>
    </cfRule>
  </conditionalFormatting>
  <conditionalFormatting sqref="H31">
    <cfRule type="expression" dxfId="865" priority="254">
      <formula>AND($A31="clikt",$J31&lt;&gt;"GOOD")</formula>
    </cfRule>
    <cfRule type="expression" dxfId="864" priority="255">
      <formula>$J31="GOOD"</formula>
    </cfRule>
  </conditionalFormatting>
  <conditionalFormatting sqref="I9">
    <cfRule type="expression" dxfId="863" priority="252">
      <formula>AND($A9="clikt",$J9&lt;&gt;"GOOD")</formula>
    </cfRule>
    <cfRule type="expression" dxfId="862" priority="253">
      <formula>$J9="GOOD"</formula>
    </cfRule>
  </conditionalFormatting>
  <conditionalFormatting sqref="I10">
    <cfRule type="expression" dxfId="861" priority="250">
      <formula>AND($A10="clikt",$J10&lt;&gt;"GOOD")</formula>
    </cfRule>
    <cfRule type="expression" dxfId="860" priority="251">
      <formula>$J10="GOOD"</formula>
    </cfRule>
  </conditionalFormatting>
  <conditionalFormatting sqref="I11">
    <cfRule type="expression" dxfId="859" priority="248">
      <formula>AND($A11="clikt",$J11&lt;&gt;"GOOD")</formula>
    </cfRule>
    <cfRule type="expression" dxfId="858" priority="249">
      <formula>$J11="GOOD"</formula>
    </cfRule>
  </conditionalFormatting>
  <conditionalFormatting sqref="I12">
    <cfRule type="expression" dxfId="857" priority="246">
      <formula>AND($A12="clikt",$J12&lt;&gt;"GOOD")</formula>
    </cfRule>
    <cfRule type="expression" dxfId="856" priority="247">
      <formula>$J12="GOOD"</formula>
    </cfRule>
  </conditionalFormatting>
  <conditionalFormatting sqref="I13">
    <cfRule type="expression" dxfId="855" priority="244">
      <formula>AND($A13="clikt",$J13&lt;&gt;"GOOD")</formula>
    </cfRule>
    <cfRule type="expression" dxfId="854" priority="245">
      <formula>$J13="GOOD"</formula>
    </cfRule>
  </conditionalFormatting>
  <conditionalFormatting sqref="I14">
    <cfRule type="expression" dxfId="853" priority="242">
      <formula>AND($A14="clikt",$J14&lt;&gt;"GOOD")</formula>
    </cfRule>
    <cfRule type="expression" dxfId="852" priority="243">
      <formula>$J14="GOOD"</formula>
    </cfRule>
  </conditionalFormatting>
  <conditionalFormatting sqref="I15">
    <cfRule type="expression" dxfId="851" priority="240">
      <formula>AND($A15="clikt",$J15&lt;&gt;"GOOD")</formula>
    </cfRule>
    <cfRule type="expression" dxfId="850" priority="241">
      <formula>$J15="GOOD"</formula>
    </cfRule>
  </conditionalFormatting>
  <conditionalFormatting sqref="I16">
    <cfRule type="expression" dxfId="849" priority="238">
      <formula>AND($A16="clikt",$J16&lt;&gt;"GOOD")</formula>
    </cfRule>
    <cfRule type="expression" dxfId="848" priority="239">
      <formula>$J16="GOOD"</formula>
    </cfRule>
  </conditionalFormatting>
  <conditionalFormatting sqref="I17">
    <cfRule type="expression" dxfId="847" priority="236">
      <formula>AND($A17="clikt",$J17&lt;&gt;"GOOD")</formula>
    </cfRule>
    <cfRule type="expression" dxfId="846" priority="237">
      <formula>$J17="GOOD"</formula>
    </cfRule>
  </conditionalFormatting>
  <conditionalFormatting sqref="I18">
    <cfRule type="expression" dxfId="845" priority="234">
      <formula>AND($A18="clikt",$J18&lt;&gt;"GOOD")</formula>
    </cfRule>
    <cfRule type="expression" dxfId="844" priority="235">
      <formula>$J18="GOOD"</formula>
    </cfRule>
  </conditionalFormatting>
  <conditionalFormatting sqref="I19">
    <cfRule type="expression" dxfId="843" priority="232">
      <formula>AND($A19="clikt",$J19&lt;&gt;"GOOD")</formula>
    </cfRule>
    <cfRule type="expression" dxfId="842" priority="233">
      <formula>$J19="GOOD"</formula>
    </cfRule>
  </conditionalFormatting>
  <conditionalFormatting sqref="I20">
    <cfRule type="expression" dxfId="841" priority="230">
      <formula>AND($A20="clikt",$J20&lt;&gt;"GOOD")</formula>
    </cfRule>
    <cfRule type="expression" dxfId="840" priority="231">
      <formula>$J20="GOOD"</formula>
    </cfRule>
  </conditionalFormatting>
  <conditionalFormatting sqref="I21">
    <cfRule type="expression" dxfId="839" priority="228">
      <formula>AND($A21="clikt",$J21&lt;&gt;"GOOD")</formula>
    </cfRule>
    <cfRule type="expression" dxfId="838" priority="229">
      <formula>$J21="GOOD"</formula>
    </cfRule>
  </conditionalFormatting>
  <conditionalFormatting sqref="I22">
    <cfRule type="expression" dxfId="837" priority="226">
      <formula>AND($A22="clikt",$J22&lt;&gt;"GOOD")</formula>
    </cfRule>
    <cfRule type="expression" dxfId="836" priority="227">
      <formula>$J22="GOOD"</formula>
    </cfRule>
  </conditionalFormatting>
  <conditionalFormatting sqref="I23">
    <cfRule type="expression" dxfId="835" priority="224">
      <formula>AND($A23="clikt",$J23&lt;&gt;"GOOD")</formula>
    </cfRule>
    <cfRule type="expression" dxfId="834" priority="225">
      <formula>$J23="GOOD"</formula>
    </cfRule>
  </conditionalFormatting>
  <conditionalFormatting sqref="I24">
    <cfRule type="expression" dxfId="833" priority="222">
      <formula>AND($A24="clikt",$J24&lt;&gt;"GOOD")</formula>
    </cfRule>
    <cfRule type="expression" dxfId="832" priority="223">
      <formula>$J24="GOOD"</formula>
    </cfRule>
  </conditionalFormatting>
  <conditionalFormatting sqref="I25">
    <cfRule type="expression" dxfId="831" priority="220">
      <formula>AND($A25="clikt",$J25&lt;&gt;"GOOD")</formula>
    </cfRule>
    <cfRule type="expression" dxfId="830" priority="221">
      <formula>$J25="GOOD"</formula>
    </cfRule>
  </conditionalFormatting>
  <conditionalFormatting sqref="I26">
    <cfRule type="expression" dxfId="829" priority="218">
      <formula>AND($A26="clikt",$J26&lt;&gt;"GOOD")</formula>
    </cfRule>
    <cfRule type="expression" dxfId="828" priority="219">
      <formula>$J26="GOOD"</formula>
    </cfRule>
  </conditionalFormatting>
  <conditionalFormatting sqref="I27">
    <cfRule type="expression" dxfId="827" priority="216">
      <formula>AND($A27="clikt",$J27&lt;&gt;"GOOD")</formula>
    </cfRule>
    <cfRule type="expression" dxfId="826" priority="217">
      <formula>$J27="GOOD"</formula>
    </cfRule>
  </conditionalFormatting>
  <conditionalFormatting sqref="I28">
    <cfRule type="expression" dxfId="825" priority="214">
      <formula>AND($A28="clikt",$J28&lt;&gt;"GOOD")</formula>
    </cfRule>
    <cfRule type="expression" dxfId="824" priority="215">
      <formula>$J28="GOOD"</formula>
    </cfRule>
  </conditionalFormatting>
  <conditionalFormatting sqref="I29">
    <cfRule type="expression" dxfId="823" priority="212">
      <formula>AND($A29="clikt",$J29&lt;&gt;"GOOD")</formula>
    </cfRule>
    <cfRule type="expression" dxfId="822" priority="213">
      <formula>$J29="GOOD"</formula>
    </cfRule>
  </conditionalFormatting>
  <conditionalFormatting sqref="I30">
    <cfRule type="expression" dxfId="821" priority="210">
      <formula>AND($A30="clikt",$J30&lt;&gt;"GOOD")</formula>
    </cfRule>
    <cfRule type="expression" dxfId="820" priority="211">
      <formula>$J30="GOOD"</formula>
    </cfRule>
  </conditionalFormatting>
  <conditionalFormatting sqref="I31">
    <cfRule type="expression" dxfId="819" priority="208">
      <formula>AND($A31="clikt",$J31&lt;&gt;"GOOD")</formula>
    </cfRule>
    <cfRule type="expression" dxfId="818" priority="209">
      <formula>$J31="GOOD"</formula>
    </cfRule>
  </conditionalFormatting>
  <conditionalFormatting sqref="J9">
    <cfRule type="cellIs" priority="206" operator="between">
      <formula>1</formula>
      <formula>2</formula>
    </cfRule>
    <cfRule type="cellIs" dxfId="817" priority="207" operator="equal">
      <formula>"""GOOD"""</formula>
    </cfRule>
  </conditionalFormatting>
  <conditionalFormatting sqref="J10">
    <cfRule type="cellIs" priority="204" operator="between">
      <formula>1</formula>
      <formula>2</formula>
    </cfRule>
    <cfRule type="cellIs" dxfId="816" priority="205" operator="equal">
      <formula>"""GOOD"""</formula>
    </cfRule>
  </conditionalFormatting>
  <conditionalFormatting sqref="J11">
    <cfRule type="cellIs" priority="202" operator="between">
      <formula>1</formula>
      <formula>2</formula>
    </cfRule>
    <cfRule type="cellIs" dxfId="815" priority="203" operator="equal">
      <formula>"""GOOD"""</formula>
    </cfRule>
  </conditionalFormatting>
  <conditionalFormatting sqref="J12">
    <cfRule type="cellIs" priority="200" operator="between">
      <formula>1</formula>
      <formula>2</formula>
    </cfRule>
    <cfRule type="cellIs" dxfId="814" priority="201" operator="equal">
      <formula>"""GOOD"""</formula>
    </cfRule>
  </conditionalFormatting>
  <conditionalFormatting sqref="J13">
    <cfRule type="cellIs" priority="198" operator="between">
      <formula>1</formula>
      <formula>2</formula>
    </cfRule>
    <cfRule type="cellIs" dxfId="813" priority="199" operator="equal">
      <formula>"""GOOD"""</formula>
    </cfRule>
  </conditionalFormatting>
  <conditionalFormatting sqref="J14">
    <cfRule type="cellIs" priority="196" operator="between">
      <formula>1</formula>
      <formula>2</formula>
    </cfRule>
    <cfRule type="cellIs" dxfId="812" priority="197" operator="equal">
      <formula>"""GOOD"""</formula>
    </cfRule>
  </conditionalFormatting>
  <conditionalFormatting sqref="J15">
    <cfRule type="cellIs" priority="194" operator="between">
      <formula>1</formula>
      <formula>2</formula>
    </cfRule>
    <cfRule type="cellIs" dxfId="811" priority="195" operator="equal">
      <formula>"""GOOD"""</formula>
    </cfRule>
  </conditionalFormatting>
  <conditionalFormatting sqref="J16">
    <cfRule type="cellIs" priority="192" operator="between">
      <formula>1</formula>
      <formula>2</formula>
    </cfRule>
    <cfRule type="cellIs" dxfId="810" priority="193" operator="equal">
      <formula>"""GOOD"""</formula>
    </cfRule>
  </conditionalFormatting>
  <conditionalFormatting sqref="J17">
    <cfRule type="cellIs" priority="190" operator="between">
      <formula>1</formula>
      <formula>2</formula>
    </cfRule>
    <cfRule type="cellIs" dxfId="809" priority="191" operator="equal">
      <formula>"""GOOD"""</formula>
    </cfRule>
  </conditionalFormatting>
  <conditionalFormatting sqref="J18">
    <cfRule type="cellIs" priority="188" operator="between">
      <formula>1</formula>
      <formula>2</formula>
    </cfRule>
    <cfRule type="cellIs" dxfId="808" priority="189" operator="equal">
      <formula>"""GOOD"""</formula>
    </cfRule>
  </conditionalFormatting>
  <conditionalFormatting sqref="J19">
    <cfRule type="cellIs" priority="186" operator="between">
      <formula>1</formula>
      <formula>2</formula>
    </cfRule>
    <cfRule type="cellIs" dxfId="807" priority="187" operator="equal">
      <formula>"""GOOD"""</formula>
    </cfRule>
  </conditionalFormatting>
  <conditionalFormatting sqref="J20">
    <cfRule type="cellIs" priority="184" operator="between">
      <formula>1</formula>
      <formula>2</formula>
    </cfRule>
    <cfRule type="cellIs" dxfId="806" priority="185" operator="equal">
      <formula>"""GOOD"""</formula>
    </cfRule>
  </conditionalFormatting>
  <conditionalFormatting sqref="J21">
    <cfRule type="cellIs" priority="182" operator="between">
      <formula>1</formula>
      <formula>2</formula>
    </cfRule>
    <cfRule type="cellIs" dxfId="805" priority="183" operator="equal">
      <formula>"""GOOD"""</formula>
    </cfRule>
  </conditionalFormatting>
  <conditionalFormatting sqref="J22">
    <cfRule type="cellIs" priority="180" operator="between">
      <formula>1</formula>
      <formula>2</formula>
    </cfRule>
    <cfRule type="cellIs" dxfId="804" priority="181" operator="equal">
      <formula>"""GOOD"""</formula>
    </cfRule>
  </conditionalFormatting>
  <conditionalFormatting sqref="J23">
    <cfRule type="cellIs" priority="178" operator="between">
      <formula>1</formula>
      <formula>2</formula>
    </cfRule>
    <cfRule type="cellIs" dxfId="803" priority="179" operator="equal">
      <formula>"""GOOD"""</formula>
    </cfRule>
  </conditionalFormatting>
  <conditionalFormatting sqref="J24">
    <cfRule type="cellIs" priority="176" operator="between">
      <formula>1</formula>
      <formula>2</formula>
    </cfRule>
    <cfRule type="cellIs" dxfId="802" priority="177" operator="equal">
      <formula>"""GOOD"""</formula>
    </cfRule>
  </conditionalFormatting>
  <conditionalFormatting sqref="J25">
    <cfRule type="cellIs" priority="174" operator="between">
      <formula>1</formula>
      <formula>2</formula>
    </cfRule>
    <cfRule type="cellIs" dxfId="801" priority="175" operator="equal">
      <formula>"""GOOD"""</formula>
    </cfRule>
  </conditionalFormatting>
  <conditionalFormatting sqref="J26">
    <cfRule type="cellIs" priority="172" operator="between">
      <formula>1</formula>
      <formula>2</formula>
    </cfRule>
    <cfRule type="cellIs" dxfId="800" priority="173" operator="equal">
      <formula>"""GOOD"""</formula>
    </cfRule>
  </conditionalFormatting>
  <conditionalFormatting sqref="J27">
    <cfRule type="cellIs" priority="170" operator="between">
      <formula>1</formula>
      <formula>2</formula>
    </cfRule>
    <cfRule type="cellIs" dxfId="799" priority="171" operator="equal">
      <formula>"""GOOD"""</formula>
    </cfRule>
  </conditionalFormatting>
  <conditionalFormatting sqref="J28">
    <cfRule type="cellIs" priority="168" operator="between">
      <formula>1</formula>
      <formula>2</formula>
    </cfRule>
    <cfRule type="cellIs" dxfId="798" priority="169" operator="equal">
      <formula>"""GOOD"""</formula>
    </cfRule>
  </conditionalFormatting>
  <conditionalFormatting sqref="J29">
    <cfRule type="cellIs" priority="166" operator="between">
      <formula>1</formula>
      <formula>2</formula>
    </cfRule>
    <cfRule type="cellIs" dxfId="797" priority="167" operator="equal">
      <formula>"""GOOD"""</formula>
    </cfRule>
  </conditionalFormatting>
  <conditionalFormatting sqref="J30">
    <cfRule type="cellIs" priority="164" operator="between">
      <formula>1</formula>
      <formula>2</formula>
    </cfRule>
    <cfRule type="cellIs" dxfId="796" priority="165" operator="equal">
      <formula>"""GOOD"""</formula>
    </cfRule>
  </conditionalFormatting>
  <conditionalFormatting sqref="J31">
    <cfRule type="cellIs" priority="162" operator="between">
      <formula>1</formula>
      <formula>2</formula>
    </cfRule>
    <cfRule type="cellIs" dxfId="795" priority="163" operator="equal">
      <formula>"""GOOD"""</formula>
    </cfRule>
  </conditionalFormatting>
  <conditionalFormatting sqref="O7">
    <cfRule type="expression" dxfId="794" priority="151">
      <formula>OR($O7&lt;&gt;"",$P7&lt;&gt;"",$Q7&lt;&gt;"")</formula>
    </cfRule>
  </conditionalFormatting>
  <conditionalFormatting sqref="P7">
    <cfRule type="expression" dxfId="793" priority="74">
      <formula>OR($O7&lt;&gt;"",$P7&lt;&gt;"",$Q7&lt;&gt;"")</formula>
    </cfRule>
  </conditionalFormatting>
  <conditionalFormatting sqref="O8">
    <cfRule type="expression" dxfId="792" priority="73">
      <formula>OR($O8&lt;&gt;"",$P8&lt;&gt;"",$Q8&lt;&gt;"")</formula>
    </cfRule>
  </conditionalFormatting>
  <conditionalFormatting sqref="P8">
    <cfRule type="expression" dxfId="791" priority="72">
      <formula>OR($O8&lt;&gt;"",$P8&lt;&gt;"",$Q8&lt;&gt;"")</formula>
    </cfRule>
  </conditionalFormatting>
  <conditionalFormatting sqref="Q7">
    <cfRule type="expression" dxfId="790" priority="71">
      <formula>OR($O7&lt;&gt;"",$P7&lt;&gt;"",$Q7&lt;&gt;"")</formula>
    </cfRule>
  </conditionalFormatting>
  <conditionalFormatting sqref="O9">
    <cfRule type="expression" dxfId="789" priority="70">
      <formula>OR($O9&lt;&gt;"",$P9&lt;&gt;"",$Q9&lt;&gt;"")</formula>
    </cfRule>
  </conditionalFormatting>
  <conditionalFormatting sqref="O10">
    <cfRule type="expression" dxfId="788" priority="69">
      <formula>OR($O10&lt;&gt;"",$P10&lt;&gt;"",$Q10&lt;&gt;"")</formula>
    </cfRule>
  </conditionalFormatting>
  <conditionalFormatting sqref="O11">
    <cfRule type="expression" dxfId="787" priority="68">
      <formula>OR($O11&lt;&gt;"",$P11&lt;&gt;"",$Q11&lt;&gt;"")</formula>
    </cfRule>
  </conditionalFormatting>
  <conditionalFormatting sqref="O12">
    <cfRule type="expression" dxfId="786" priority="67">
      <formula>OR($O12&lt;&gt;"",$P12&lt;&gt;"",$Q12&lt;&gt;"")</formula>
    </cfRule>
  </conditionalFormatting>
  <conditionalFormatting sqref="O13">
    <cfRule type="expression" dxfId="785" priority="66">
      <formula>OR($O13&lt;&gt;"",$P13&lt;&gt;"",$Q13&lt;&gt;"")</formula>
    </cfRule>
  </conditionalFormatting>
  <conditionalFormatting sqref="O14">
    <cfRule type="expression" dxfId="784" priority="65">
      <formula>OR($O14&lt;&gt;"",$P14&lt;&gt;"",$Q14&lt;&gt;"")</formula>
    </cfRule>
  </conditionalFormatting>
  <conditionalFormatting sqref="O15">
    <cfRule type="expression" dxfId="783" priority="64">
      <formula>OR($O15&lt;&gt;"",$P15&lt;&gt;"",$Q15&lt;&gt;"")</formula>
    </cfRule>
  </conditionalFormatting>
  <conditionalFormatting sqref="O16">
    <cfRule type="expression" dxfId="782" priority="63">
      <formula>OR($O16&lt;&gt;"",$P16&lt;&gt;"",$Q16&lt;&gt;"")</formula>
    </cfRule>
  </conditionalFormatting>
  <conditionalFormatting sqref="O17">
    <cfRule type="expression" dxfId="781" priority="62">
      <formula>OR($O17&lt;&gt;"",$P17&lt;&gt;"",$Q17&lt;&gt;"")</formula>
    </cfRule>
  </conditionalFormatting>
  <conditionalFormatting sqref="O18">
    <cfRule type="expression" dxfId="780" priority="61">
      <formula>OR($O18&lt;&gt;"",$P18&lt;&gt;"",$Q18&lt;&gt;"")</formula>
    </cfRule>
  </conditionalFormatting>
  <conditionalFormatting sqref="O19">
    <cfRule type="expression" dxfId="779" priority="60">
      <formula>OR($O19&lt;&gt;"",$P19&lt;&gt;"",$Q19&lt;&gt;"")</formula>
    </cfRule>
  </conditionalFormatting>
  <conditionalFormatting sqref="O20">
    <cfRule type="expression" dxfId="778" priority="59">
      <formula>OR($O20&lt;&gt;"",$P20&lt;&gt;"",$Q20&lt;&gt;"")</formula>
    </cfRule>
  </conditionalFormatting>
  <conditionalFormatting sqref="O21">
    <cfRule type="expression" dxfId="777" priority="58">
      <formula>OR($O21&lt;&gt;"",$P21&lt;&gt;"",$Q21&lt;&gt;"")</formula>
    </cfRule>
  </conditionalFormatting>
  <conditionalFormatting sqref="O22">
    <cfRule type="expression" dxfId="776" priority="57">
      <formula>OR($O22&lt;&gt;"",$P22&lt;&gt;"",$Q22&lt;&gt;"")</formula>
    </cfRule>
  </conditionalFormatting>
  <conditionalFormatting sqref="O23">
    <cfRule type="expression" dxfId="775" priority="56">
      <formula>OR($O23&lt;&gt;"",$P23&lt;&gt;"",$Q23&lt;&gt;"")</formula>
    </cfRule>
  </conditionalFormatting>
  <conditionalFormatting sqref="O24">
    <cfRule type="expression" dxfId="774" priority="55">
      <formula>OR($O24&lt;&gt;"",$P24&lt;&gt;"",$Q24&lt;&gt;"")</formula>
    </cfRule>
  </conditionalFormatting>
  <conditionalFormatting sqref="O25">
    <cfRule type="expression" dxfId="773" priority="54">
      <formula>OR($O25&lt;&gt;"",$P25&lt;&gt;"",$Q25&lt;&gt;"")</formula>
    </cfRule>
  </conditionalFormatting>
  <conditionalFormatting sqref="O26">
    <cfRule type="expression" dxfId="772" priority="53">
      <formula>OR($O26&lt;&gt;"",$P26&lt;&gt;"",$Q26&lt;&gt;"")</formula>
    </cfRule>
  </conditionalFormatting>
  <conditionalFormatting sqref="O27">
    <cfRule type="expression" dxfId="771" priority="52">
      <formula>OR($O27&lt;&gt;"",$P27&lt;&gt;"",$Q27&lt;&gt;"")</formula>
    </cfRule>
  </conditionalFormatting>
  <conditionalFormatting sqref="O28">
    <cfRule type="expression" dxfId="770" priority="51">
      <formula>OR($O28&lt;&gt;"",$P28&lt;&gt;"",$Q28&lt;&gt;"")</formula>
    </cfRule>
  </conditionalFormatting>
  <conditionalFormatting sqref="O29">
    <cfRule type="expression" dxfId="769" priority="50">
      <formula>OR($O29&lt;&gt;"",$P29&lt;&gt;"",$Q29&lt;&gt;"")</formula>
    </cfRule>
  </conditionalFormatting>
  <conditionalFormatting sqref="O30">
    <cfRule type="expression" dxfId="768" priority="49">
      <formula>OR($O30&lt;&gt;"",$P30&lt;&gt;"",$Q30&lt;&gt;"")</formula>
    </cfRule>
  </conditionalFormatting>
  <conditionalFormatting sqref="O31">
    <cfRule type="expression" dxfId="767" priority="48">
      <formula>OR($O31&lt;&gt;"",$P31&lt;&gt;"",$Q31&lt;&gt;"")</formula>
    </cfRule>
  </conditionalFormatting>
  <conditionalFormatting sqref="Q8">
    <cfRule type="expression" dxfId="766" priority="47">
      <formula>OR($O8&lt;&gt;"",$P8&lt;&gt;"",$Q8&lt;&gt;"")</formula>
    </cfRule>
  </conditionalFormatting>
  <conditionalFormatting sqref="P9">
    <cfRule type="expression" dxfId="765" priority="46">
      <formula>OR($O9&lt;&gt;"",$P9&lt;&gt;"",$Q9&lt;&gt;"")</formula>
    </cfRule>
  </conditionalFormatting>
  <conditionalFormatting sqref="Q9">
    <cfRule type="expression" dxfId="764" priority="45">
      <formula>OR($O9&lt;&gt;"",$P9&lt;&gt;"",$Q9&lt;&gt;"")</formula>
    </cfRule>
  </conditionalFormatting>
  <conditionalFormatting sqref="P10">
    <cfRule type="expression" dxfId="763" priority="44">
      <formula>OR($O10&lt;&gt;"",$P10&lt;&gt;"",$Q10&lt;&gt;"")</formula>
    </cfRule>
  </conditionalFormatting>
  <conditionalFormatting sqref="Q10">
    <cfRule type="expression" dxfId="762" priority="43">
      <formula>OR($O10&lt;&gt;"",$P10&lt;&gt;"",$Q10&lt;&gt;"")</formula>
    </cfRule>
  </conditionalFormatting>
  <conditionalFormatting sqref="P11">
    <cfRule type="expression" dxfId="761" priority="42">
      <formula>OR($O11&lt;&gt;"",$P11&lt;&gt;"",$Q11&lt;&gt;"")</formula>
    </cfRule>
  </conditionalFormatting>
  <conditionalFormatting sqref="Q11">
    <cfRule type="expression" dxfId="760" priority="41">
      <formula>OR($O11&lt;&gt;"",$P11&lt;&gt;"",$Q11&lt;&gt;"")</formula>
    </cfRule>
  </conditionalFormatting>
  <conditionalFormatting sqref="P12">
    <cfRule type="expression" dxfId="759" priority="40">
      <formula>OR($O12&lt;&gt;"",$P12&lt;&gt;"",$Q12&lt;&gt;"")</formula>
    </cfRule>
  </conditionalFormatting>
  <conditionalFormatting sqref="Q12">
    <cfRule type="expression" dxfId="758" priority="39">
      <formula>OR($O12&lt;&gt;"",$P12&lt;&gt;"",$Q12&lt;&gt;"")</formula>
    </cfRule>
  </conditionalFormatting>
  <conditionalFormatting sqref="P13">
    <cfRule type="expression" dxfId="757" priority="38">
      <formula>OR($O13&lt;&gt;"",$P13&lt;&gt;"",$Q13&lt;&gt;"")</formula>
    </cfRule>
  </conditionalFormatting>
  <conditionalFormatting sqref="Q13">
    <cfRule type="expression" dxfId="756" priority="37">
      <formula>OR($O13&lt;&gt;"",$P13&lt;&gt;"",$Q13&lt;&gt;"")</formula>
    </cfRule>
  </conditionalFormatting>
  <conditionalFormatting sqref="P14">
    <cfRule type="expression" dxfId="755" priority="36">
      <formula>OR($O14&lt;&gt;"",$P14&lt;&gt;"",$Q14&lt;&gt;"")</formula>
    </cfRule>
  </conditionalFormatting>
  <conditionalFormatting sqref="Q14">
    <cfRule type="expression" dxfId="754" priority="35">
      <formula>OR($O14&lt;&gt;"",$P14&lt;&gt;"",$Q14&lt;&gt;"")</formula>
    </cfRule>
  </conditionalFormatting>
  <conditionalFormatting sqref="P15">
    <cfRule type="expression" dxfId="753" priority="34">
      <formula>OR($O15&lt;&gt;"",$P15&lt;&gt;"",$Q15&lt;&gt;"")</formula>
    </cfRule>
  </conditionalFormatting>
  <conditionalFormatting sqref="Q15">
    <cfRule type="expression" dxfId="752" priority="33">
      <formula>OR($O15&lt;&gt;"",$P15&lt;&gt;"",$Q15&lt;&gt;"")</formula>
    </cfRule>
  </conditionalFormatting>
  <conditionalFormatting sqref="P16">
    <cfRule type="expression" dxfId="751" priority="32">
      <formula>OR($O16&lt;&gt;"",$P16&lt;&gt;"",$Q16&lt;&gt;"")</formula>
    </cfRule>
  </conditionalFormatting>
  <conditionalFormatting sqref="Q16">
    <cfRule type="expression" dxfId="750" priority="31">
      <formula>OR($O16&lt;&gt;"",$P16&lt;&gt;"",$Q16&lt;&gt;"")</formula>
    </cfRule>
  </conditionalFormatting>
  <conditionalFormatting sqref="P17">
    <cfRule type="expression" dxfId="749" priority="30">
      <formula>OR($O17&lt;&gt;"",$P17&lt;&gt;"",$Q17&lt;&gt;"")</formula>
    </cfRule>
  </conditionalFormatting>
  <conditionalFormatting sqref="Q17">
    <cfRule type="expression" dxfId="748" priority="29">
      <formula>OR($O17&lt;&gt;"",$P17&lt;&gt;"",$Q17&lt;&gt;"")</formula>
    </cfRule>
  </conditionalFormatting>
  <conditionalFormatting sqref="P18">
    <cfRule type="expression" dxfId="747" priority="28">
      <formula>OR($O18&lt;&gt;"",$P18&lt;&gt;"",$Q18&lt;&gt;"")</formula>
    </cfRule>
  </conditionalFormatting>
  <conditionalFormatting sqref="Q18">
    <cfRule type="expression" dxfId="746" priority="27">
      <formula>OR($O18&lt;&gt;"",$P18&lt;&gt;"",$Q18&lt;&gt;"")</formula>
    </cfRule>
  </conditionalFormatting>
  <conditionalFormatting sqref="P19">
    <cfRule type="expression" dxfId="745" priority="26">
      <formula>OR($O19&lt;&gt;"",$P19&lt;&gt;"",$Q19&lt;&gt;"")</formula>
    </cfRule>
  </conditionalFormatting>
  <conditionalFormatting sqref="Q19">
    <cfRule type="expression" dxfId="744" priority="25">
      <formula>OR($O19&lt;&gt;"",$P19&lt;&gt;"",$Q19&lt;&gt;"")</formula>
    </cfRule>
  </conditionalFormatting>
  <conditionalFormatting sqref="P20">
    <cfRule type="expression" dxfId="743" priority="24">
      <formula>OR($O20&lt;&gt;"",$P20&lt;&gt;"",$Q20&lt;&gt;"")</formula>
    </cfRule>
  </conditionalFormatting>
  <conditionalFormatting sqref="Q20">
    <cfRule type="expression" dxfId="742" priority="23">
      <formula>OR($O20&lt;&gt;"",$P20&lt;&gt;"",$Q20&lt;&gt;"")</formula>
    </cfRule>
  </conditionalFormatting>
  <conditionalFormatting sqref="P21">
    <cfRule type="expression" dxfId="741" priority="22">
      <formula>OR($O21&lt;&gt;"",$P21&lt;&gt;"",$Q21&lt;&gt;"")</formula>
    </cfRule>
  </conditionalFormatting>
  <conditionalFormatting sqref="Q21">
    <cfRule type="expression" dxfId="740" priority="21">
      <formula>OR($O21&lt;&gt;"",$P21&lt;&gt;"",$Q21&lt;&gt;"")</formula>
    </cfRule>
  </conditionalFormatting>
  <conditionalFormatting sqref="P22">
    <cfRule type="expression" dxfId="739" priority="20">
      <formula>OR($O22&lt;&gt;"",$P22&lt;&gt;"",$Q22&lt;&gt;"")</formula>
    </cfRule>
  </conditionalFormatting>
  <conditionalFormatting sqref="Q22">
    <cfRule type="expression" dxfId="738" priority="19">
      <formula>OR($O22&lt;&gt;"",$P22&lt;&gt;"",$Q22&lt;&gt;"")</formula>
    </cfRule>
  </conditionalFormatting>
  <conditionalFormatting sqref="P23">
    <cfRule type="expression" dxfId="737" priority="18">
      <formula>OR($O23&lt;&gt;"",$P23&lt;&gt;"",$Q23&lt;&gt;"")</formula>
    </cfRule>
  </conditionalFormatting>
  <conditionalFormatting sqref="Q23">
    <cfRule type="expression" dxfId="736" priority="17">
      <formula>OR($O23&lt;&gt;"",$P23&lt;&gt;"",$Q23&lt;&gt;"")</formula>
    </cfRule>
  </conditionalFormatting>
  <conditionalFormatting sqref="P24">
    <cfRule type="expression" dxfId="735" priority="16">
      <formula>OR($O24&lt;&gt;"",$P24&lt;&gt;"",$Q24&lt;&gt;"")</formula>
    </cfRule>
  </conditionalFormatting>
  <conditionalFormatting sqref="Q24">
    <cfRule type="expression" dxfId="734" priority="15">
      <formula>OR($O24&lt;&gt;"",$P24&lt;&gt;"",$Q24&lt;&gt;"")</formula>
    </cfRule>
  </conditionalFormatting>
  <conditionalFormatting sqref="P25">
    <cfRule type="expression" dxfId="733" priority="14">
      <formula>OR($O25&lt;&gt;"",$P25&lt;&gt;"",$Q25&lt;&gt;"")</formula>
    </cfRule>
  </conditionalFormatting>
  <conditionalFormatting sqref="Q25">
    <cfRule type="expression" dxfId="732" priority="13">
      <formula>OR($O25&lt;&gt;"",$P25&lt;&gt;"",$Q25&lt;&gt;"")</formula>
    </cfRule>
  </conditionalFormatting>
  <conditionalFormatting sqref="P26">
    <cfRule type="expression" dxfId="731" priority="12">
      <formula>OR($O26&lt;&gt;"",$P26&lt;&gt;"",$Q26&lt;&gt;"")</formula>
    </cfRule>
  </conditionalFormatting>
  <conditionalFormatting sqref="Q26">
    <cfRule type="expression" dxfId="730" priority="11">
      <formula>OR($O26&lt;&gt;"",$P26&lt;&gt;"",$Q26&lt;&gt;"")</formula>
    </cfRule>
  </conditionalFormatting>
  <conditionalFormatting sqref="P27">
    <cfRule type="expression" dxfId="729" priority="10">
      <formula>OR($O27&lt;&gt;"",$P27&lt;&gt;"",$Q27&lt;&gt;"")</formula>
    </cfRule>
  </conditionalFormatting>
  <conditionalFormatting sqref="Q27">
    <cfRule type="expression" dxfId="728" priority="9">
      <formula>OR($O27&lt;&gt;"",$P27&lt;&gt;"",$Q27&lt;&gt;"")</formula>
    </cfRule>
  </conditionalFormatting>
  <conditionalFormatting sqref="P28">
    <cfRule type="expression" dxfId="727" priority="8">
      <formula>OR($O28&lt;&gt;"",$P28&lt;&gt;"",$Q28&lt;&gt;"")</formula>
    </cfRule>
  </conditionalFormatting>
  <conditionalFormatting sqref="Q28">
    <cfRule type="expression" dxfId="726" priority="7">
      <formula>OR($O28&lt;&gt;"",$P28&lt;&gt;"",$Q28&lt;&gt;"")</formula>
    </cfRule>
  </conditionalFormatting>
  <conditionalFormatting sqref="P29">
    <cfRule type="expression" dxfId="725" priority="6">
      <formula>OR($O29&lt;&gt;"",$P29&lt;&gt;"",$Q29&lt;&gt;"")</formula>
    </cfRule>
  </conditionalFormatting>
  <conditionalFormatting sqref="Q29">
    <cfRule type="expression" dxfId="724" priority="5">
      <formula>OR($O29&lt;&gt;"",$P29&lt;&gt;"",$Q29&lt;&gt;"")</formula>
    </cfRule>
  </conditionalFormatting>
  <conditionalFormatting sqref="P30">
    <cfRule type="expression" dxfId="723" priority="4">
      <formula>OR($O30&lt;&gt;"",$P30&lt;&gt;"",$Q30&lt;&gt;"")</formula>
    </cfRule>
  </conditionalFormatting>
  <conditionalFormatting sqref="Q30">
    <cfRule type="expression" dxfId="722" priority="3">
      <formula>OR($O30&lt;&gt;"",$P30&lt;&gt;"",$Q30&lt;&gt;"")</formula>
    </cfRule>
  </conditionalFormatting>
  <conditionalFormatting sqref="P31">
    <cfRule type="expression" dxfId="721" priority="2">
      <formula>OR($O31&lt;&gt;"",$P31&lt;&gt;"",$Q31&lt;&gt;"")</formula>
    </cfRule>
  </conditionalFormatting>
  <conditionalFormatting sqref="Q31">
    <cfRule type="expression" dxfId="720" priority="1">
      <formula>OR($O31&lt;&gt;"",$P31&lt;&gt;"",$Q31&lt;&gt;"")</formula>
    </cfRule>
  </conditionalFormatting>
  <hyperlinks>
    <hyperlink ref="P2" r:id="rId1" xr:uid="{43A13460-2DD3-4F63-9698-8B37207D5AE7}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32"/>
  <sheetViews>
    <sheetView showGridLines="0" workbookViewId="0"/>
  </sheetViews>
  <sheetFormatPr defaultRowHeight="14.4"/>
  <cols>
    <col min="1" max="1" width="8.88671875" style="8"/>
    <col min="2" max="4" width="3.77734375" style="19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1" ht="16.8">
      <c r="A1" s="63" t="str">
        <f>[1]!wwsSetup("useHTTPS", TRUE)</f>
        <v>useHTTPS = "True"</v>
      </c>
      <c r="D1" s="29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R1" s="5"/>
      <c r="U1" t="s">
        <v>95</v>
      </c>
    </row>
    <row r="2" spans="1:21" s="28" customFormat="1" ht="15.6" customHeight="1">
      <c r="A2" s="24"/>
      <c r="B2" s="25"/>
      <c r="C2" s="25"/>
      <c r="D2" s="25"/>
      <c r="E2" s="26" t="s">
        <v>71</v>
      </c>
      <c r="F2" s="66"/>
      <c r="G2" s="66"/>
      <c r="H2" s="66"/>
      <c r="I2" s="27" t="s">
        <v>72</v>
      </c>
      <c r="J2" s="66"/>
      <c r="K2" s="66"/>
      <c r="L2" s="66"/>
      <c r="M2" s="38"/>
      <c r="N2" s="70" t="s">
        <v>89</v>
      </c>
      <c r="O2" s="70"/>
      <c r="P2" s="41" t="s">
        <v>88</v>
      </c>
      <c r="Q2" s="48"/>
      <c r="R2" s="49"/>
      <c r="U2" s="28" t="s">
        <v>96</v>
      </c>
    </row>
    <row r="3" spans="1:21">
      <c r="E3" s="6"/>
      <c r="F3"/>
      <c r="M3" s="36"/>
      <c r="N3" s="36"/>
      <c r="U3" t="str">
        <f>[1]!wwsSetup("metatags", "NAME OF AUDIO FILE.txt")</f>
        <v>metatags = "NAME OF AUDIO FILE.txt"</v>
      </c>
    </row>
    <row r="4" spans="1:21" ht="52.2" customHeight="1">
      <c r="E4" s="64" t="s">
        <v>77</v>
      </c>
      <c r="F4" s="8"/>
      <c r="G4" s="68" t="s">
        <v>84</v>
      </c>
      <c r="H4" s="68"/>
      <c r="I4" s="68"/>
      <c r="K4" s="39"/>
      <c r="O4" s="68" t="s">
        <v>85</v>
      </c>
      <c r="P4" s="68"/>
      <c r="Q4" s="68"/>
    </row>
    <row r="5" spans="1:21" ht="25.2" customHeight="1">
      <c r="E5" s="64"/>
      <c r="F5" s="51"/>
      <c r="N5" s="69" t="s">
        <v>76</v>
      </c>
      <c r="O5" s="69"/>
      <c r="P5" s="65" t="str">
        <f>[1]!wwsInput()</f>
        <v/>
      </c>
      <c r="Q5" s="65"/>
      <c r="R5" s="65"/>
      <c r="S5" s="65"/>
    </row>
    <row r="6" spans="1:21">
      <c r="E6" s="51" t="s">
        <v>69</v>
      </c>
      <c r="F6" s="51"/>
      <c r="G6" s="67" t="s">
        <v>70</v>
      </c>
      <c r="H6" s="67"/>
      <c r="I6" s="67"/>
      <c r="O6" s="67" t="s">
        <v>70</v>
      </c>
      <c r="P6" s="67"/>
      <c r="Q6" s="67"/>
      <c r="S6" s="19"/>
      <c r="T6" s="19"/>
      <c r="U6" s="19"/>
    </row>
    <row r="7" spans="1:21" s="10" customFormat="1" ht="25.05" customHeight="1">
      <c r="A7" s="14" t="str">
        <f>IF(OR(G7&lt;&gt;"",H7&lt;&gt;"",I7&lt;&gt;""),"clikt","")</f>
        <v>clikt</v>
      </c>
      <c r="B7" s="30" t="s">
        <v>8</v>
      </c>
      <c r="C7" s="30" t="s">
        <v>3</v>
      </c>
      <c r="D7" s="30" t="s">
        <v>0</v>
      </c>
      <c r="E7" s="52" t="s">
        <v>3</v>
      </c>
      <c r="F7" s="52">
        <v>1</v>
      </c>
      <c r="G7" s="15" t="str">
        <f>[1]!wwsCheckbox($B7,7,FALSE)</f>
        <v>bad</v>
      </c>
      <c r="H7" s="15" t="str">
        <f>[1]!wwsCheckbox($C7,7,FALSE)</f>
        <v>bam</v>
      </c>
      <c r="I7" s="15" t="str">
        <f>[1]!wwsCheckbox($D7,7,FALSE)</f>
        <v>bat</v>
      </c>
      <c r="J7" s="10" t="str">
        <f>IF(OR(E7=G7,E7=H7,E7=I7),"GOOD","")</f>
        <v>GOOD</v>
      </c>
      <c r="L7" s="14"/>
      <c r="N7" s="9">
        <v>1</v>
      </c>
      <c r="O7" s="15" t="str">
        <f>[1]!wwsCheckbox($C7,107,FALSE)</f>
        <v>bam</v>
      </c>
      <c r="P7" s="15" t="str">
        <f>[1]!wwsCheckbox($D7,107,FALSE)</f>
        <v>bat</v>
      </c>
      <c r="Q7" s="15" t="str">
        <f>[1]!wwsCheckbox($B7,107,FALSE)</f>
        <v>bad</v>
      </c>
      <c r="R7" s="14">
        <f>IF(OR(E7=O7,E7=P7,E7=Q7),1,0)</f>
        <v>1</v>
      </c>
      <c r="S7" s="20"/>
      <c r="T7" s="21"/>
      <c r="U7" s="20"/>
    </row>
    <row r="8" spans="1:21" s="10" customFormat="1" ht="25.05" customHeight="1">
      <c r="A8" s="14" t="str">
        <f>IF(OR(G8&lt;&gt;"",H8&lt;&gt;"",I8&lt;&gt;""),"clikt","")</f>
        <v>clikt</v>
      </c>
      <c r="B8" s="30" t="s">
        <v>5</v>
      </c>
      <c r="C8" s="30" t="s">
        <v>6</v>
      </c>
      <c r="D8" s="30" t="s">
        <v>17</v>
      </c>
      <c r="E8" s="52" t="s">
        <v>17</v>
      </c>
      <c r="F8" s="52">
        <f>1+F7</f>
        <v>2</v>
      </c>
      <c r="G8" s="15" t="str">
        <f>[1]!wwsCheckbox($B8,8,FALSE)</f>
        <v>dam</v>
      </c>
      <c r="H8" s="15" t="str">
        <f>[1]!wwsCheckbox($C8,8,FALSE)</f>
        <v>dad</v>
      </c>
      <c r="I8" s="15" t="str">
        <f>[1]!wwsCheckbox($D8,8,FALSE)</f>
        <v>dab</v>
      </c>
      <c r="J8" s="10" t="str">
        <f>IF(OR(E8=G8,E8=H8,E8=I8),"GOOD","")</f>
        <v>GOOD</v>
      </c>
      <c r="N8" s="9">
        <f>1+N7</f>
        <v>2</v>
      </c>
      <c r="O8" s="15" t="str">
        <f>[1]!wwsCheckbox($C8,108,FALSE)</f>
        <v>dad</v>
      </c>
      <c r="P8" s="15" t="str">
        <f>[1]!wwsCheckbox($D8,108,FALSE)</f>
        <v>dab</v>
      </c>
      <c r="Q8" s="15" t="str">
        <f>[1]!wwsCheckbox($B8,108,FALSE)</f>
        <v>dam</v>
      </c>
      <c r="R8" s="14">
        <f t="shared" ref="R8:R21" si="0">IF(OR(E8=O8,E8=P8,E8=Q8),1,0)</f>
        <v>1</v>
      </c>
      <c r="S8" s="20"/>
      <c r="T8" s="20"/>
      <c r="U8" s="22"/>
    </row>
    <row r="9" spans="1:21" s="10" customFormat="1" ht="25.05" customHeight="1">
      <c r="A9" s="14" t="str">
        <f t="shared" ref="A9:A31" si="1">IF(OR(G9&lt;&gt;"",H9&lt;&gt;"",I9&lt;&gt;""),"clikt","")</f>
        <v>clikt</v>
      </c>
      <c r="B9" s="30" t="s">
        <v>12</v>
      </c>
      <c r="C9" s="30" t="s">
        <v>10</v>
      </c>
      <c r="D9" s="30" t="s">
        <v>4</v>
      </c>
      <c r="E9" s="52" t="s">
        <v>4</v>
      </c>
      <c r="F9" s="52">
        <f t="shared" ref="F9:F21" si="2">1+F8</f>
        <v>3</v>
      </c>
      <c r="G9" s="15" t="str">
        <f>[1]!wwsCheckbox($B9,9,FALSE)</f>
        <v>man</v>
      </c>
      <c r="H9" s="15" t="str">
        <f>[1]!wwsCheckbox($C9,9,FALSE)</f>
        <v>map</v>
      </c>
      <c r="I9" s="15" t="str">
        <f>[1]!wwsCheckbox($D9,9,FALSE)</f>
        <v>mad</v>
      </c>
      <c r="J9" s="10" t="str">
        <f t="shared" ref="J9:J21" si="3">IF(OR(E9=G9,E9=H9,E9=I9),"GOOD","")</f>
        <v>GOOD</v>
      </c>
      <c r="N9" s="9">
        <f t="shared" ref="N9:N21" si="4">1+N8</f>
        <v>3</v>
      </c>
      <c r="O9" s="15" t="str">
        <f>[1]!wwsCheckbox($C9,109,FALSE)</f>
        <v>map</v>
      </c>
      <c r="P9" s="15" t="str">
        <f>[1]!wwsCheckbox($D9,109,FALSE)</f>
        <v>mad</v>
      </c>
      <c r="Q9" s="15" t="str">
        <f>[1]!wwsCheckbox($B9,109,FALSE)</f>
        <v>man</v>
      </c>
      <c r="R9" s="14">
        <f t="shared" si="0"/>
        <v>1</v>
      </c>
      <c r="S9" s="23"/>
      <c r="T9" s="23"/>
      <c r="U9" s="23"/>
    </row>
    <row r="10" spans="1:21" s="10" customFormat="1" ht="25.05" customHeight="1">
      <c r="A10" s="14" t="str">
        <f t="shared" si="1"/>
        <v>clikt</v>
      </c>
      <c r="B10" s="30" t="s">
        <v>18</v>
      </c>
      <c r="C10" s="30" t="s">
        <v>16</v>
      </c>
      <c r="D10" s="30" t="s">
        <v>13</v>
      </c>
      <c r="E10" s="52" t="s">
        <v>13</v>
      </c>
      <c r="F10" s="52">
        <f t="shared" si="2"/>
        <v>4</v>
      </c>
      <c r="G10" s="15" t="str">
        <f>[1]!wwsCheckbox($B10,10,FALSE)</f>
        <v>pan</v>
      </c>
      <c r="H10" s="15" t="str">
        <f>[1]!wwsCheckbox($C10,10,FALSE)</f>
        <v>pat</v>
      </c>
      <c r="I10" s="15" t="str">
        <f>[1]!wwsCheckbox($D10,10,FALSE)</f>
        <v>pad</v>
      </c>
      <c r="J10" s="10" t="str">
        <f t="shared" si="3"/>
        <v>GOOD</v>
      </c>
      <c r="N10" s="9">
        <f t="shared" si="4"/>
        <v>4</v>
      </c>
      <c r="O10" s="15" t="str">
        <f>[1]!wwsCheckbox($C10,110,FALSE)</f>
        <v>pat</v>
      </c>
      <c r="P10" s="15" t="str">
        <f>[1]!wwsCheckbox($D10,110,FALSE)</f>
        <v>pad</v>
      </c>
      <c r="Q10" s="15" t="str">
        <f>[1]!wwsCheckbox($B10,110,FALSE)</f>
        <v>pan</v>
      </c>
      <c r="R10" s="14">
        <f t="shared" si="0"/>
        <v>1</v>
      </c>
      <c r="S10" s="23"/>
      <c r="T10" s="23"/>
      <c r="U10" s="23"/>
    </row>
    <row r="11" spans="1:21" s="10" customFormat="1" ht="25.05" customHeight="1">
      <c r="A11" s="14" t="str">
        <f t="shared" si="1"/>
        <v>clikt</v>
      </c>
      <c r="B11" s="30" t="s">
        <v>78</v>
      </c>
      <c r="C11" s="30" t="s">
        <v>2</v>
      </c>
      <c r="D11" s="30" t="s">
        <v>7</v>
      </c>
      <c r="E11" s="52" t="s">
        <v>78</v>
      </c>
      <c r="F11" s="52">
        <f t="shared" si="2"/>
        <v>5</v>
      </c>
      <c r="G11" s="15" t="str">
        <f>[1]!wwsCheckbox($B11,11,FALSE)</f>
        <v>tad</v>
      </c>
      <c r="H11" s="15" t="str">
        <f>[1]!wwsCheckbox($C11,11,FALSE)</f>
        <v>tap</v>
      </c>
      <c r="I11" s="15" t="str">
        <f>[1]!wwsCheckbox($D11,11,FALSE)</f>
        <v>tab</v>
      </c>
      <c r="J11" s="10" t="str">
        <f t="shared" si="3"/>
        <v>GOOD</v>
      </c>
      <c r="N11" s="9">
        <f t="shared" si="4"/>
        <v>5</v>
      </c>
      <c r="O11" s="15" t="str">
        <f>[1]!wwsCheckbox($C11,111,FALSE)</f>
        <v>tap</v>
      </c>
      <c r="P11" s="15" t="str">
        <f>[1]!wwsCheckbox($D11,111,FALSE)</f>
        <v>tab</v>
      </c>
      <c r="Q11" s="15" t="str">
        <f>[1]!wwsCheckbox($B11,111,FALSE)</f>
        <v>tad</v>
      </c>
      <c r="R11" s="14">
        <f t="shared" si="0"/>
        <v>1</v>
      </c>
    </row>
    <row r="12" spans="1:21" s="10" customFormat="1" ht="25.05" customHeight="1">
      <c r="A12" s="14" t="str">
        <f t="shared" si="1"/>
        <v>clikt</v>
      </c>
      <c r="B12" s="30" t="s">
        <v>32</v>
      </c>
      <c r="C12" s="30" t="s">
        <v>37</v>
      </c>
      <c r="D12" s="30" t="s">
        <v>34</v>
      </c>
      <c r="E12" s="52" t="s">
        <v>37</v>
      </c>
      <c r="F12" s="52">
        <f t="shared" si="2"/>
        <v>6</v>
      </c>
      <c r="G12" s="15" t="str">
        <f>[1]!wwsCheckbox($B12,12,FALSE)</f>
        <v>bin</v>
      </c>
      <c r="H12" s="15" t="str">
        <f>[1]!wwsCheckbox($C12,12,FALSE)</f>
        <v>bit</v>
      </c>
      <c r="I12" s="15" t="str">
        <f>[1]!wwsCheckbox($D12,12,FALSE)</f>
        <v>bib</v>
      </c>
      <c r="J12" s="10" t="str">
        <f t="shared" si="3"/>
        <v>GOOD</v>
      </c>
      <c r="N12" s="9">
        <f t="shared" si="4"/>
        <v>6</v>
      </c>
      <c r="O12" s="15" t="str">
        <f>[1]!wwsCheckbox($C12,112,FALSE)</f>
        <v>bit</v>
      </c>
      <c r="P12" s="15" t="str">
        <f>[1]!wwsCheckbox($D12,112,FALSE)</f>
        <v>bib</v>
      </c>
      <c r="Q12" s="15" t="str">
        <f>[1]!wwsCheckbox($B12,112,FALSE)</f>
        <v>bin</v>
      </c>
      <c r="R12" s="14">
        <f t="shared" si="0"/>
        <v>1</v>
      </c>
    </row>
    <row r="13" spans="1:21" s="10" customFormat="1" ht="25.05" customHeight="1">
      <c r="A13" s="14" t="str">
        <f t="shared" si="1"/>
        <v>clikt</v>
      </c>
      <c r="B13" s="30" t="s">
        <v>30</v>
      </c>
      <c r="C13" s="30" t="s">
        <v>35</v>
      </c>
      <c r="D13" s="30" t="s">
        <v>33</v>
      </c>
      <c r="E13" s="52" t="s">
        <v>30</v>
      </c>
      <c r="F13" s="52">
        <f t="shared" si="2"/>
        <v>7</v>
      </c>
      <c r="G13" s="15" t="str">
        <f>[1]!wwsCheckbox($B13,13,FALSE)</f>
        <v>din</v>
      </c>
      <c r="H13" s="15" t="str">
        <f>[1]!wwsCheckbox($C13,13,FALSE)</f>
        <v>dim</v>
      </c>
      <c r="I13" s="15" t="str">
        <f>[1]!wwsCheckbox($D13,13,FALSE)</f>
        <v>dip</v>
      </c>
      <c r="J13" s="10" t="str">
        <f t="shared" si="3"/>
        <v>GOOD</v>
      </c>
      <c r="N13" s="9">
        <f t="shared" si="4"/>
        <v>7</v>
      </c>
      <c r="O13" s="15" t="str">
        <f>[1]!wwsCheckbox($C13,113,FALSE)</f>
        <v>dim</v>
      </c>
      <c r="P13" s="15" t="str">
        <f>[1]!wwsCheckbox($D13,113,FALSE)</f>
        <v>dip</v>
      </c>
      <c r="Q13" s="15" t="str">
        <f>[1]!wwsCheckbox($B13,113,FALSE)</f>
        <v>din</v>
      </c>
      <c r="R13" s="14">
        <f t="shared" si="0"/>
        <v>1</v>
      </c>
    </row>
    <row r="14" spans="1:21" s="10" customFormat="1" ht="25.05" customHeight="1">
      <c r="A14" s="14" t="str">
        <f t="shared" si="1"/>
        <v>clikt</v>
      </c>
      <c r="B14" s="30" t="s">
        <v>39</v>
      </c>
      <c r="C14" s="30" t="s">
        <v>36</v>
      </c>
      <c r="D14" s="30" t="s">
        <v>41</v>
      </c>
      <c r="E14" s="52" t="s">
        <v>36</v>
      </c>
      <c r="F14" s="52">
        <f t="shared" si="2"/>
        <v>8</v>
      </c>
      <c r="G14" s="15" t="str">
        <f>[1]!wwsCheckbox($B14,14,FALSE)</f>
        <v>pip</v>
      </c>
      <c r="H14" s="15" t="str">
        <f>[1]!wwsCheckbox($C14,14,FALSE)</f>
        <v>pit</v>
      </c>
      <c r="I14" s="15" t="str">
        <f>[1]!wwsCheckbox($D14,14,FALSE)</f>
        <v>pin</v>
      </c>
      <c r="J14" s="10" t="str">
        <f t="shared" si="3"/>
        <v>GOOD</v>
      </c>
      <c r="N14" s="9">
        <f t="shared" si="4"/>
        <v>8</v>
      </c>
      <c r="O14" s="15" t="str">
        <f>[1]!wwsCheckbox($C14,114,FALSE)</f>
        <v>pit</v>
      </c>
      <c r="P14" s="15" t="str">
        <f>[1]!wwsCheckbox($D14,114,FALSE)</f>
        <v>pin</v>
      </c>
      <c r="Q14" s="15" t="str">
        <f>[1]!wwsCheckbox($B14,114,FALSE)</f>
        <v>pip</v>
      </c>
      <c r="R14" s="14">
        <f t="shared" si="0"/>
        <v>1</v>
      </c>
    </row>
    <row r="15" spans="1:21" s="10" customFormat="1" ht="25.05" customHeight="1">
      <c r="A15" s="14" t="str">
        <f t="shared" si="1"/>
        <v>clikt</v>
      </c>
      <c r="B15" s="30" t="s">
        <v>44</v>
      </c>
      <c r="C15" s="30" t="s">
        <v>46</v>
      </c>
      <c r="D15" s="30" t="s">
        <v>48</v>
      </c>
      <c r="E15" s="52" t="s">
        <v>46</v>
      </c>
      <c r="F15" s="52">
        <f t="shared" si="2"/>
        <v>9</v>
      </c>
      <c r="G15" s="15" t="str">
        <f>[1]!wwsCheckbox($B15,15,FALSE)</f>
        <v>bob</v>
      </c>
      <c r="H15" s="15" t="str">
        <f>[1]!wwsCheckbox($C15,15,FALSE)</f>
        <v>bot</v>
      </c>
      <c r="I15" s="15" t="str">
        <f>[1]!wwsCheckbox($D15,15,FALSE)</f>
        <v>bop</v>
      </c>
      <c r="J15" s="10" t="str">
        <f t="shared" si="3"/>
        <v>GOOD</v>
      </c>
      <c r="N15" s="9">
        <f t="shared" si="4"/>
        <v>9</v>
      </c>
      <c r="O15" s="15" t="str">
        <f>[1]!wwsCheckbox($C15,115,FALSE)</f>
        <v>bot</v>
      </c>
      <c r="P15" s="15" t="str">
        <f>[1]!wwsCheckbox($D15,115,FALSE)</f>
        <v>bop</v>
      </c>
      <c r="Q15" s="15" t="str">
        <f>[1]!wwsCheckbox($B15,115,FALSE)</f>
        <v>bob</v>
      </c>
      <c r="R15" s="14">
        <f t="shared" si="0"/>
        <v>1</v>
      </c>
    </row>
    <row r="16" spans="1:21" s="10" customFormat="1" ht="25.05" customHeight="1">
      <c r="A16" s="14" t="str">
        <f t="shared" si="1"/>
        <v>clikt</v>
      </c>
      <c r="B16" s="30" t="s">
        <v>42</v>
      </c>
      <c r="C16" s="30" t="s">
        <v>43</v>
      </c>
      <c r="D16" s="30" t="s">
        <v>54</v>
      </c>
      <c r="E16" s="52" t="s">
        <v>54</v>
      </c>
      <c r="F16" s="52">
        <f t="shared" si="2"/>
        <v>10</v>
      </c>
      <c r="G16" s="15" t="str">
        <f>[1]!wwsCheckbox($B16,16,FALSE)</f>
        <v>mom</v>
      </c>
      <c r="H16" s="15" t="str">
        <f>[1]!wwsCheckbox($C16,16,FALSE)</f>
        <v>mop</v>
      </c>
      <c r="I16" s="15" t="str">
        <f>[1]!wwsCheckbox($D16,16,FALSE)</f>
        <v>mob</v>
      </c>
      <c r="J16" s="10" t="str">
        <f t="shared" si="3"/>
        <v>GOOD</v>
      </c>
      <c r="N16" s="9">
        <f t="shared" si="4"/>
        <v>10</v>
      </c>
      <c r="O16" s="15" t="str">
        <f>[1]!wwsCheckbox($C16,116,FALSE)</f>
        <v>mop</v>
      </c>
      <c r="P16" s="15" t="str">
        <f>[1]!wwsCheckbox($D16,116,FALSE)</f>
        <v>mob</v>
      </c>
      <c r="Q16" s="15" t="str">
        <f>[1]!wwsCheckbox($B16,116,FALSE)</f>
        <v>mom</v>
      </c>
      <c r="R16" s="14">
        <f t="shared" si="0"/>
        <v>1</v>
      </c>
    </row>
    <row r="17" spans="1:20" s="10" customFormat="1" ht="25.05" customHeight="1">
      <c r="A17" s="14" t="str">
        <f t="shared" si="1"/>
        <v>clikt</v>
      </c>
      <c r="B17" s="30" t="s">
        <v>45</v>
      </c>
      <c r="C17" s="30" t="s">
        <v>52</v>
      </c>
      <c r="D17" s="30" t="s">
        <v>50</v>
      </c>
      <c r="E17" s="52" t="s">
        <v>52</v>
      </c>
      <c r="F17" s="52">
        <f t="shared" si="2"/>
        <v>11</v>
      </c>
      <c r="G17" s="15" t="str">
        <f>[1]!wwsCheckbox($B17,17,FALSE)</f>
        <v>pop</v>
      </c>
      <c r="H17" s="15" t="str">
        <f>[1]!wwsCheckbox($C17,17,FALSE)</f>
        <v>pod</v>
      </c>
      <c r="I17" s="15" t="str">
        <f>[1]!wwsCheckbox($D17,17,FALSE)</f>
        <v>pot</v>
      </c>
      <c r="J17" s="10" t="str">
        <f t="shared" si="3"/>
        <v>GOOD</v>
      </c>
      <c r="N17" s="9">
        <f t="shared" si="4"/>
        <v>11</v>
      </c>
      <c r="O17" s="15" t="str">
        <f>[1]!wwsCheckbox($C17,117,FALSE)</f>
        <v>pod</v>
      </c>
      <c r="P17" s="15" t="str">
        <f>[1]!wwsCheckbox($D17,117,FALSE)</f>
        <v>pot</v>
      </c>
      <c r="Q17" s="15" t="str">
        <f>[1]!wwsCheckbox($B17,117,FALSE)</f>
        <v>pop</v>
      </c>
      <c r="R17" s="14">
        <f t="shared" si="0"/>
        <v>1</v>
      </c>
    </row>
    <row r="18" spans="1:20" s="10" customFormat="1" ht="25.05" customHeight="1">
      <c r="A18" s="14" t="str">
        <f t="shared" si="1"/>
        <v>clikt</v>
      </c>
      <c r="B18" s="30" t="s">
        <v>67</v>
      </c>
      <c r="C18" s="30" t="s">
        <v>58</v>
      </c>
      <c r="D18" s="30" t="s">
        <v>59</v>
      </c>
      <c r="E18" s="52" t="s">
        <v>58</v>
      </c>
      <c r="F18" s="52">
        <f t="shared" si="2"/>
        <v>12</v>
      </c>
      <c r="G18" s="15" t="str">
        <f>[1]!wwsCheckbox($B18,18,FALSE)</f>
        <v>bub</v>
      </c>
      <c r="H18" s="15" t="str">
        <f>[1]!wwsCheckbox($C18,18,FALSE)</f>
        <v>bud</v>
      </c>
      <c r="I18" s="15" t="str">
        <f>[1]!wwsCheckbox($D18,18,FALSE)</f>
        <v>bun</v>
      </c>
      <c r="J18" s="10" t="str">
        <f t="shared" si="3"/>
        <v>GOOD</v>
      </c>
      <c r="N18" s="9">
        <f t="shared" si="4"/>
        <v>12</v>
      </c>
      <c r="O18" s="15" t="str">
        <f>[1]!wwsCheckbox($C18,118,FALSE)</f>
        <v>bud</v>
      </c>
      <c r="P18" s="15" t="str">
        <f>[1]!wwsCheckbox($D18,118,FALSE)</f>
        <v>bun</v>
      </c>
      <c r="Q18" s="15" t="str">
        <f>[1]!wwsCheckbox($B18,118,FALSE)</f>
        <v>bub</v>
      </c>
      <c r="R18" s="14">
        <f t="shared" si="0"/>
        <v>1</v>
      </c>
    </row>
    <row r="19" spans="1:20" s="10" customFormat="1" ht="25.05" customHeight="1">
      <c r="A19" s="14" t="str">
        <f t="shared" si="1"/>
        <v>clikt</v>
      </c>
      <c r="B19" s="30" t="s">
        <v>57</v>
      </c>
      <c r="C19" s="30" t="s">
        <v>64</v>
      </c>
      <c r="D19" s="30" t="s">
        <v>67</v>
      </c>
      <c r="E19" s="52" t="s">
        <v>57</v>
      </c>
      <c r="F19" s="52">
        <f t="shared" si="2"/>
        <v>13</v>
      </c>
      <c r="G19" s="15" t="str">
        <f>[1]!wwsCheckbox($B19,19,FALSE)</f>
        <v>bum</v>
      </c>
      <c r="H19" s="15" t="str">
        <f>[1]!wwsCheckbox($C19,19,FALSE)</f>
        <v>but</v>
      </c>
      <c r="I19" s="15" t="str">
        <f>[1]!wwsCheckbox($D19,19,FALSE)</f>
        <v>bub</v>
      </c>
      <c r="J19" s="10" t="str">
        <f t="shared" si="3"/>
        <v>GOOD</v>
      </c>
      <c r="N19" s="9">
        <f t="shared" si="4"/>
        <v>13</v>
      </c>
      <c r="O19" s="15" t="str">
        <f>[1]!wwsCheckbox($C19,119,FALSE)</f>
        <v>but</v>
      </c>
      <c r="P19" s="15" t="str">
        <f>[1]!wwsCheckbox($D19,119,FALSE)</f>
        <v>bub</v>
      </c>
      <c r="Q19" s="15" t="str">
        <f>[1]!wwsCheckbox($B19,119,FALSE)</f>
        <v>bum</v>
      </c>
      <c r="R19" s="14">
        <f t="shared" si="0"/>
        <v>1</v>
      </c>
    </row>
    <row r="20" spans="1:20" s="10" customFormat="1" ht="25.05" customHeight="1">
      <c r="A20" s="14" t="str">
        <f t="shared" si="1"/>
        <v>clikt</v>
      </c>
      <c r="B20" s="30" t="s">
        <v>66</v>
      </c>
      <c r="C20" s="30" t="s">
        <v>68</v>
      </c>
      <c r="D20" s="30" t="s">
        <v>62</v>
      </c>
      <c r="E20" s="52" t="s">
        <v>62</v>
      </c>
      <c r="F20" s="52">
        <f t="shared" si="2"/>
        <v>14</v>
      </c>
      <c r="G20" s="15" t="str">
        <f>[1]!wwsCheckbox($B20,20,FALSE)</f>
        <v>nun</v>
      </c>
      <c r="H20" s="15" t="str">
        <f>[1]!wwsCheckbox($C20,20,FALSE)</f>
        <v>nut</v>
      </c>
      <c r="I20" s="15" t="str">
        <f>[1]!wwsCheckbox($D20,20,FALSE)</f>
        <v>nub</v>
      </c>
      <c r="J20" s="10" t="str">
        <f t="shared" si="3"/>
        <v>GOOD</v>
      </c>
      <c r="N20" s="9">
        <f t="shared" si="4"/>
        <v>14</v>
      </c>
      <c r="O20" s="15" t="str">
        <f>[1]!wwsCheckbox($C20,120,FALSE)</f>
        <v>nut</v>
      </c>
      <c r="P20" s="15" t="str">
        <f>[1]!wwsCheckbox($D20,120,FALSE)</f>
        <v>nub</v>
      </c>
      <c r="Q20" s="15" t="str">
        <f>[1]!wwsCheckbox($B20,120,FALSE)</f>
        <v>nun</v>
      </c>
      <c r="R20" s="14">
        <f t="shared" si="0"/>
        <v>1</v>
      </c>
    </row>
    <row r="21" spans="1:20" s="10" customFormat="1" ht="25.05" customHeight="1">
      <c r="A21" s="14" t="str">
        <f t="shared" si="1"/>
        <v>clikt</v>
      </c>
      <c r="B21" s="30" t="s">
        <v>61</v>
      </c>
      <c r="C21" s="30" t="s">
        <v>65</v>
      </c>
      <c r="D21" s="30" t="s">
        <v>79</v>
      </c>
      <c r="E21" s="52" t="s">
        <v>65</v>
      </c>
      <c r="F21" s="52">
        <f t="shared" si="2"/>
        <v>15</v>
      </c>
      <c r="G21" s="15" t="str">
        <f>[1]!wwsCheckbox($B21,21,FALSE)</f>
        <v>pub</v>
      </c>
      <c r="H21" s="15" t="str">
        <f>[1]!wwsCheckbox($C21,21,FALSE)</f>
        <v>pun</v>
      </c>
      <c r="I21" s="15" t="str">
        <f>[1]!wwsCheckbox($D21,21,FALSE)</f>
        <v>pup</v>
      </c>
      <c r="J21" s="10" t="str">
        <f t="shared" si="3"/>
        <v>GOOD</v>
      </c>
      <c r="N21" s="9">
        <f t="shared" si="4"/>
        <v>15</v>
      </c>
      <c r="O21" s="15" t="str">
        <f>[1]!wwsCheckbox($C21,121,FALSE)</f>
        <v>pun</v>
      </c>
      <c r="P21" s="15" t="str">
        <f>[1]!wwsCheckbox($D21,121,FALSE)</f>
        <v>pup</v>
      </c>
      <c r="Q21" s="15" t="str">
        <f>[1]!wwsCheckbox($B21,121,FALSE)</f>
        <v>pub</v>
      </c>
      <c r="R21" s="14">
        <f t="shared" si="0"/>
        <v>1</v>
      </c>
    </row>
    <row r="22" spans="1:20" s="10" customFormat="1" ht="25.05" customHeight="1">
      <c r="A22" s="14" t="str">
        <f t="shared" si="1"/>
        <v/>
      </c>
      <c r="B22" s="18" t="s">
        <v>34</v>
      </c>
      <c r="C22" s="18"/>
      <c r="D22" s="18"/>
      <c r="E22" s="53"/>
      <c r="F22" s="53"/>
      <c r="G22" s="33"/>
      <c r="H22" s="33"/>
      <c r="I22" s="33"/>
      <c r="J22" s="34"/>
      <c r="K22" s="34"/>
      <c r="L22" s="34"/>
      <c r="M22" s="34"/>
      <c r="N22" s="32"/>
      <c r="O22" s="33"/>
      <c r="P22" s="33"/>
      <c r="Q22" s="33"/>
      <c r="R22" s="35">
        <f>SUM(R7:R21)/15</f>
        <v>1</v>
      </c>
    </row>
    <row r="23" spans="1:20" s="10" customFormat="1" ht="25.05" customHeight="1">
      <c r="A23" s="14" t="str">
        <f t="shared" si="1"/>
        <v/>
      </c>
      <c r="B23" s="18" t="s">
        <v>40</v>
      </c>
      <c r="C23" s="18"/>
      <c r="D23" s="18"/>
      <c r="E23" s="53"/>
      <c r="F23" s="53"/>
      <c r="G23" s="33"/>
      <c r="H23" s="33"/>
      <c r="I23" s="33"/>
      <c r="J23" s="34"/>
      <c r="K23" s="34"/>
      <c r="L23" s="34"/>
      <c r="M23" s="34"/>
      <c r="N23" s="32"/>
      <c r="O23" s="33"/>
      <c r="P23" s="33"/>
      <c r="Q23" s="33"/>
      <c r="R23" s="34"/>
      <c r="T23" t="s">
        <v>75</v>
      </c>
    </row>
    <row r="24" spans="1:20" s="10" customFormat="1" ht="25.05" customHeight="1">
      <c r="A24" s="14" t="str">
        <f t="shared" si="1"/>
        <v/>
      </c>
      <c r="B24" s="18" t="s">
        <v>65</v>
      </c>
      <c r="C24" s="18"/>
      <c r="D24" s="18"/>
      <c r="E24" s="53"/>
      <c r="F24" s="53"/>
      <c r="G24" s="33"/>
      <c r="H24" s="33"/>
      <c r="I24" s="33"/>
      <c r="J24" s="34"/>
      <c r="K24" s="34"/>
      <c r="L24" s="34"/>
      <c r="M24" s="34"/>
      <c r="N24" s="32"/>
      <c r="O24" s="33"/>
      <c r="P24" s="33"/>
      <c r="Q24" s="33"/>
      <c r="R24" s="34"/>
    </row>
    <row r="25" spans="1:20" s="10" customFormat="1" ht="25.05" customHeight="1">
      <c r="A25" s="14" t="str">
        <f t="shared" si="1"/>
        <v/>
      </c>
      <c r="B25" s="18" t="s">
        <v>59</v>
      </c>
      <c r="C25" s="18"/>
      <c r="D25" s="18"/>
      <c r="E25" s="53"/>
      <c r="F25" s="53"/>
      <c r="G25" s="33"/>
      <c r="H25" s="33"/>
      <c r="I25" s="33"/>
      <c r="J25" s="34"/>
      <c r="K25" s="34"/>
      <c r="L25" s="34"/>
      <c r="M25" s="34"/>
      <c r="N25" s="32"/>
      <c r="O25" s="33"/>
      <c r="P25" s="33"/>
      <c r="Q25" s="33"/>
      <c r="R25" s="34"/>
    </row>
    <row r="26" spans="1:20" s="10" customFormat="1" ht="25.05" customHeight="1">
      <c r="A26" s="14" t="str">
        <f t="shared" si="1"/>
        <v/>
      </c>
      <c r="B26" s="18" t="s">
        <v>11</v>
      </c>
      <c r="C26" s="18"/>
      <c r="D26" s="18"/>
      <c r="E26" s="53"/>
      <c r="F26" s="53"/>
      <c r="G26" s="33"/>
      <c r="H26" s="33"/>
      <c r="I26" s="33"/>
      <c r="J26" s="34"/>
      <c r="K26" s="34"/>
      <c r="L26" s="34"/>
      <c r="M26" s="34"/>
      <c r="N26" s="32"/>
      <c r="O26" s="33"/>
      <c r="P26" s="33"/>
      <c r="Q26" s="33"/>
      <c r="R26" s="34"/>
    </row>
    <row r="27" spans="1:20" s="10" customFormat="1" ht="25.05" customHeight="1">
      <c r="A27" s="14" t="str">
        <f t="shared" si="1"/>
        <v/>
      </c>
      <c r="B27" s="18" t="s">
        <v>0</v>
      </c>
      <c r="C27" s="18"/>
      <c r="D27" s="18"/>
      <c r="E27" s="53"/>
      <c r="F27" s="53"/>
      <c r="G27" s="33"/>
      <c r="H27" s="33"/>
      <c r="I27" s="33"/>
      <c r="J27" s="34"/>
      <c r="K27" s="34"/>
      <c r="L27" s="34"/>
      <c r="M27" s="34"/>
      <c r="N27" s="32"/>
      <c r="O27" s="33"/>
      <c r="P27" s="33"/>
      <c r="Q27" s="33"/>
      <c r="R27" s="34"/>
    </row>
    <row r="28" spans="1:20" s="10" customFormat="1" ht="25.05" customHeight="1">
      <c r="A28" s="14" t="str">
        <f t="shared" si="1"/>
        <v/>
      </c>
      <c r="B28" s="18" t="s">
        <v>37</v>
      </c>
      <c r="C28" s="18"/>
      <c r="D28" s="18"/>
      <c r="E28" s="53"/>
      <c r="F28" s="53"/>
      <c r="G28" s="33"/>
      <c r="H28" s="33"/>
      <c r="I28" s="33"/>
      <c r="J28" s="34"/>
      <c r="K28" s="34"/>
      <c r="L28" s="34"/>
      <c r="M28" s="31"/>
      <c r="N28" s="31"/>
      <c r="O28" s="31"/>
      <c r="P28" s="33"/>
      <c r="Q28" s="33"/>
      <c r="R28" s="34"/>
    </row>
    <row r="29" spans="1:20" s="10" customFormat="1" ht="25.05" customHeight="1">
      <c r="A29" s="14" t="str">
        <f t="shared" si="1"/>
        <v/>
      </c>
      <c r="B29" s="18" t="s">
        <v>28</v>
      </c>
      <c r="C29" s="18"/>
      <c r="D29" s="18"/>
      <c r="E29" s="32"/>
      <c r="F29" s="32"/>
      <c r="G29" s="33"/>
      <c r="H29" s="33"/>
      <c r="I29" s="33"/>
      <c r="J29" s="34"/>
      <c r="K29" s="34"/>
      <c r="L29" s="34"/>
      <c r="M29" s="34"/>
      <c r="N29" s="32"/>
      <c r="O29" s="33"/>
      <c r="P29" s="33"/>
      <c r="Q29" s="33"/>
      <c r="R29" s="34"/>
    </row>
    <row r="30" spans="1:20" s="10" customFormat="1" ht="25.05" customHeight="1">
      <c r="A30" s="14" t="str">
        <f t="shared" si="1"/>
        <v/>
      </c>
      <c r="B30" s="18" t="s">
        <v>16</v>
      </c>
      <c r="C30" s="18"/>
      <c r="D30" s="18"/>
      <c r="E30" s="32"/>
      <c r="F30" s="32"/>
      <c r="G30" s="33"/>
      <c r="H30" s="33"/>
      <c r="I30" s="33"/>
      <c r="J30" s="34"/>
      <c r="K30" s="34"/>
      <c r="L30" s="34"/>
      <c r="M30" s="34"/>
      <c r="N30" s="32"/>
      <c r="O30" s="33"/>
      <c r="P30" s="33"/>
      <c r="Q30" s="33"/>
      <c r="R30" s="34"/>
    </row>
    <row r="31" spans="1:20" s="10" customFormat="1" ht="25.05" customHeight="1">
      <c r="A31" s="14" t="str">
        <f t="shared" si="1"/>
        <v/>
      </c>
      <c r="B31" s="18" t="s">
        <v>25</v>
      </c>
      <c r="C31" s="18"/>
      <c r="D31" s="18"/>
      <c r="E31" s="32"/>
      <c r="F31" s="32"/>
      <c r="G31" s="33"/>
      <c r="H31" s="33"/>
      <c r="I31" s="33"/>
      <c r="J31" s="34"/>
      <c r="K31" s="34"/>
      <c r="L31" s="34"/>
      <c r="M31" s="34"/>
      <c r="N31" s="32"/>
      <c r="O31" s="33"/>
      <c r="P31" s="33"/>
      <c r="Q31" s="33"/>
      <c r="R31" s="34"/>
    </row>
    <row r="32" spans="1:20">
      <c r="E32" s="36"/>
      <c r="F32" s="37"/>
      <c r="G32" s="37"/>
      <c r="H32" s="37"/>
      <c r="I32" s="37"/>
      <c r="J32" s="36"/>
      <c r="K32" s="36"/>
      <c r="L32" s="36"/>
      <c r="M32" s="36"/>
      <c r="N32" s="36"/>
      <c r="O32" s="37"/>
      <c r="P32" s="37"/>
      <c r="Q32" s="37"/>
      <c r="R32" s="36"/>
    </row>
  </sheetData>
  <mergeCells count="10">
    <mergeCell ref="G6:I6"/>
    <mergeCell ref="O6:Q6"/>
    <mergeCell ref="E4:E5"/>
    <mergeCell ref="P5:S5"/>
    <mergeCell ref="J2:L2"/>
    <mergeCell ref="F2:H2"/>
    <mergeCell ref="G4:I4"/>
    <mergeCell ref="O4:Q4"/>
    <mergeCell ref="N5:O5"/>
    <mergeCell ref="N2:O2"/>
  </mergeCells>
  <conditionalFormatting sqref="N7">
    <cfRule type="cellIs" priority="812" operator="between">
      <formula>1</formula>
      <formula>2</formula>
    </cfRule>
    <cfRule type="cellIs" dxfId="719" priority="813" operator="equal">
      <formula>"""GOOD"""</formula>
    </cfRule>
  </conditionalFormatting>
  <conditionalFormatting sqref="G24">
    <cfRule type="expression" dxfId="718" priority="766">
      <formula>AND($A24="clikt",$J24&lt;&gt;"GOOD")</formula>
    </cfRule>
    <cfRule type="expression" dxfId="717" priority="767">
      <formula>$J24="GOOD"</formula>
    </cfRule>
  </conditionalFormatting>
  <conditionalFormatting sqref="G25">
    <cfRule type="expression" dxfId="716" priority="764">
      <formula>AND($A25="clikt",$J25&lt;&gt;"GOOD")</formula>
    </cfRule>
    <cfRule type="expression" dxfId="715" priority="765">
      <formula>$J25="GOOD"</formula>
    </cfRule>
  </conditionalFormatting>
  <conditionalFormatting sqref="G26">
    <cfRule type="expression" dxfId="714" priority="762">
      <formula>AND($A26="clikt",$J26&lt;&gt;"GOOD")</formula>
    </cfRule>
    <cfRule type="expression" dxfId="713" priority="763">
      <formula>$J26="GOOD"</formula>
    </cfRule>
  </conditionalFormatting>
  <conditionalFormatting sqref="G27">
    <cfRule type="expression" dxfId="712" priority="760">
      <formula>AND($A27="clikt",$J27&lt;&gt;"GOOD")</formula>
    </cfRule>
    <cfRule type="expression" dxfId="711" priority="761">
      <formula>$J27="GOOD"</formula>
    </cfRule>
  </conditionalFormatting>
  <conditionalFormatting sqref="G28">
    <cfRule type="expression" dxfId="710" priority="758">
      <formula>AND($A28="clikt",$J28&lt;&gt;"GOOD")</formula>
    </cfRule>
    <cfRule type="expression" dxfId="709" priority="759">
      <formula>$J28="GOOD"</formula>
    </cfRule>
  </conditionalFormatting>
  <conditionalFormatting sqref="G29">
    <cfRule type="expression" dxfId="708" priority="756">
      <formula>AND($A29="clikt",$J29&lt;&gt;"GOOD")</formula>
    </cfRule>
    <cfRule type="expression" dxfId="707" priority="757">
      <formula>$J29="GOOD"</formula>
    </cfRule>
  </conditionalFormatting>
  <conditionalFormatting sqref="G30">
    <cfRule type="expression" dxfId="706" priority="754">
      <formula>AND($A30="clikt",$J30&lt;&gt;"GOOD")</formula>
    </cfRule>
    <cfRule type="expression" dxfId="705" priority="755">
      <formula>$J30="GOOD"</formula>
    </cfRule>
  </conditionalFormatting>
  <conditionalFormatting sqref="G31">
    <cfRule type="expression" dxfId="704" priority="752">
      <formula>AND($A31="clikt",$J31&lt;&gt;"GOOD")</formula>
    </cfRule>
    <cfRule type="expression" dxfId="703" priority="753">
      <formula>$J31="GOOD"</formula>
    </cfRule>
  </conditionalFormatting>
  <conditionalFormatting sqref="H22">
    <cfRule type="expression" dxfId="702" priority="724">
      <formula>AND($A22="clikt",$J22&lt;&gt;"GOOD")</formula>
    </cfRule>
    <cfRule type="expression" dxfId="701" priority="725">
      <formula>$J22="GOOD"</formula>
    </cfRule>
  </conditionalFormatting>
  <conditionalFormatting sqref="H23">
    <cfRule type="expression" dxfId="700" priority="722">
      <formula>AND($A23="clikt",$J23&lt;&gt;"GOOD")</formula>
    </cfRule>
    <cfRule type="expression" dxfId="699" priority="723">
      <formula>$J23="GOOD"</formula>
    </cfRule>
  </conditionalFormatting>
  <conditionalFormatting sqref="H24">
    <cfRule type="expression" dxfId="698" priority="720">
      <formula>AND($A24="clikt",$J24&lt;&gt;"GOOD")</formula>
    </cfRule>
    <cfRule type="expression" dxfId="697" priority="721">
      <formula>$J24="GOOD"</formula>
    </cfRule>
  </conditionalFormatting>
  <conditionalFormatting sqref="H25">
    <cfRule type="expression" dxfId="696" priority="718">
      <formula>AND($A25="clikt",$J25&lt;&gt;"GOOD")</formula>
    </cfRule>
    <cfRule type="expression" dxfId="695" priority="719">
      <formula>$J25="GOOD"</formula>
    </cfRule>
  </conditionalFormatting>
  <conditionalFormatting sqref="H26">
    <cfRule type="expression" dxfId="694" priority="716">
      <formula>AND($A26="clikt",$J26&lt;&gt;"GOOD")</formula>
    </cfRule>
    <cfRule type="expression" dxfId="693" priority="717">
      <formula>$J26="GOOD"</formula>
    </cfRule>
  </conditionalFormatting>
  <conditionalFormatting sqref="H27">
    <cfRule type="expression" dxfId="692" priority="714">
      <formula>AND($A27="clikt",$J27&lt;&gt;"GOOD")</formula>
    </cfRule>
    <cfRule type="expression" dxfId="691" priority="715">
      <formula>$J27="GOOD"</formula>
    </cfRule>
  </conditionalFormatting>
  <conditionalFormatting sqref="H28">
    <cfRule type="expression" dxfId="690" priority="712">
      <formula>AND($A28="clikt",$J28&lt;&gt;"GOOD")</formula>
    </cfRule>
    <cfRule type="expression" dxfId="689" priority="713">
      <formula>$J28="GOOD"</formula>
    </cfRule>
  </conditionalFormatting>
  <conditionalFormatting sqref="H29">
    <cfRule type="expression" dxfId="688" priority="710">
      <formula>AND($A29="clikt",$J29&lt;&gt;"GOOD")</formula>
    </cfRule>
    <cfRule type="expression" dxfId="687" priority="711">
      <formula>$J29="GOOD"</formula>
    </cfRule>
  </conditionalFormatting>
  <conditionalFormatting sqref="H30">
    <cfRule type="expression" dxfId="686" priority="708">
      <formula>AND($A30="clikt",$J30&lt;&gt;"GOOD")</formula>
    </cfRule>
    <cfRule type="expression" dxfId="685" priority="709">
      <formula>$J30="GOOD"</formula>
    </cfRule>
  </conditionalFormatting>
  <conditionalFormatting sqref="H31">
    <cfRule type="expression" dxfId="684" priority="706">
      <formula>AND($A31="clikt",$J31&lt;&gt;"GOOD")</formula>
    </cfRule>
    <cfRule type="expression" dxfId="683" priority="707">
      <formula>$J31="GOOD"</formula>
    </cfRule>
  </conditionalFormatting>
  <conditionalFormatting sqref="I22">
    <cfRule type="expression" dxfId="682" priority="678">
      <formula>AND($A22="clikt",$J22&lt;&gt;"GOOD")</formula>
    </cfRule>
    <cfRule type="expression" dxfId="681" priority="679">
      <formula>$J22="GOOD"</formula>
    </cfRule>
  </conditionalFormatting>
  <conditionalFormatting sqref="I23">
    <cfRule type="expression" dxfId="680" priority="676">
      <formula>AND($A23="clikt",$J23&lt;&gt;"GOOD")</formula>
    </cfRule>
    <cfRule type="expression" dxfId="679" priority="677">
      <formula>$J23="GOOD"</formula>
    </cfRule>
  </conditionalFormatting>
  <conditionalFormatting sqref="I24">
    <cfRule type="expression" dxfId="678" priority="674">
      <formula>AND($A24="clikt",$J24&lt;&gt;"GOOD")</formula>
    </cfRule>
    <cfRule type="expression" dxfId="677" priority="675">
      <formula>$J24="GOOD"</formula>
    </cfRule>
  </conditionalFormatting>
  <conditionalFormatting sqref="I25">
    <cfRule type="expression" dxfId="676" priority="672">
      <formula>AND($A25="clikt",$J25&lt;&gt;"GOOD")</formula>
    </cfRule>
    <cfRule type="expression" dxfId="675" priority="673">
      <formula>$J25="GOOD"</formula>
    </cfRule>
  </conditionalFormatting>
  <conditionalFormatting sqref="I26">
    <cfRule type="expression" dxfId="674" priority="670">
      <formula>AND($A26="clikt",$J26&lt;&gt;"GOOD")</formula>
    </cfRule>
    <cfRule type="expression" dxfId="673" priority="671">
      <formula>$J26="GOOD"</formula>
    </cfRule>
  </conditionalFormatting>
  <conditionalFormatting sqref="I27">
    <cfRule type="expression" dxfId="672" priority="668">
      <formula>AND($A27="clikt",$J27&lt;&gt;"GOOD")</formula>
    </cfRule>
    <cfRule type="expression" dxfId="671" priority="669">
      <formula>$J27="GOOD"</formula>
    </cfRule>
  </conditionalFormatting>
  <conditionalFormatting sqref="I28">
    <cfRule type="expression" dxfId="670" priority="666">
      <formula>AND($A28="clikt",$J28&lt;&gt;"GOOD")</formula>
    </cfRule>
    <cfRule type="expression" dxfId="669" priority="667">
      <formula>$J28="GOOD"</formula>
    </cfRule>
  </conditionalFormatting>
  <conditionalFormatting sqref="I29">
    <cfRule type="expression" dxfId="668" priority="664">
      <formula>AND($A29="clikt",$J29&lt;&gt;"GOOD")</formula>
    </cfRule>
    <cfRule type="expression" dxfId="667" priority="665">
      <formula>$J29="GOOD"</formula>
    </cfRule>
  </conditionalFormatting>
  <conditionalFormatting sqref="I30">
    <cfRule type="expression" dxfId="666" priority="662">
      <formula>AND($A30="clikt",$J30&lt;&gt;"GOOD")</formula>
    </cfRule>
    <cfRule type="expression" dxfId="665" priority="663">
      <formula>$J30="GOOD"</formula>
    </cfRule>
  </conditionalFormatting>
  <conditionalFormatting sqref="I31">
    <cfRule type="expression" dxfId="664" priority="660">
      <formula>AND($A31="clikt",$J31&lt;&gt;"GOOD")</formula>
    </cfRule>
    <cfRule type="expression" dxfId="663" priority="661">
      <formula>$J31="GOOD"</formula>
    </cfRule>
  </conditionalFormatting>
  <conditionalFormatting sqref="J22">
    <cfRule type="cellIs" priority="632" operator="between">
      <formula>1</formula>
      <formula>2</formula>
    </cfRule>
    <cfRule type="cellIs" dxfId="662" priority="633" operator="equal">
      <formula>"""GOOD"""</formula>
    </cfRule>
  </conditionalFormatting>
  <conditionalFormatting sqref="J23">
    <cfRule type="cellIs" priority="630" operator="between">
      <formula>1</formula>
      <formula>2</formula>
    </cfRule>
    <cfRule type="cellIs" dxfId="661" priority="631" operator="equal">
      <formula>"""GOOD"""</formula>
    </cfRule>
  </conditionalFormatting>
  <conditionalFormatting sqref="J24">
    <cfRule type="cellIs" priority="628" operator="between">
      <formula>1</formula>
      <formula>2</formula>
    </cfRule>
    <cfRule type="cellIs" dxfId="660" priority="629" operator="equal">
      <formula>"""GOOD"""</formula>
    </cfRule>
  </conditionalFormatting>
  <conditionalFormatting sqref="J25">
    <cfRule type="cellIs" priority="626" operator="between">
      <formula>1</formula>
      <formula>2</formula>
    </cfRule>
    <cfRule type="cellIs" dxfId="659" priority="627" operator="equal">
      <formula>"""GOOD"""</formula>
    </cfRule>
  </conditionalFormatting>
  <conditionalFormatting sqref="J26">
    <cfRule type="cellIs" priority="624" operator="between">
      <formula>1</formula>
      <formula>2</formula>
    </cfRule>
    <cfRule type="cellIs" dxfId="658" priority="625" operator="equal">
      <formula>"""GOOD"""</formula>
    </cfRule>
  </conditionalFormatting>
  <conditionalFormatting sqref="J27">
    <cfRule type="cellIs" priority="622" operator="between">
      <formula>1</formula>
      <formula>2</formula>
    </cfRule>
    <cfRule type="cellIs" dxfId="657" priority="623" operator="equal">
      <formula>"""GOOD"""</formula>
    </cfRule>
  </conditionalFormatting>
  <conditionalFormatting sqref="J28">
    <cfRule type="cellIs" priority="620" operator="between">
      <formula>1</formula>
      <formula>2</formula>
    </cfRule>
    <cfRule type="cellIs" dxfId="656" priority="621" operator="equal">
      <formula>"""GOOD"""</formula>
    </cfRule>
  </conditionalFormatting>
  <conditionalFormatting sqref="J29">
    <cfRule type="cellIs" priority="618" operator="between">
      <formula>1</formula>
      <formula>2</formula>
    </cfRule>
    <cfRule type="cellIs" dxfId="655" priority="619" operator="equal">
      <formula>"""GOOD"""</formula>
    </cfRule>
  </conditionalFormatting>
  <conditionalFormatting sqref="J30">
    <cfRule type="cellIs" priority="616" operator="between">
      <formula>1</formula>
      <formula>2</formula>
    </cfRule>
    <cfRule type="cellIs" dxfId="654" priority="617" operator="equal">
      <formula>"""GOOD"""</formula>
    </cfRule>
  </conditionalFormatting>
  <conditionalFormatting sqref="J31">
    <cfRule type="cellIs" priority="614" operator="between">
      <formula>1</formula>
      <formula>2</formula>
    </cfRule>
    <cfRule type="cellIs" dxfId="653" priority="615" operator="equal">
      <formula>"""GOOD"""</formula>
    </cfRule>
  </conditionalFormatting>
  <conditionalFormatting sqref="O22">
    <cfRule type="expression" dxfId="652" priority="595">
      <formula>OR($O22&lt;&gt;"",$P22&lt;&gt;"",$Q22&lt;&gt;"")</formula>
    </cfRule>
  </conditionalFormatting>
  <conditionalFormatting sqref="O23">
    <cfRule type="expression" dxfId="651" priority="594">
      <formula>OR($O23&lt;&gt;"",$P23&lt;&gt;"",$Q23&lt;&gt;"")</formula>
    </cfRule>
  </conditionalFormatting>
  <conditionalFormatting sqref="O24">
    <cfRule type="expression" dxfId="650" priority="593">
      <formula>OR($O24&lt;&gt;"",$P24&lt;&gt;"",$Q24&lt;&gt;"")</formula>
    </cfRule>
  </conditionalFormatting>
  <conditionalFormatting sqref="O25">
    <cfRule type="expression" dxfId="649" priority="592">
      <formula>OR($O25&lt;&gt;"",$P25&lt;&gt;"",$Q25&lt;&gt;"")</formula>
    </cfRule>
  </conditionalFormatting>
  <conditionalFormatting sqref="O26">
    <cfRule type="expression" dxfId="648" priority="591">
      <formula>OR($O26&lt;&gt;"",$P26&lt;&gt;"",$Q26&lt;&gt;"")</formula>
    </cfRule>
  </conditionalFormatting>
  <conditionalFormatting sqref="O27">
    <cfRule type="expression" dxfId="647" priority="590">
      <formula>OR($O27&lt;&gt;"",$P27&lt;&gt;"",$Q27&lt;&gt;"")</formula>
    </cfRule>
  </conditionalFormatting>
  <conditionalFormatting sqref="O29">
    <cfRule type="expression" dxfId="646" priority="588">
      <formula>OR($O29&lt;&gt;"",$P29&lt;&gt;"",$Q29&lt;&gt;"")</formula>
    </cfRule>
  </conditionalFormatting>
  <conditionalFormatting sqref="O30">
    <cfRule type="expression" dxfId="645" priority="587">
      <formula>OR($O30&lt;&gt;"",$P30&lt;&gt;"",$Q30&lt;&gt;"")</formula>
    </cfRule>
  </conditionalFormatting>
  <conditionalFormatting sqref="O31">
    <cfRule type="expression" dxfId="644" priority="586">
      <formula>OR($O31&lt;&gt;"",$P31&lt;&gt;"",$Q31&lt;&gt;"")</formula>
    </cfRule>
  </conditionalFormatting>
  <conditionalFormatting sqref="P22">
    <cfRule type="expression" dxfId="643" priority="558">
      <formula>OR($O22&lt;&gt;"",$P22&lt;&gt;"",$Q22&lt;&gt;"")</formula>
    </cfRule>
  </conditionalFormatting>
  <conditionalFormatting sqref="Q22">
    <cfRule type="expression" dxfId="642" priority="557">
      <formula>OR($O22&lt;&gt;"",$P22&lt;&gt;"",$Q22&lt;&gt;"")</formula>
    </cfRule>
  </conditionalFormatting>
  <conditionalFormatting sqref="P23">
    <cfRule type="expression" dxfId="641" priority="556">
      <formula>OR($O23&lt;&gt;"",$P23&lt;&gt;"",$Q23&lt;&gt;"")</formula>
    </cfRule>
  </conditionalFormatting>
  <conditionalFormatting sqref="Q23">
    <cfRule type="expression" dxfId="640" priority="555">
      <formula>OR($O23&lt;&gt;"",$P23&lt;&gt;"",$Q23&lt;&gt;"")</formula>
    </cfRule>
  </conditionalFormatting>
  <conditionalFormatting sqref="P24">
    <cfRule type="expression" dxfId="639" priority="554">
      <formula>OR($O24&lt;&gt;"",$P24&lt;&gt;"",$Q24&lt;&gt;"")</formula>
    </cfRule>
  </conditionalFormatting>
  <conditionalFormatting sqref="Q24">
    <cfRule type="expression" dxfId="638" priority="553">
      <formula>OR($O24&lt;&gt;"",$P24&lt;&gt;"",$Q24&lt;&gt;"")</formula>
    </cfRule>
  </conditionalFormatting>
  <conditionalFormatting sqref="P25">
    <cfRule type="expression" dxfId="637" priority="552">
      <formula>OR($O25&lt;&gt;"",$P25&lt;&gt;"",$Q25&lt;&gt;"")</formula>
    </cfRule>
  </conditionalFormatting>
  <conditionalFormatting sqref="Q25">
    <cfRule type="expression" dxfId="636" priority="551">
      <formula>OR($O25&lt;&gt;"",$P25&lt;&gt;"",$Q25&lt;&gt;"")</formula>
    </cfRule>
  </conditionalFormatting>
  <conditionalFormatting sqref="P26">
    <cfRule type="expression" dxfId="635" priority="550">
      <formula>OR($O26&lt;&gt;"",$P26&lt;&gt;"",$Q26&lt;&gt;"")</formula>
    </cfRule>
  </conditionalFormatting>
  <conditionalFormatting sqref="Q26">
    <cfRule type="expression" dxfId="634" priority="549">
      <formula>OR($O26&lt;&gt;"",$P26&lt;&gt;"",$Q26&lt;&gt;"")</formula>
    </cfRule>
  </conditionalFormatting>
  <conditionalFormatting sqref="P27">
    <cfRule type="expression" dxfId="633" priority="548">
      <formula>OR($O27&lt;&gt;"",$P27&lt;&gt;"",$Q27&lt;&gt;"")</formula>
    </cfRule>
  </conditionalFormatting>
  <conditionalFormatting sqref="Q27">
    <cfRule type="expression" dxfId="632" priority="547">
      <formula>OR($O27&lt;&gt;"",$P27&lt;&gt;"",$Q27&lt;&gt;"")</formula>
    </cfRule>
  </conditionalFormatting>
  <conditionalFormatting sqref="P28">
    <cfRule type="expression" dxfId="631" priority="546">
      <formula>OR($O28&lt;&gt;"",$P28&lt;&gt;"",$Q28&lt;&gt;"")</formula>
    </cfRule>
  </conditionalFormatting>
  <conditionalFormatting sqref="Q28">
    <cfRule type="expression" dxfId="630" priority="545">
      <formula>OR($O28&lt;&gt;"",$P28&lt;&gt;"",$Q28&lt;&gt;"")</formula>
    </cfRule>
  </conditionalFormatting>
  <conditionalFormatting sqref="P29">
    <cfRule type="expression" dxfId="629" priority="544">
      <formula>OR($O29&lt;&gt;"",$P29&lt;&gt;"",$Q29&lt;&gt;"")</formula>
    </cfRule>
  </conditionalFormatting>
  <conditionalFormatting sqref="Q29">
    <cfRule type="expression" dxfId="628" priority="543">
      <formula>OR($O29&lt;&gt;"",$P29&lt;&gt;"",$Q29&lt;&gt;"")</formula>
    </cfRule>
  </conditionalFormatting>
  <conditionalFormatting sqref="P30">
    <cfRule type="expression" dxfId="627" priority="542">
      <formula>OR($O30&lt;&gt;"",$P30&lt;&gt;"",$Q30&lt;&gt;"")</formula>
    </cfRule>
  </conditionalFormatting>
  <conditionalFormatting sqref="Q30">
    <cfRule type="expression" dxfId="626" priority="541">
      <formula>OR($O30&lt;&gt;"",$P30&lt;&gt;"",$Q30&lt;&gt;"")</formula>
    </cfRule>
  </conditionalFormatting>
  <conditionalFormatting sqref="P31">
    <cfRule type="expression" dxfId="625" priority="540">
      <formula>OR($O31&lt;&gt;"",$P31&lt;&gt;"",$Q31&lt;&gt;"")</formula>
    </cfRule>
  </conditionalFormatting>
  <conditionalFormatting sqref="Q31">
    <cfRule type="expression" dxfId="624" priority="539">
      <formula>OR($O31&lt;&gt;"",$P31&lt;&gt;"",$Q31&lt;&gt;"")</formula>
    </cfRule>
  </conditionalFormatting>
  <conditionalFormatting sqref="K4">
    <cfRule type="cellIs" dxfId="623" priority="817" operator="equal">
      <formula>"""GOOD"""</formula>
    </cfRule>
  </conditionalFormatting>
  <conditionalFormatting sqref="V8">
    <cfRule type="cellIs" dxfId="622" priority="816" operator="equal">
      <formula>87</formula>
    </cfRule>
  </conditionalFormatting>
  <conditionalFormatting sqref="O7">
    <cfRule type="expression" dxfId="621" priority="448">
      <formula>OR($O7&lt;&gt;"",$P7&lt;&gt;"",$Q7&lt;&gt;"")</formula>
    </cfRule>
  </conditionalFormatting>
  <conditionalFormatting sqref="P7">
    <cfRule type="expression" dxfId="620" priority="447">
      <formula>OR($O7&lt;&gt;"",$P7&lt;&gt;"",$Q7&lt;&gt;"")</formula>
    </cfRule>
  </conditionalFormatting>
  <conditionalFormatting sqref="O8">
    <cfRule type="expression" dxfId="619" priority="446">
      <formula>OR($O8&lt;&gt;"",$P8&lt;&gt;"",$Q8&lt;&gt;"")</formula>
    </cfRule>
  </conditionalFormatting>
  <conditionalFormatting sqref="P8">
    <cfRule type="expression" dxfId="618" priority="445">
      <formula>OR($O8&lt;&gt;"",$P8&lt;&gt;"",$Q8&lt;&gt;"")</formula>
    </cfRule>
  </conditionalFormatting>
  <conditionalFormatting sqref="Q7">
    <cfRule type="expression" dxfId="617" priority="444">
      <formula>OR($O7&lt;&gt;"",$P7&lt;&gt;"",$Q7&lt;&gt;"")</formula>
    </cfRule>
  </conditionalFormatting>
  <conditionalFormatting sqref="O9">
    <cfRule type="expression" dxfId="616" priority="443">
      <formula>OR($O9&lt;&gt;"",$P9&lt;&gt;"",$Q9&lt;&gt;"")</formula>
    </cfRule>
  </conditionalFormatting>
  <conditionalFormatting sqref="O10">
    <cfRule type="expression" dxfId="615" priority="442">
      <formula>OR($O10&lt;&gt;"",$P10&lt;&gt;"",$Q10&lt;&gt;"")</formula>
    </cfRule>
  </conditionalFormatting>
  <conditionalFormatting sqref="O11">
    <cfRule type="expression" dxfId="614" priority="441">
      <formula>OR($O11&lt;&gt;"",$P11&lt;&gt;"",$Q11&lt;&gt;"")</formula>
    </cfRule>
  </conditionalFormatting>
  <conditionalFormatting sqref="O12">
    <cfRule type="expression" dxfId="613" priority="440">
      <formula>OR($O12&lt;&gt;"",$P12&lt;&gt;"",$Q12&lt;&gt;"")</formula>
    </cfRule>
  </conditionalFormatting>
  <conditionalFormatting sqref="O13">
    <cfRule type="expression" dxfId="612" priority="439">
      <formula>OR($O13&lt;&gt;"",$P13&lt;&gt;"",$Q13&lt;&gt;"")</formula>
    </cfRule>
  </conditionalFormatting>
  <conditionalFormatting sqref="O14">
    <cfRule type="expression" dxfId="611" priority="438">
      <formula>OR($O14&lt;&gt;"",$P14&lt;&gt;"",$Q14&lt;&gt;"")</formula>
    </cfRule>
  </conditionalFormatting>
  <conditionalFormatting sqref="O15">
    <cfRule type="expression" dxfId="610" priority="437">
      <formula>OR($O15&lt;&gt;"",$P15&lt;&gt;"",$Q15&lt;&gt;"")</formula>
    </cfRule>
  </conditionalFormatting>
  <conditionalFormatting sqref="O16">
    <cfRule type="expression" dxfId="609" priority="436">
      <formula>OR($O16&lt;&gt;"",$P16&lt;&gt;"",$Q16&lt;&gt;"")</formula>
    </cfRule>
  </conditionalFormatting>
  <conditionalFormatting sqref="O17">
    <cfRule type="expression" dxfId="608" priority="435">
      <formula>OR($O17&lt;&gt;"",$P17&lt;&gt;"",$Q17&lt;&gt;"")</formula>
    </cfRule>
  </conditionalFormatting>
  <conditionalFormatting sqref="O18">
    <cfRule type="expression" dxfId="607" priority="434">
      <formula>OR($O18&lt;&gt;"",$P18&lt;&gt;"",$Q18&lt;&gt;"")</formula>
    </cfRule>
  </conditionalFormatting>
  <conditionalFormatting sqref="O19">
    <cfRule type="expression" dxfId="606" priority="433">
      <formula>OR($O19&lt;&gt;"",$P19&lt;&gt;"",$Q19&lt;&gt;"")</formula>
    </cfRule>
  </conditionalFormatting>
  <conditionalFormatting sqref="O20">
    <cfRule type="expression" dxfId="605" priority="432">
      <formula>OR($O20&lt;&gt;"",$P20&lt;&gt;"",$Q20&lt;&gt;"")</formula>
    </cfRule>
  </conditionalFormatting>
  <conditionalFormatting sqref="O21">
    <cfRule type="expression" dxfId="604" priority="431">
      <formula>OR($O21&lt;&gt;"",$P21&lt;&gt;"",$Q21&lt;&gt;"")</formula>
    </cfRule>
  </conditionalFormatting>
  <conditionalFormatting sqref="Q8">
    <cfRule type="expression" dxfId="603" priority="430">
      <formula>OR($O8&lt;&gt;"",$P8&lt;&gt;"",$Q8&lt;&gt;"")</formula>
    </cfRule>
  </conditionalFormatting>
  <conditionalFormatting sqref="P9">
    <cfRule type="expression" dxfId="602" priority="429">
      <formula>OR($O9&lt;&gt;"",$P9&lt;&gt;"",$Q9&lt;&gt;"")</formula>
    </cfRule>
  </conditionalFormatting>
  <conditionalFormatting sqref="Q9">
    <cfRule type="expression" dxfId="601" priority="428">
      <formula>OR($O9&lt;&gt;"",$P9&lt;&gt;"",$Q9&lt;&gt;"")</formula>
    </cfRule>
  </conditionalFormatting>
  <conditionalFormatting sqref="P10">
    <cfRule type="expression" dxfId="600" priority="427">
      <formula>OR($O10&lt;&gt;"",$P10&lt;&gt;"",$Q10&lt;&gt;"")</formula>
    </cfRule>
  </conditionalFormatting>
  <conditionalFormatting sqref="Q10">
    <cfRule type="expression" dxfId="599" priority="426">
      <formula>OR($O10&lt;&gt;"",$P10&lt;&gt;"",$Q10&lt;&gt;"")</formula>
    </cfRule>
  </conditionalFormatting>
  <conditionalFormatting sqref="P11">
    <cfRule type="expression" dxfId="598" priority="425">
      <formula>OR($O11&lt;&gt;"",$P11&lt;&gt;"",$Q11&lt;&gt;"")</formula>
    </cfRule>
  </conditionalFormatting>
  <conditionalFormatting sqref="Q11">
    <cfRule type="expression" dxfId="597" priority="424">
      <formula>OR($O11&lt;&gt;"",$P11&lt;&gt;"",$Q11&lt;&gt;"")</formula>
    </cfRule>
  </conditionalFormatting>
  <conditionalFormatting sqref="P12">
    <cfRule type="expression" dxfId="596" priority="423">
      <formula>OR($O12&lt;&gt;"",$P12&lt;&gt;"",$Q12&lt;&gt;"")</formula>
    </cfRule>
  </conditionalFormatting>
  <conditionalFormatting sqref="Q12">
    <cfRule type="expression" dxfId="595" priority="422">
      <formula>OR($O12&lt;&gt;"",$P12&lt;&gt;"",$Q12&lt;&gt;"")</formula>
    </cfRule>
  </conditionalFormatting>
  <conditionalFormatting sqref="P13">
    <cfRule type="expression" dxfId="594" priority="421">
      <formula>OR($O13&lt;&gt;"",$P13&lt;&gt;"",$Q13&lt;&gt;"")</formula>
    </cfRule>
  </conditionalFormatting>
  <conditionalFormatting sqref="Q13">
    <cfRule type="expression" dxfId="593" priority="420">
      <formula>OR($O13&lt;&gt;"",$P13&lt;&gt;"",$Q13&lt;&gt;"")</formula>
    </cfRule>
  </conditionalFormatting>
  <conditionalFormatting sqref="P14">
    <cfRule type="expression" dxfId="592" priority="419">
      <formula>OR($O14&lt;&gt;"",$P14&lt;&gt;"",$Q14&lt;&gt;"")</formula>
    </cfRule>
  </conditionalFormatting>
  <conditionalFormatting sqref="Q14">
    <cfRule type="expression" dxfId="591" priority="418">
      <formula>OR($O14&lt;&gt;"",$P14&lt;&gt;"",$Q14&lt;&gt;"")</formula>
    </cfRule>
  </conditionalFormatting>
  <conditionalFormatting sqref="P15">
    <cfRule type="expression" dxfId="590" priority="417">
      <formula>OR($O15&lt;&gt;"",$P15&lt;&gt;"",$Q15&lt;&gt;"")</formula>
    </cfRule>
  </conditionalFormatting>
  <conditionalFormatting sqref="Q15">
    <cfRule type="expression" dxfId="589" priority="416">
      <formula>OR($O15&lt;&gt;"",$P15&lt;&gt;"",$Q15&lt;&gt;"")</formula>
    </cfRule>
  </conditionalFormatting>
  <conditionalFormatting sqref="P16">
    <cfRule type="expression" dxfId="588" priority="415">
      <formula>OR($O16&lt;&gt;"",$P16&lt;&gt;"",$Q16&lt;&gt;"")</formula>
    </cfRule>
  </conditionalFormatting>
  <conditionalFormatting sqref="Q16">
    <cfRule type="expression" dxfId="587" priority="414">
      <formula>OR($O16&lt;&gt;"",$P16&lt;&gt;"",$Q16&lt;&gt;"")</formula>
    </cfRule>
  </conditionalFormatting>
  <conditionalFormatting sqref="P17">
    <cfRule type="expression" dxfId="586" priority="413">
      <formula>OR($O17&lt;&gt;"",$P17&lt;&gt;"",$Q17&lt;&gt;"")</formula>
    </cfRule>
  </conditionalFormatting>
  <conditionalFormatting sqref="Q17">
    <cfRule type="expression" dxfId="585" priority="412">
      <formula>OR($O17&lt;&gt;"",$P17&lt;&gt;"",$Q17&lt;&gt;"")</formula>
    </cfRule>
  </conditionalFormatting>
  <conditionalFormatting sqref="P18">
    <cfRule type="expression" dxfId="584" priority="411">
      <formula>OR($O18&lt;&gt;"",$P18&lt;&gt;"",$Q18&lt;&gt;"")</formula>
    </cfRule>
  </conditionalFormatting>
  <conditionalFormatting sqref="Q18">
    <cfRule type="expression" dxfId="583" priority="410">
      <formula>OR($O18&lt;&gt;"",$P18&lt;&gt;"",$Q18&lt;&gt;"")</formula>
    </cfRule>
  </conditionalFormatting>
  <conditionalFormatting sqref="P19">
    <cfRule type="expression" dxfId="582" priority="409">
      <formula>OR($O19&lt;&gt;"",$P19&lt;&gt;"",$Q19&lt;&gt;"")</formula>
    </cfRule>
  </conditionalFormatting>
  <conditionalFormatting sqref="Q19">
    <cfRule type="expression" dxfId="581" priority="408">
      <formula>OR($O19&lt;&gt;"",$P19&lt;&gt;"",$Q19&lt;&gt;"")</formula>
    </cfRule>
  </conditionalFormatting>
  <conditionalFormatting sqref="P20">
    <cfRule type="expression" dxfId="580" priority="407">
      <formula>OR($O20&lt;&gt;"",$P20&lt;&gt;"",$Q20&lt;&gt;"")</formula>
    </cfRule>
  </conditionalFormatting>
  <conditionalFormatting sqref="Q20">
    <cfRule type="expression" dxfId="579" priority="406">
      <formula>OR($O20&lt;&gt;"",$P20&lt;&gt;"",$Q20&lt;&gt;"")</formula>
    </cfRule>
  </conditionalFormatting>
  <conditionalFormatting sqref="P21">
    <cfRule type="expression" dxfId="578" priority="405">
      <formula>OR($O21&lt;&gt;"",$P21&lt;&gt;"",$Q21&lt;&gt;"")</formula>
    </cfRule>
  </conditionalFormatting>
  <conditionalFormatting sqref="Q21">
    <cfRule type="expression" dxfId="577" priority="404">
      <formula>OR($O21&lt;&gt;"",$P21&lt;&gt;"",$Q21&lt;&gt;"")</formula>
    </cfRule>
  </conditionalFormatting>
  <conditionalFormatting sqref="M28">
    <cfRule type="expression" dxfId="576" priority="403">
      <formula>OR($O28&lt;&gt;"",$P28&lt;&gt;"",$Q28&lt;&gt;"")</formula>
    </cfRule>
  </conditionalFormatting>
  <conditionalFormatting sqref="N28">
    <cfRule type="expression" dxfId="575" priority="402">
      <formula>OR($O28&lt;&gt;"",$P28&lt;&gt;"",$Q28&lt;&gt;"")</formula>
    </cfRule>
  </conditionalFormatting>
  <conditionalFormatting sqref="O28">
    <cfRule type="expression" dxfId="574" priority="401">
      <formula>OR($O28&lt;&gt;"",$P28&lt;&gt;"",$Q28&lt;&gt;"")</formula>
    </cfRule>
  </conditionalFormatting>
  <conditionalFormatting sqref="G7">
    <cfRule type="expression" dxfId="573" priority="217">
      <formula>AND($A7="clikt",$J7&lt;&gt;"GOOD")</formula>
    </cfRule>
    <cfRule type="expression" dxfId="572" priority="218">
      <formula>$J7="GOOD"</formula>
    </cfRule>
  </conditionalFormatting>
  <conditionalFormatting sqref="G22">
    <cfRule type="expression" dxfId="571" priority="127">
      <formula>AND($A22="clikt",$J22&lt;&gt;"GOOD")</formula>
    </cfRule>
    <cfRule type="expression" dxfId="570" priority="128">
      <formula>$J22="GOOD"</formula>
    </cfRule>
  </conditionalFormatting>
  <conditionalFormatting sqref="G9">
    <cfRule type="expression" dxfId="569" priority="123">
      <formula>AND($A9="clikt",$J9&lt;&gt;"GOOD")</formula>
    </cfRule>
    <cfRule type="expression" dxfId="568" priority="124">
      <formula>$J9="GOOD"</formula>
    </cfRule>
  </conditionalFormatting>
  <conditionalFormatting sqref="G10">
    <cfRule type="expression" dxfId="567" priority="121">
      <formula>AND($A10="clikt",$J10&lt;&gt;"GOOD")</formula>
    </cfRule>
    <cfRule type="expression" dxfId="566" priority="122">
      <formula>$J10="GOOD"</formula>
    </cfRule>
  </conditionalFormatting>
  <conditionalFormatting sqref="G11">
    <cfRule type="expression" dxfId="565" priority="119">
      <formula>AND($A11="clikt",$J11&lt;&gt;"GOOD")</formula>
    </cfRule>
    <cfRule type="expression" dxfId="564" priority="120">
      <formula>$J11="GOOD"</formula>
    </cfRule>
  </conditionalFormatting>
  <conditionalFormatting sqref="G12">
    <cfRule type="expression" dxfId="563" priority="117">
      <formula>AND($A12="clikt",$J12&lt;&gt;"GOOD")</formula>
    </cfRule>
    <cfRule type="expression" dxfId="562" priority="118">
      <formula>$J12="GOOD"</formula>
    </cfRule>
  </conditionalFormatting>
  <conditionalFormatting sqref="G13">
    <cfRule type="expression" dxfId="561" priority="115">
      <formula>AND($A13="clikt",$J13&lt;&gt;"GOOD")</formula>
    </cfRule>
    <cfRule type="expression" dxfId="560" priority="116">
      <formula>$J13="GOOD"</formula>
    </cfRule>
  </conditionalFormatting>
  <conditionalFormatting sqref="G14">
    <cfRule type="expression" dxfId="559" priority="113">
      <formula>AND($A14="clikt",$J14&lt;&gt;"GOOD")</formula>
    </cfRule>
    <cfRule type="expression" dxfId="558" priority="114">
      <formula>$J14="GOOD"</formula>
    </cfRule>
  </conditionalFormatting>
  <conditionalFormatting sqref="G15">
    <cfRule type="expression" dxfId="557" priority="111">
      <formula>AND($A15="clikt",$J15&lt;&gt;"GOOD")</formula>
    </cfRule>
    <cfRule type="expression" dxfId="556" priority="112">
      <formula>$J15="GOOD"</formula>
    </cfRule>
  </conditionalFormatting>
  <conditionalFormatting sqref="G16">
    <cfRule type="expression" dxfId="555" priority="109">
      <formula>AND($A16="clikt",$J16&lt;&gt;"GOOD")</formula>
    </cfRule>
    <cfRule type="expression" dxfId="554" priority="110">
      <formula>$J16="GOOD"</formula>
    </cfRule>
  </conditionalFormatting>
  <conditionalFormatting sqref="G17">
    <cfRule type="expression" dxfId="553" priority="107">
      <formula>AND($A17="clikt",$J17&lt;&gt;"GOOD")</formula>
    </cfRule>
    <cfRule type="expression" dxfId="552" priority="108">
      <formula>$J17="GOOD"</formula>
    </cfRule>
  </conditionalFormatting>
  <conditionalFormatting sqref="G18">
    <cfRule type="expression" dxfId="551" priority="105">
      <formula>AND($A18="clikt",$J18&lt;&gt;"GOOD")</formula>
    </cfRule>
    <cfRule type="expression" dxfId="550" priority="106">
      <formula>$J18="GOOD"</formula>
    </cfRule>
  </conditionalFormatting>
  <conditionalFormatting sqref="G19">
    <cfRule type="expression" dxfId="549" priority="103">
      <formula>AND($A19="clikt",$J19&lt;&gt;"GOOD")</formula>
    </cfRule>
    <cfRule type="expression" dxfId="548" priority="104">
      <formula>$J19="GOOD"</formula>
    </cfRule>
  </conditionalFormatting>
  <conditionalFormatting sqref="G20">
    <cfRule type="expression" dxfId="547" priority="101">
      <formula>AND($A20="clikt",$J20&lt;&gt;"GOOD")</formula>
    </cfRule>
    <cfRule type="expression" dxfId="546" priority="102">
      <formula>$J20="GOOD"</formula>
    </cfRule>
  </conditionalFormatting>
  <conditionalFormatting sqref="G21">
    <cfRule type="expression" dxfId="545" priority="99">
      <formula>AND($A21="clikt",$J21&lt;&gt;"GOOD")</formula>
    </cfRule>
    <cfRule type="expression" dxfId="544" priority="100">
      <formula>$J21="GOOD"</formula>
    </cfRule>
  </conditionalFormatting>
  <conditionalFormatting sqref="G23">
    <cfRule type="expression" dxfId="543" priority="97">
      <formula>AND($A23="clikt",$J23&lt;&gt;"GOOD")</formula>
    </cfRule>
    <cfRule type="expression" dxfId="542" priority="98">
      <formula>$J23="GOOD"</formula>
    </cfRule>
  </conditionalFormatting>
  <conditionalFormatting sqref="J7">
    <cfRule type="cellIs" priority="95" operator="between">
      <formula>1</formula>
      <formula>2</formula>
    </cfRule>
    <cfRule type="cellIs" dxfId="541" priority="96" operator="equal">
      <formula>"""GOOD"""</formula>
    </cfRule>
  </conditionalFormatting>
  <conditionalFormatting sqref="J8">
    <cfRule type="cellIs" priority="93" operator="between">
      <formula>1</formula>
      <formula>2</formula>
    </cfRule>
    <cfRule type="cellIs" dxfId="540" priority="94" operator="equal">
      <formula>"""GOOD"""</formula>
    </cfRule>
  </conditionalFormatting>
  <conditionalFormatting sqref="J9">
    <cfRule type="cellIs" priority="91" operator="between">
      <formula>1</formula>
      <formula>2</formula>
    </cfRule>
    <cfRule type="cellIs" dxfId="539" priority="92" operator="equal">
      <formula>"""GOOD"""</formula>
    </cfRule>
  </conditionalFormatting>
  <conditionalFormatting sqref="J10">
    <cfRule type="cellIs" priority="89" operator="between">
      <formula>1</formula>
      <formula>2</formula>
    </cfRule>
    <cfRule type="cellIs" dxfId="538" priority="90" operator="equal">
      <formula>"""GOOD"""</formula>
    </cfRule>
  </conditionalFormatting>
  <conditionalFormatting sqref="J11">
    <cfRule type="cellIs" priority="87" operator="between">
      <formula>1</formula>
      <formula>2</formula>
    </cfRule>
    <cfRule type="cellIs" dxfId="537" priority="88" operator="equal">
      <formula>"""GOOD"""</formula>
    </cfRule>
  </conditionalFormatting>
  <conditionalFormatting sqref="J12">
    <cfRule type="cellIs" priority="85" operator="between">
      <formula>1</formula>
      <formula>2</formula>
    </cfRule>
    <cfRule type="cellIs" dxfId="536" priority="86" operator="equal">
      <formula>"""GOOD"""</formula>
    </cfRule>
  </conditionalFormatting>
  <conditionalFormatting sqref="J13">
    <cfRule type="cellIs" priority="83" operator="between">
      <formula>1</formula>
      <formula>2</formula>
    </cfRule>
    <cfRule type="cellIs" dxfId="535" priority="84" operator="equal">
      <formula>"""GOOD"""</formula>
    </cfRule>
  </conditionalFormatting>
  <conditionalFormatting sqref="J14">
    <cfRule type="cellIs" priority="81" operator="between">
      <formula>1</formula>
      <formula>2</formula>
    </cfRule>
    <cfRule type="cellIs" dxfId="534" priority="82" operator="equal">
      <formula>"""GOOD"""</formula>
    </cfRule>
  </conditionalFormatting>
  <conditionalFormatting sqref="J15">
    <cfRule type="cellIs" priority="79" operator="between">
      <formula>1</formula>
      <formula>2</formula>
    </cfRule>
    <cfRule type="cellIs" dxfId="533" priority="80" operator="equal">
      <formula>"""GOOD"""</formula>
    </cfRule>
  </conditionalFormatting>
  <conditionalFormatting sqref="J16">
    <cfRule type="cellIs" priority="77" operator="between">
      <formula>1</formula>
      <formula>2</formula>
    </cfRule>
    <cfRule type="cellIs" dxfId="532" priority="78" operator="equal">
      <formula>"""GOOD"""</formula>
    </cfRule>
  </conditionalFormatting>
  <conditionalFormatting sqref="J17">
    <cfRule type="cellIs" priority="75" operator="between">
      <formula>1</formula>
      <formula>2</formula>
    </cfRule>
    <cfRule type="cellIs" dxfId="531" priority="76" operator="equal">
      <formula>"""GOOD"""</formula>
    </cfRule>
  </conditionalFormatting>
  <conditionalFormatting sqref="J18">
    <cfRule type="cellIs" priority="73" operator="between">
      <formula>1</formula>
      <formula>2</formula>
    </cfRule>
    <cfRule type="cellIs" dxfId="530" priority="74" operator="equal">
      <formula>"""GOOD"""</formula>
    </cfRule>
  </conditionalFormatting>
  <conditionalFormatting sqref="J19">
    <cfRule type="cellIs" priority="71" operator="between">
      <formula>1</formula>
      <formula>2</formula>
    </cfRule>
    <cfRule type="cellIs" dxfId="529" priority="72" operator="equal">
      <formula>"""GOOD"""</formula>
    </cfRule>
  </conditionalFormatting>
  <conditionalFormatting sqref="J20">
    <cfRule type="cellIs" priority="69" operator="between">
      <formula>1</formula>
      <formula>2</formula>
    </cfRule>
    <cfRule type="cellIs" dxfId="528" priority="70" operator="equal">
      <formula>"""GOOD"""</formula>
    </cfRule>
  </conditionalFormatting>
  <conditionalFormatting sqref="J21">
    <cfRule type="cellIs" priority="67" operator="between">
      <formula>1</formula>
      <formula>2</formula>
    </cfRule>
    <cfRule type="cellIs" dxfId="527" priority="68" operator="equal">
      <formula>"""GOOD"""</formula>
    </cfRule>
  </conditionalFormatting>
  <conditionalFormatting sqref="H7">
    <cfRule type="expression" dxfId="526" priority="65">
      <formula>AND($A7="clikt",$J7&lt;&gt;"GOOD")</formula>
    </cfRule>
    <cfRule type="expression" dxfId="525" priority="66">
      <formula>$J7="GOOD"</formula>
    </cfRule>
  </conditionalFormatting>
  <conditionalFormatting sqref="I7">
    <cfRule type="expression" dxfId="524" priority="61">
      <formula>AND($A7="clikt",$J7&lt;&gt;"GOOD")</formula>
    </cfRule>
    <cfRule type="expression" dxfId="523" priority="62">
      <formula>$J7="GOOD"</formula>
    </cfRule>
  </conditionalFormatting>
  <conditionalFormatting sqref="I15">
    <cfRule type="expression" dxfId="522" priority="57">
      <formula>AND($A15="clikt",$J15&lt;&gt;"GOOD")</formula>
    </cfRule>
    <cfRule type="expression" dxfId="521" priority="58">
      <formula>$J15="GOOD"</formula>
    </cfRule>
  </conditionalFormatting>
  <conditionalFormatting sqref="H9">
    <cfRule type="expression" dxfId="520" priority="55">
      <formula>AND($A9="clikt",$J9&lt;&gt;"GOOD")</formula>
    </cfRule>
    <cfRule type="expression" dxfId="519" priority="56">
      <formula>$J9="GOOD"</formula>
    </cfRule>
  </conditionalFormatting>
  <conditionalFormatting sqref="H10">
    <cfRule type="expression" dxfId="518" priority="53">
      <formula>AND($A10="clikt",$J10&lt;&gt;"GOOD")</formula>
    </cfRule>
    <cfRule type="expression" dxfId="517" priority="54">
      <formula>$J10="GOOD"</formula>
    </cfRule>
  </conditionalFormatting>
  <conditionalFormatting sqref="H11">
    <cfRule type="expression" dxfId="516" priority="51">
      <formula>AND($A11="clikt",$J11&lt;&gt;"GOOD")</formula>
    </cfRule>
    <cfRule type="expression" dxfId="515" priority="52">
      <formula>$J11="GOOD"</formula>
    </cfRule>
  </conditionalFormatting>
  <conditionalFormatting sqref="H12">
    <cfRule type="expression" dxfId="514" priority="49">
      <formula>AND($A12="clikt",$J12&lt;&gt;"GOOD")</formula>
    </cfRule>
    <cfRule type="expression" dxfId="513" priority="50">
      <formula>$J12="GOOD"</formula>
    </cfRule>
  </conditionalFormatting>
  <conditionalFormatting sqref="H13">
    <cfRule type="expression" dxfId="512" priority="47">
      <formula>AND($A13="clikt",$J13&lt;&gt;"GOOD")</formula>
    </cfRule>
    <cfRule type="expression" dxfId="511" priority="48">
      <formula>$J13="GOOD"</formula>
    </cfRule>
  </conditionalFormatting>
  <conditionalFormatting sqref="H14">
    <cfRule type="expression" dxfId="510" priority="45">
      <formula>AND($A14="clikt",$J14&lt;&gt;"GOOD")</formula>
    </cfRule>
    <cfRule type="expression" dxfId="509" priority="46">
      <formula>$J14="GOOD"</formula>
    </cfRule>
  </conditionalFormatting>
  <conditionalFormatting sqref="H15">
    <cfRule type="expression" dxfId="508" priority="43">
      <formula>AND($A15="clikt",$J15&lt;&gt;"GOOD")</formula>
    </cfRule>
    <cfRule type="expression" dxfId="507" priority="44">
      <formula>$J15="GOOD"</formula>
    </cfRule>
  </conditionalFormatting>
  <conditionalFormatting sqref="H16">
    <cfRule type="expression" dxfId="506" priority="41">
      <formula>AND($A16="clikt",$J16&lt;&gt;"GOOD")</formula>
    </cfRule>
    <cfRule type="expression" dxfId="505" priority="42">
      <formula>$J16="GOOD"</formula>
    </cfRule>
  </conditionalFormatting>
  <conditionalFormatting sqref="H17">
    <cfRule type="expression" dxfId="504" priority="39">
      <formula>AND($A17="clikt",$J17&lt;&gt;"GOOD")</formula>
    </cfRule>
    <cfRule type="expression" dxfId="503" priority="40">
      <formula>$J17="GOOD"</formula>
    </cfRule>
  </conditionalFormatting>
  <conditionalFormatting sqref="H18">
    <cfRule type="expression" dxfId="502" priority="37">
      <formula>AND($A18="clikt",$J18&lt;&gt;"GOOD")</formula>
    </cfRule>
    <cfRule type="expression" dxfId="501" priority="38">
      <formula>$J18="GOOD"</formula>
    </cfRule>
  </conditionalFormatting>
  <conditionalFormatting sqref="H19">
    <cfRule type="expression" dxfId="500" priority="35">
      <formula>AND($A19="clikt",$J19&lt;&gt;"GOOD")</formula>
    </cfRule>
    <cfRule type="expression" dxfId="499" priority="36">
      <formula>$J19="GOOD"</formula>
    </cfRule>
  </conditionalFormatting>
  <conditionalFormatting sqref="H20">
    <cfRule type="expression" dxfId="498" priority="33">
      <formula>AND($A20="clikt",$J20&lt;&gt;"GOOD")</formula>
    </cfRule>
    <cfRule type="expression" dxfId="497" priority="34">
      <formula>$J20="GOOD"</formula>
    </cfRule>
  </conditionalFormatting>
  <conditionalFormatting sqref="H21">
    <cfRule type="expression" dxfId="496" priority="31">
      <formula>AND($A21="clikt",$J21&lt;&gt;"GOOD")</formula>
    </cfRule>
    <cfRule type="expression" dxfId="495" priority="32">
      <formula>$J21="GOOD"</formula>
    </cfRule>
  </conditionalFormatting>
  <conditionalFormatting sqref="I9">
    <cfRule type="expression" dxfId="494" priority="29">
      <formula>AND($A9="clikt",$J9&lt;&gt;"GOOD")</formula>
    </cfRule>
    <cfRule type="expression" dxfId="493" priority="30">
      <formula>$J9="GOOD"</formula>
    </cfRule>
  </conditionalFormatting>
  <conditionalFormatting sqref="I10">
    <cfRule type="expression" dxfId="492" priority="27">
      <formula>AND($A10="clikt",$J10&lt;&gt;"GOOD")</formula>
    </cfRule>
    <cfRule type="expression" dxfId="491" priority="28">
      <formula>$J10="GOOD"</formula>
    </cfRule>
  </conditionalFormatting>
  <conditionalFormatting sqref="I11">
    <cfRule type="expression" dxfId="490" priority="25">
      <formula>AND($A11="clikt",$J11&lt;&gt;"GOOD")</formula>
    </cfRule>
    <cfRule type="expression" dxfId="489" priority="26">
      <formula>$J11="GOOD"</formula>
    </cfRule>
  </conditionalFormatting>
  <conditionalFormatting sqref="I12">
    <cfRule type="expression" dxfId="488" priority="23">
      <formula>AND($A12="clikt",$J12&lt;&gt;"GOOD")</formula>
    </cfRule>
    <cfRule type="expression" dxfId="487" priority="24">
      <formula>$J12="GOOD"</formula>
    </cfRule>
  </conditionalFormatting>
  <conditionalFormatting sqref="I13">
    <cfRule type="expression" dxfId="486" priority="21">
      <formula>AND($A13="clikt",$J13&lt;&gt;"GOOD")</formula>
    </cfRule>
    <cfRule type="expression" dxfId="485" priority="22">
      <formula>$J13="GOOD"</formula>
    </cfRule>
  </conditionalFormatting>
  <conditionalFormatting sqref="I14">
    <cfRule type="expression" dxfId="484" priority="19">
      <formula>AND($A14="clikt",$J14&lt;&gt;"GOOD")</formula>
    </cfRule>
    <cfRule type="expression" dxfId="483" priority="20">
      <formula>$J14="GOOD"</formula>
    </cfRule>
  </conditionalFormatting>
  <conditionalFormatting sqref="I16">
    <cfRule type="expression" dxfId="482" priority="17">
      <formula>AND($A16="clikt",$J16&lt;&gt;"GOOD")</formula>
    </cfRule>
    <cfRule type="expression" dxfId="481" priority="18">
      <formula>$J16="GOOD"</formula>
    </cfRule>
  </conditionalFormatting>
  <conditionalFormatting sqref="I17">
    <cfRule type="expression" dxfId="480" priority="15">
      <formula>AND($A17="clikt",$J17&lt;&gt;"GOOD")</formula>
    </cfRule>
    <cfRule type="expression" dxfId="479" priority="16">
      <formula>$J17="GOOD"</formula>
    </cfRule>
  </conditionalFormatting>
  <conditionalFormatting sqref="I18">
    <cfRule type="expression" dxfId="478" priority="13">
      <formula>AND($A18="clikt",$J18&lt;&gt;"GOOD")</formula>
    </cfRule>
    <cfRule type="expression" dxfId="477" priority="14">
      <formula>$J18="GOOD"</formula>
    </cfRule>
  </conditionalFormatting>
  <conditionalFormatting sqref="I19">
    <cfRule type="expression" dxfId="476" priority="11">
      <formula>AND($A19="clikt",$J19&lt;&gt;"GOOD")</formula>
    </cfRule>
    <cfRule type="expression" dxfId="475" priority="12">
      <formula>$J19="GOOD"</formula>
    </cfRule>
  </conditionalFormatting>
  <conditionalFormatting sqref="I20">
    <cfRule type="expression" dxfId="474" priority="9">
      <formula>AND($A20="clikt",$J20&lt;&gt;"GOOD")</formula>
    </cfRule>
    <cfRule type="expression" dxfId="473" priority="10">
      <formula>$J20="GOOD"</formula>
    </cfRule>
  </conditionalFormatting>
  <conditionalFormatting sqref="I21">
    <cfRule type="expression" dxfId="472" priority="7">
      <formula>AND($A21="clikt",$J21&lt;&gt;"GOOD")</formula>
    </cfRule>
    <cfRule type="expression" dxfId="471" priority="8">
      <formula>$J21="GOOD"</formula>
    </cfRule>
  </conditionalFormatting>
  <conditionalFormatting sqref="G8">
    <cfRule type="expression" dxfId="470" priority="5">
      <formula>AND($A8="clikt",$J8&lt;&gt;"GOOD")</formula>
    </cfRule>
    <cfRule type="expression" dxfId="469" priority="6">
      <formula>$J8="GOOD"</formula>
    </cfRule>
  </conditionalFormatting>
  <conditionalFormatting sqref="H8">
    <cfRule type="expression" dxfId="468" priority="3">
      <formula>AND($A8="clikt",$J8&lt;&gt;"GOOD")</formula>
    </cfRule>
    <cfRule type="expression" dxfId="467" priority="4">
      <formula>$J8="GOOD"</formula>
    </cfRule>
  </conditionalFormatting>
  <conditionalFormatting sqref="I8">
    <cfRule type="expression" dxfId="466" priority="1">
      <formula>AND($A8="clikt",$J8&lt;&gt;"GOOD")</formula>
    </cfRule>
    <cfRule type="expression" dxfId="465" priority="2">
      <formula>$J8="GOOD"</formula>
    </cfRule>
  </conditionalFormatting>
  <hyperlinks>
    <hyperlink ref="P2" r:id="rId1" xr:uid="{F0DE2764-5E71-4EB0-80C7-1F181202E48F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63" t="str">
        <f>[1]!wwsSetup("useHTTPS", TRUE)</f>
        <v>useHTTPS = "True"</v>
      </c>
      <c r="B1" s="54"/>
      <c r="C1" s="54"/>
      <c r="D1" s="59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42"/>
      <c r="R1" s="5"/>
      <c r="S1" s="50"/>
      <c r="T1" s="50"/>
      <c r="U1" s="50" t="s">
        <v>95</v>
      </c>
    </row>
    <row r="2" spans="1:21" ht="18">
      <c r="A2" s="24"/>
      <c r="B2" s="60"/>
      <c r="C2" s="60"/>
      <c r="D2" s="60"/>
      <c r="E2" s="26" t="s">
        <v>71</v>
      </c>
      <c r="F2" s="66"/>
      <c r="G2" s="66"/>
      <c r="H2" s="66"/>
      <c r="I2" s="27" t="s">
        <v>72</v>
      </c>
      <c r="J2" s="66"/>
      <c r="K2" s="66"/>
      <c r="L2" s="66"/>
      <c r="M2" s="38"/>
      <c r="N2" s="70" t="s">
        <v>89</v>
      </c>
      <c r="O2" s="70"/>
      <c r="P2" s="41" t="s">
        <v>88</v>
      </c>
      <c r="Q2" s="48"/>
      <c r="R2" s="49"/>
      <c r="S2" s="28"/>
      <c r="T2" s="28"/>
      <c r="U2" s="28" t="s">
        <v>96</v>
      </c>
    </row>
    <row r="3" spans="1:21">
      <c r="B3" s="54"/>
      <c r="C3" s="54"/>
      <c r="D3" s="54"/>
      <c r="E3" s="6"/>
      <c r="F3" s="50"/>
      <c r="G3" s="42"/>
      <c r="H3" s="42"/>
      <c r="I3" s="42"/>
      <c r="J3" s="50"/>
      <c r="K3" s="50"/>
      <c r="L3" s="50"/>
      <c r="M3" s="36"/>
      <c r="N3" s="36"/>
      <c r="O3" s="42"/>
      <c r="P3" s="42"/>
      <c r="Q3" s="42"/>
      <c r="R3" s="50"/>
      <c r="S3" s="50"/>
      <c r="T3" s="50"/>
      <c r="U3" s="50" t="str">
        <f>[1]!wwsSetup("metatags", "NAME OF AUDIO FILE.txt")</f>
        <v>metatags = "NAME OF AUDIO FILE.txt"</v>
      </c>
    </row>
    <row r="4" spans="1:21" ht="17.399999999999999" customHeight="1">
      <c r="B4" s="19"/>
      <c r="C4" s="19"/>
      <c r="D4" s="19"/>
      <c r="E4" s="71" t="s">
        <v>77</v>
      </c>
      <c r="F4" s="8"/>
      <c r="G4" s="68" t="s">
        <v>97</v>
      </c>
      <c r="H4" s="68"/>
      <c r="I4" s="68"/>
      <c r="J4" s="50"/>
      <c r="K4" s="39"/>
      <c r="L4" s="50"/>
      <c r="M4" s="50"/>
      <c r="N4" s="50"/>
      <c r="O4" s="68" t="s">
        <v>98</v>
      </c>
      <c r="P4" s="68"/>
      <c r="Q4" s="68"/>
      <c r="R4" s="50"/>
      <c r="S4" s="50"/>
      <c r="T4" s="50"/>
      <c r="U4" s="50"/>
    </row>
    <row r="5" spans="1:21" ht="18">
      <c r="B5" s="19"/>
      <c r="C5" s="19"/>
      <c r="D5" s="19"/>
      <c r="E5" s="71"/>
      <c r="F5" s="51"/>
      <c r="G5" s="42"/>
      <c r="H5" s="42"/>
      <c r="I5" s="42"/>
      <c r="J5" s="50"/>
      <c r="K5" s="50"/>
      <c r="L5" s="50"/>
      <c r="M5" s="50"/>
      <c r="N5" s="69" t="s">
        <v>76</v>
      </c>
      <c r="O5" s="69"/>
      <c r="P5" s="65" t="str">
        <f>[1]!wwsInput()</f>
        <v/>
      </c>
      <c r="Q5" s="65"/>
      <c r="R5" s="65"/>
      <c r="S5" s="65"/>
      <c r="T5" s="50"/>
      <c r="U5" s="50"/>
    </row>
    <row r="6" spans="1:21">
      <c r="B6" s="19"/>
      <c r="C6" s="19"/>
      <c r="D6" s="19"/>
      <c r="E6" s="61" t="s">
        <v>69</v>
      </c>
      <c r="F6" s="51"/>
      <c r="G6" s="67" t="s">
        <v>70</v>
      </c>
      <c r="H6" s="67"/>
      <c r="I6" s="67"/>
      <c r="J6" s="50"/>
      <c r="K6" s="50"/>
      <c r="L6" s="50"/>
      <c r="M6" s="50"/>
      <c r="N6" s="50"/>
      <c r="O6" s="67" t="s">
        <v>70</v>
      </c>
      <c r="P6" s="67"/>
      <c r="Q6" s="67"/>
      <c r="R6" s="50"/>
      <c r="S6" s="19"/>
      <c r="T6" s="19"/>
      <c r="U6" s="19"/>
    </row>
    <row r="7" spans="1:21" ht="18">
      <c r="A7" s="14" t="str">
        <f>IF(OR(G7&lt;&gt;"",H7&lt;&gt;"",I7&lt;&gt;""),"clikt","")</f>
        <v>clikt</v>
      </c>
      <c r="B7" s="62" t="s">
        <v>44</v>
      </c>
      <c r="C7" s="62" t="s">
        <v>67</v>
      </c>
      <c r="D7" s="62" t="s">
        <v>34</v>
      </c>
      <c r="E7" s="53" t="s">
        <v>44</v>
      </c>
      <c r="F7" s="52">
        <v>1</v>
      </c>
      <c r="G7" s="15" t="str">
        <f>[1]!wwsCheckbox($B7,7,FALSE)</f>
        <v>bob</v>
      </c>
      <c r="H7" s="15" t="str">
        <f>[1]!wwsCheckbox($C7,7,FALSE)</f>
        <v>bub</v>
      </c>
      <c r="I7" s="15" t="str">
        <f>[1]!wwsCheckbox($D7,7,FALSE)</f>
        <v>bib</v>
      </c>
      <c r="J7" s="10" t="str">
        <f>IF(OR(E7=G7,E7=H7,E7=I7),"GOOD","")</f>
        <v>GOOD</v>
      </c>
      <c r="K7" s="10"/>
      <c r="L7" s="14"/>
      <c r="M7" s="10"/>
      <c r="N7" s="9">
        <v>1</v>
      </c>
      <c r="O7" s="15" t="str">
        <f>[1]!wwsCheckbox($C7,107,FALSE)</f>
        <v>bub</v>
      </c>
      <c r="P7" s="15" t="str">
        <f>[1]!wwsCheckbox($D7,107,FALSE)</f>
        <v>bib</v>
      </c>
      <c r="Q7" s="15" t="str">
        <f>[1]!wwsCheckbox($B7,107,FALSE)</f>
        <v>bob</v>
      </c>
      <c r="R7" s="14">
        <f>IF(OR(E7=O7,E7=P7,E7=Q7),1,0)</f>
        <v>1</v>
      </c>
      <c r="S7" s="20"/>
      <c r="T7" s="21"/>
      <c r="U7" s="20"/>
    </row>
    <row r="8" spans="1:21" ht="18">
      <c r="A8" s="14" t="str">
        <f>IF(OR(G8&lt;&gt;"",H8&lt;&gt;"",I8&lt;&gt;""),"clikt","")</f>
        <v>clikt</v>
      </c>
      <c r="B8" s="62" t="s">
        <v>8</v>
      </c>
      <c r="C8" s="62" t="s">
        <v>19</v>
      </c>
      <c r="D8" s="62" t="s">
        <v>29</v>
      </c>
      <c r="E8" s="53" t="s">
        <v>19</v>
      </c>
      <c r="F8" s="52">
        <f>1+F7</f>
        <v>2</v>
      </c>
      <c r="G8" s="15" t="str">
        <f>[1]!wwsCheckbox($B8,8,FALSE)</f>
        <v>bad</v>
      </c>
      <c r="H8" s="15" t="str">
        <f>[1]!wwsCheckbox($C8,8,FALSE)</f>
        <v>bed</v>
      </c>
      <c r="I8" s="15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5" t="str">
        <f>[1]!wwsCheckbox($C8,108,FALSE)</f>
        <v>bed</v>
      </c>
      <c r="P8" s="15" t="str">
        <f>[1]!wwsCheckbox($D8,108,FALSE)</f>
        <v>bid</v>
      </c>
      <c r="Q8" s="15" t="str">
        <f>[1]!wwsCheckbox($B8,108,FALSE)</f>
        <v>bad</v>
      </c>
      <c r="R8" s="14">
        <f t="shared" ref="R8:R16" si="0">IF(OR(E8=O8,E8=P8,E8=Q8),1,0)</f>
        <v>1</v>
      </c>
      <c r="S8" s="20"/>
      <c r="T8" s="20"/>
      <c r="U8" s="22"/>
    </row>
    <row r="9" spans="1:21" ht="18">
      <c r="A9" s="14" t="str">
        <f t="shared" ref="A9:A26" si="1">IF(OR(G9&lt;&gt;"",H9&lt;&gt;"",I9&lt;&gt;""),"clikt","")</f>
        <v>clikt</v>
      </c>
      <c r="B9" s="62" t="s">
        <v>46</v>
      </c>
      <c r="C9" s="62" t="s">
        <v>0</v>
      </c>
      <c r="D9" s="62" t="s">
        <v>64</v>
      </c>
      <c r="E9" s="53" t="s">
        <v>46</v>
      </c>
      <c r="F9" s="52">
        <f t="shared" ref="F9:F16" si="2">1+F8</f>
        <v>3</v>
      </c>
      <c r="G9" s="15" t="str">
        <f>[1]!wwsCheckbox($B9,9,FALSE)</f>
        <v>bot</v>
      </c>
      <c r="H9" s="15" t="str">
        <f>[1]!wwsCheckbox($C9,9,FALSE)</f>
        <v>bat</v>
      </c>
      <c r="I9" s="15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5" t="str">
        <f>[1]!wwsCheckbox($C9,109,FALSE)</f>
        <v>bat</v>
      </c>
      <c r="P9" s="15" t="str">
        <f>[1]!wwsCheckbox($D9,109,FALSE)</f>
        <v>but</v>
      </c>
      <c r="Q9" s="15" t="str">
        <f>[1]!wwsCheckbox($B9,109,FALSE)</f>
        <v>bot</v>
      </c>
      <c r="R9" s="14">
        <f t="shared" si="0"/>
        <v>1</v>
      </c>
      <c r="S9" s="23"/>
      <c r="T9" s="23"/>
      <c r="U9" s="23"/>
    </row>
    <row r="10" spans="1:21" ht="18">
      <c r="A10" s="14" t="str">
        <f t="shared" si="1"/>
        <v>clikt</v>
      </c>
      <c r="B10" s="62" t="s">
        <v>30</v>
      </c>
      <c r="C10" s="62" t="s">
        <v>99</v>
      </c>
      <c r="D10" s="62" t="s">
        <v>20</v>
      </c>
      <c r="E10" s="53" t="s">
        <v>20</v>
      </c>
      <c r="F10" s="52">
        <f t="shared" si="2"/>
        <v>4</v>
      </c>
      <c r="G10" s="15" t="str">
        <f>[1]!wwsCheckbox($B10,10,FALSE)</f>
        <v>din</v>
      </c>
      <c r="H10" s="15" t="str">
        <f>[1]!wwsCheckbox($C10,10,FALSE)</f>
        <v>dun</v>
      </c>
      <c r="I10" s="15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5" t="str">
        <f>[1]!wwsCheckbox($C10,110,FALSE)</f>
        <v>dun</v>
      </c>
      <c r="P10" s="15" t="str">
        <f>[1]!wwsCheckbox($D10,110,FALSE)</f>
        <v>den</v>
      </c>
      <c r="Q10" s="15" t="str">
        <f>[1]!wwsCheckbox($B10,110,FALSE)</f>
        <v>din</v>
      </c>
      <c r="R10" s="14">
        <f t="shared" si="0"/>
        <v>1</v>
      </c>
      <c r="S10" s="23"/>
      <c r="T10" s="23"/>
      <c r="U10" s="23"/>
    </row>
    <row r="11" spans="1:21" ht="18">
      <c r="A11" s="14" t="str">
        <f t="shared" si="1"/>
        <v>clikt</v>
      </c>
      <c r="B11" s="62" t="s">
        <v>53</v>
      </c>
      <c r="C11" s="62" t="s">
        <v>68</v>
      </c>
      <c r="D11" s="62" t="s">
        <v>26</v>
      </c>
      <c r="E11" s="53" t="s">
        <v>53</v>
      </c>
      <c r="F11" s="52">
        <f t="shared" si="2"/>
        <v>5</v>
      </c>
      <c r="G11" s="15" t="str">
        <f>[1]!wwsCheckbox($B11,11,FALSE)</f>
        <v>not</v>
      </c>
      <c r="H11" s="15" t="str">
        <f>[1]!wwsCheckbox($C11,11,FALSE)</f>
        <v>nut</v>
      </c>
      <c r="I11" s="15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5" t="str">
        <f>[1]!wwsCheckbox($C11,111,FALSE)</f>
        <v>nut</v>
      </c>
      <c r="P11" s="15" t="str">
        <f>[1]!wwsCheckbox($D11,111,FALSE)</f>
        <v>net</v>
      </c>
      <c r="Q11" s="15" t="str">
        <f>[1]!wwsCheckbox($B11,111,FALSE)</f>
        <v>not</v>
      </c>
      <c r="R11" s="14">
        <f t="shared" si="0"/>
        <v>1</v>
      </c>
      <c r="S11" s="10"/>
      <c r="T11" s="10"/>
      <c r="U11" s="10"/>
    </row>
    <row r="12" spans="1:21" ht="18">
      <c r="A12" s="14" t="str">
        <f t="shared" si="1"/>
        <v>clikt</v>
      </c>
      <c r="B12" s="62" t="s">
        <v>41</v>
      </c>
      <c r="C12" s="62" t="s">
        <v>22</v>
      </c>
      <c r="D12" s="62" t="s">
        <v>18</v>
      </c>
      <c r="E12" s="53" t="s">
        <v>22</v>
      </c>
      <c r="F12" s="52">
        <f t="shared" si="2"/>
        <v>6</v>
      </c>
      <c r="G12" s="15" t="str">
        <f>[1]!wwsCheckbox($B12,12,FALSE)</f>
        <v>pin</v>
      </c>
      <c r="H12" s="15" t="str">
        <f>[1]!wwsCheckbox($C12,12,FALSE)</f>
        <v>pen</v>
      </c>
      <c r="I12" s="15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5" t="str">
        <f>[1]!wwsCheckbox($C12,112,FALSE)</f>
        <v>pen</v>
      </c>
      <c r="P12" s="15" t="str">
        <f>[1]!wwsCheckbox($D12,112,FALSE)</f>
        <v>pan</v>
      </c>
      <c r="Q12" s="15" t="str">
        <f>[1]!wwsCheckbox($B12,112,FALSE)</f>
        <v>pin</v>
      </c>
      <c r="R12" s="14">
        <f t="shared" si="0"/>
        <v>1</v>
      </c>
      <c r="S12" s="10"/>
      <c r="T12" s="10"/>
      <c r="U12" s="10"/>
    </row>
    <row r="13" spans="1:21" ht="18">
      <c r="A13" s="14" t="str">
        <f t="shared" si="1"/>
        <v>clikt</v>
      </c>
      <c r="B13" s="62" t="s">
        <v>45</v>
      </c>
      <c r="C13" s="62" t="s">
        <v>100</v>
      </c>
      <c r="D13" s="62" t="s">
        <v>79</v>
      </c>
      <c r="E13" s="53" t="s">
        <v>79</v>
      </c>
      <c r="F13" s="52">
        <f t="shared" si="2"/>
        <v>7</v>
      </c>
      <c r="G13" s="15" t="str">
        <f>[1]!wwsCheckbox($B13,13,FALSE)</f>
        <v>pop</v>
      </c>
      <c r="H13" s="15" t="str">
        <f>[1]!wwsCheckbox($C13,13,FALSE)</f>
        <v>pep</v>
      </c>
      <c r="I13" s="15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5" t="str">
        <f>[1]!wwsCheckbox($C13,113,FALSE)</f>
        <v>pep</v>
      </c>
      <c r="P13" s="15" t="str">
        <f>[1]!wwsCheckbox($D13,113,FALSE)</f>
        <v>pup</v>
      </c>
      <c r="Q13" s="15" t="str">
        <f>[1]!wwsCheckbox($B13,113,FALSE)</f>
        <v>pop</v>
      </c>
      <c r="R13" s="14">
        <f t="shared" si="0"/>
        <v>1</v>
      </c>
      <c r="S13" s="10"/>
      <c r="T13" s="10"/>
      <c r="U13" s="10"/>
    </row>
    <row r="14" spans="1:21" ht="18">
      <c r="A14" s="14" t="str">
        <f t="shared" si="1"/>
        <v>clikt</v>
      </c>
      <c r="B14" s="62" t="s">
        <v>27</v>
      </c>
      <c r="C14" s="62" t="s">
        <v>36</v>
      </c>
      <c r="D14" s="62" t="s">
        <v>16</v>
      </c>
      <c r="E14" s="53" t="s">
        <v>27</v>
      </c>
      <c r="F14" s="52">
        <f t="shared" si="2"/>
        <v>8</v>
      </c>
      <c r="G14" s="15" t="str">
        <f>[1]!wwsCheckbox($B14,14,FALSE)</f>
        <v>pet</v>
      </c>
      <c r="H14" s="15" t="str">
        <f>[1]!wwsCheckbox($C14,14,FALSE)</f>
        <v>pit</v>
      </c>
      <c r="I14" s="15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5" t="str">
        <f>[1]!wwsCheckbox($C14,114,FALSE)</f>
        <v>pit</v>
      </c>
      <c r="P14" s="15" t="str">
        <f>[1]!wwsCheckbox($D14,114,FALSE)</f>
        <v>pat</v>
      </c>
      <c r="Q14" s="15" t="str">
        <f>[1]!wwsCheckbox($B14,114,FALSE)</f>
        <v>pet</v>
      </c>
      <c r="R14" s="14">
        <f t="shared" si="0"/>
        <v>1</v>
      </c>
      <c r="S14" s="10"/>
      <c r="T14" s="10"/>
      <c r="U14" s="10"/>
    </row>
    <row r="15" spans="1:21" ht="18">
      <c r="A15" s="14" t="str">
        <f t="shared" si="1"/>
        <v>clikt</v>
      </c>
      <c r="B15" s="62" t="s">
        <v>23</v>
      </c>
      <c r="C15" s="62" t="s">
        <v>9</v>
      </c>
      <c r="D15" s="62" t="s">
        <v>28</v>
      </c>
      <c r="E15" s="53" t="s">
        <v>9</v>
      </c>
      <c r="F15" s="52">
        <f t="shared" si="2"/>
        <v>9</v>
      </c>
      <c r="G15" s="15" t="str">
        <f>[1]!wwsCheckbox($B15,15,FALSE)</f>
        <v>ten</v>
      </c>
      <c r="H15" s="15" t="str">
        <f>[1]!wwsCheckbox($C15,15,FALSE)</f>
        <v>tan</v>
      </c>
      <c r="I15" s="15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5" t="str">
        <f>[1]!wwsCheckbox($C15,115,FALSE)</f>
        <v>tan</v>
      </c>
      <c r="P15" s="15" t="str">
        <f>[1]!wwsCheckbox($D15,115,FALSE)</f>
        <v>tin</v>
      </c>
      <c r="Q15" s="15" t="str">
        <f>[1]!wwsCheckbox($B15,115,FALSE)</f>
        <v>ten</v>
      </c>
      <c r="R15" s="14">
        <f t="shared" si="0"/>
        <v>1</v>
      </c>
      <c r="S15" s="10"/>
      <c r="T15" s="10"/>
      <c r="U15" s="10"/>
    </row>
    <row r="16" spans="1:21" ht="18">
      <c r="A16" s="14" t="str">
        <f t="shared" si="1"/>
        <v>clikt</v>
      </c>
      <c r="B16" s="62" t="s">
        <v>47</v>
      </c>
      <c r="C16" s="62" t="s">
        <v>2</v>
      </c>
      <c r="D16" s="62" t="s">
        <v>31</v>
      </c>
      <c r="E16" s="53" t="s">
        <v>47</v>
      </c>
      <c r="F16" s="52">
        <f t="shared" si="2"/>
        <v>10</v>
      </c>
      <c r="G16" s="15" t="str">
        <f>[1]!wwsCheckbox($B16,16,FALSE)</f>
        <v>top</v>
      </c>
      <c r="H16" s="15" t="str">
        <f>[1]!wwsCheckbox($C16,16,FALSE)</f>
        <v>tap</v>
      </c>
      <c r="I16" s="15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5" t="str">
        <f>[1]!wwsCheckbox($C16,116,FALSE)</f>
        <v>tap</v>
      </c>
      <c r="P16" s="15" t="str">
        <f>[1]!wwsCheckbox($D16,116,FALSE)</f>
        <v>tip</v>
      </c>
      <c r="Q16" s="15" t="str">
        <f>[1]!wwsCheckbox($B16,116,FALSE)</f>
        <v>top</v>
      </c>
      <c r="R16" s="14">
        <f t="shared" si="0"/>
        <v>1</v>
      </c>
      <c r="S16" s="10"/>
      <c r="T16" s="10"/>
      <c r="U16" s="10"/>
    </row>
    <row r="17" spans="1:21" ht="17.399999999999999">
      <c r="A17" s="14"/>
      <c r="B17" s="30"/>
      <c r="C17" s="30"/>
      <c r="D17" s="30"/>
      <c r="E17" s="53"/>
      <c r="F17" s="52"/>
      <c r="G17" s="33"/>
      <c r="H17" s="33"/>
      <c r="I17" s="33"/>
      <c r="J17" s="34"/>
      <c r="K17" s="34"/>
      <c r="L17" s="34"/>
      <c r="M17" s="34"/>
      <c r="N17" s="32"/>
      <c r="O17" s="33"/>
      <c r="P17" s="33"/>
      <c r="Q17" s="33"/>
      <c r="R17" s="14"/>
      <c r="S17" s="10"/>
      <c r="T17" s="10"/>
      <c r="U17" s="10"/>
    </row>
    <row r="18" spans="1:21" ht="17.399999999999999">
      <c r="A18" s="14"/>
      <c r="B18" s="55"/>
      <c r="C18" s="55"/>
      <c r="D18" s="55"/>
      <c r="E18" s="56"/>
      <c r="F18" s="52"/>
      <c r="G18" s="33"/>
      <c r="H18" s="33"/>
      <c r="I18" s="33"/>
      <c r="J18" s="34"/>
      <c r="K18" s="34"/>
      <c r="L18" s="34"/>
      <c r="M18" s="34"/>
      <c r="N18" s="32"/>
      <c r="O18" s="33"/>
      <c r="P18" s="33"/>
      <c r="Q18" s="33"/>
      <c r="R18" s="14"/>
      <c r="S18" s="10"/>
      <c r="T18" s="10"/>
      <c r="U18" s="10"/>
    </row>
    <row r="19" spans="1:21" ht="17.399999999999999">
      <c r="A19" s="14"/>
      <c r="B19" s="55"/>
      <c r="C19" s="55"/>
      <c r="D19" s="55"/>
      <c r="E19" s="56"/>
      <c r="F19" s="52"/>
      <c r="G19" s="33"/>
      <c r="H19" s="33"/>
      <c r="I19" s="33"/>
      <c r="J19" s="34"/>
      <c r="K19" s="34"/>
      <c r="L19" s="34"/>
      <c r="M19" s="34"/>
      <c r="N19" s="32"/>
      <c r="O19" s="33"/>
      <c r="P19" s="33"/>
      <c r="Q19" s="33"/>
      <c r="R19" s="14"/>
      <c r="S19" s="10"/>
      <c r="T19" s="10"/>
      <c r="U19" s="10"/>
    </row>
    <row r="20" spans="1:21" ht="17.399999999999999">
      <c r="A20" s="14"/>
      <c r="B20" s="55"/>
      <c r="C20" s="55"/>
      <c r="D20" s="55"/>
      <c r="E20" s="56"/>
      <c r="F20" s="52"/>
      <c r="G20" s="33"/>
      <c r="H20" s="33"/>
      <c r="I20" s="33"/>
      <c r="J20" s="34"/>
      <c r="K20" s="34"/>
      <c r="L20" s="34"/>
      <c r="M20" s="34"/>
      <c r="N20" s="32"/>
      <c r="O20" s="33"/>
      <c r="P20" s="33"/>
      <c r="Q20" s="33"/>
      <c r="R20" s="14"/>
      <c r="S20" s="10"/>
      <c r="T20" s="10"/>
      <c r="U20" s="10"/>
    </row>
    <row r="21" spans="1:21" ht="17.399999999999999">
      <c r="A21" s="14"/>
      <c r="B21" s="55"/>
      <c r="C21" s="55"/>
      <c r="D21" s="55"/>
      <c r="E21" s="56"/>
      <c r="F21" s="52"/>
      <c r="G21" s="33"/>
      <c r="H21" s="33"/>
      <c r="I21" s="33"/>
      <c r="J21" s="34"/>
      <c r="K21" s="34"/>
      <c r="L21" s="34"/>
      <c r="M21" s="34"/>
      <c r="N21" s="32"/>
      <c r="O21" s="33"/>
      <c r="P21" s="33"/>
      <c r="Q21" s="33"/>
      <c r="R21" s="14"/>
      <c r="S21" s="10"/>
      <c r="T21" s="10"/>
      <c r="U21" s="10"/>
    </row>
    <row r="22" spans="1:21" ht="17.399999999999999">
      <c r="A22" s="14" t="str">
        <f t="shared" si="1"/>
        <v/>
      </c>
      <c r="B22" s="57"/>
      <c r="C22" s="57"/>
      <c r="D22" s="57"/>
      <c r="E22" s="58"/>
      <c r="F22" s="53"/>
      <c r="G22" s="33"/>
      <c r="H22" s="33"/>
      <c r="I22" s="33"/>
      <c r="J22" s="34"/>
      <c r="K22" s="34"/>
      <c r="L22" s="34"/>
      <c r="M22" s="34"/>
      <c r="N22" s="32"/>
      <c r="O22" s="33"/>
      <c r="P22" s="33"/>
      <c r="Q22" s="33"/>
      <c r="R22" s="35">
        <f>SUM(R7:R21)/10</f>
        <v>1</v>
      </c>
      <c r="S22" s="10"/>
      <c r="T22" s="10"/>
      <c r="U22" s="10"/>
    </row>
    <row r="23" spans="1:21" ht="17.399999999999999">
      <c r="A23" s="14" t="str">
        <f t="shared" si="1"/>
        <v/>
      </c>
      <c r="B23" s="18" t="s">
        <v>40</v>
      </c>
      <c r="C23" s="18"/>
      <c r="D23" s="18"/>
      <c r="E23" s="53"/>
      <c r="F23" s="53"/>
      <c r="G23" s="33"/>
      <c r="H23" s="33"/>
      <c r="I23" s="33"/>
      <c r="J23" s="34"/>
      <c r="K23" s="34"/>
      <c r="L23" s="34"/>
      <c r="M23" s="34"/>
      <c r="N23" s="32"/>
      <c r="O23" s="33"/>
      <c r="P23" s="33"/>
      <c r="Q23" s="33"/>
      <c r="R23" s="34"/>
      <c r="S23" s="10"/>
      <c r="T23" s="50" t="s">
        <v>75</v>
      </c>
      <c r="U23" s="10"/>
    </row>
    <row r="24" spans="1:21" ht="17.399999999999999">
      <c r="A24" s="14" t="str">
        <f t="shared" si="1"/>
        <v/>
      </c>
      <c r="B24" s="18" t="s">
        <v>65</v>
      </c>
      <c r="C24" s="18"/>
      <c r="D24" s="18"/>
      <c r="E24" s="53"/>
      <c r="F24" s="53"/>
      <c r="G24" s="33"/>
      <c r="H24" s="33"/>
      <c r="I24" s="33"/>
      <c r="J24" s="34"/>
      <c r="K24" s="34"/>
      <c r="L24" s="34"/>
      <c r="M24" s="34"/>
      <c r="N24" s="32"/>
      <c r="O24" s="33"/>
      <c r="P24" s="33"/>
      <c r="Q24" s="33"/>
      <c r="R24" s="34"/>
      <c r="S24" s="10"/>
      <c r="T24" s="10"/>
      <c r="U24" s="10"/>
    </row>
    <row r="25" spans="1:21" ht="17.399999999999999">
      <c r="A25" s="14" t="str">
        <f t="shared" si="1"/>
        <v/>
      </c>
      <c r="B25" s="18" t="s">
        <v>59</v>
      </c>
      <c r="C25" s="18"/>
      <c r="D25" s="18"/>
      <c r="E25" s="53"/>
      <c r="F25" s="53"/>
      <c r="G25" s="33"/>
      <c r="H25" s="33"/>
      <c r="I25" s="33"/>
      <c r="J25" s="34"/>
      <c r="K25" s="34"/>
      <c r="L25" s="34"/>
      <c r="M25" s="34"/>
      <c r="N25" s="32"/>
      <c r="O25" s="33"/>
      <c r="P25" s="33"/>
      <c r="Q25" s="33"/>
      <c r="R25" s="34"/>
      <c r="S25" s="10"/>
      <c r="T25" s="10"/>
      <c r="U25" s="10"/>
    </row>
    <row r="26" spans="1:21" ht="17.399999999999999">
      <c r="A26" s="14" t="str">
        <f t="shared" si="1"/>
        <v/>
      </c>
      <c r="B26" s="18" t="s">
        <v>11</v>
      </c>
      <c r="C26" s="18"/>
      <c r="D26" s="18"/>
      <c r="E26" s="53"/>
      <c r="F26" s="53"/>
      <c r="G26" s="33"/>
      <c r="H26" s="33"/>
      <c r="I26" s="33"/>
      <c r="J26" s="34"/>
      <c r="K26" s="34"/>
      <c r="L26" s="34"/>
      <c r="M26" s="34"/>
      <c r="N26" s="32"/>
      <c r="O26" s="33"/>
      <c r="P26" s="33"/>
      <c r="Q26" s="33"/>
      <c r="R26" s="34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G6:I6"/>
    <mergeCell ref="O6:Q6"/>
    <mergeCell ref="F2:H2"/>
    <mergeCell ref="J2:L2"/>
    <mergeCell ref="N2:O2"/>
    <mergeCell ref="E4:E5"/>
    <mergeCell ref="G4:I4"/>
    <mergeCell ref="O4:Q4"/>
    <mergeCell ref="N5:O5"/>
    <mergeCell ref="P5:S5"/>
  </mergeCells>
  <conditionalFormatting sqref="N7">
    <cfRule type="cellIs" priority="221" operator="between">
      <formula>1</formula>
      <formula>2</formula>
    </cfRule>
    <cfRule type="cellIs" dxfId="464" priority="222" operator="equal">
      <formula>"""GOOD"""</formula>
    </cfRule>
  </conditionalFormatting>
  <conditionalFormatting sqref="G24">
    <cfRule type="expression" dxfId="463" priority="219">
      <formula>AND($A24="clikt",$J24&lt;&gt;"GOOD")</formula>
    </cfRule>
    <cfRule type="expression" dxfId="462" priority="220">
      <formula>$J24="GOOD"</formula>
    </cfRule>
  </conditionalFormatting>
  <conditionalFormatting sqref="G25">
    <cfRule type="expression" dxfId="461" priority="217">
      <formula>AND($A25="clikt",$J25&lt;&gt;"GOOD")</formula>
    </cfRule>
    <cfRule type="expression" dxfId="460" priority="218">
      <formula>$J25="GOOD"</formula>
    </cfRule>
  </conditionalFormatting>
  <conditionalFormatting sqref="G26">
    <cfRule type="expression" dxfId="459" priority="215">
      <formula>AND($A26="clikt",$J26&lt;&gt;"GOOD")</formula>
    </cfRule>
    <cfRule type="expression" dxfId="458" priority="216">
      <formula>$J26="GOOD"</formula>
    </cfRule>
  </conditionalFormatting>
  <conditionalFormatting sqref="H22">
    <cfRule type="expression" dxfId="457" priority="213">
      <formula>AND($A22="clikt",$J22&lt;&gt;"GOOD")</formula>
    </cfRule>
    <cfRule type="expression" dxfId="456" priority="214">
      <formula>$J22="GOOD"</formula>
    </cfRule>
  </conditionalFormatting>
  <conditionalFormatting sqref="H23">
    <cfRule type="expression" dxfId="455" priority="211">
      <formula>AND($A23="clikt",$J23&lt;&gt;"GOOD")</formula>
    </cfRule>
    <cfRule type="expression" dxfId="454" priority="212">
      <formula>$J23="GOOD"</formula>
    </cfRule>
  </conditionalFormatting>
  <conditionalFormatting sqref="H24">
    <cfRule type="expression" dxfId="453" priority="209">
      <formula>AND($A24="clikt",$J24&lt;&gt;"GOOD")</formula>
    </cfRule>
    <cfRule type="expression" dxfId="452" priority="210">
      <formula>$J24="GOOD"</formula>
    </cfRule>
  </conditionalFormatting>
  <conditionalFormatting sqref="H25">
    <cfRule type="expression" dxfId="451" priority="207">
      <formula>AND($A25="clikt",$J25&lt;&gt;"GOOD")</formula>
    </cfRule>
    <cfRule type="expression" dxfId="450" priority="208">
      <formula>$J25="GOOD"</formula>
    </cfRule>
  </conditionalFormatting>
  <conditionalFormatting sqref="H26">
    <cfRule type="expression" dxfId="449" priority="205">
      <formula>AND($A26="clikt",$J26&lt;&gt;"GOOD")</formula>
    </cfRule>
    <cfRule type="expression" dxfId="448" priority="206">
      <formula>$J26="GOOD"</formula>
    </cfRule>
  </conditionalFormatting>
  <conditionalFormatting sqref="I22">
    <cfRule type="expression" dxfId="447" priority="203">
      <formula>AND($A22="clikt",$J22&lt;&gt;"GOOD")</formula>
    </cfRule>
    <cfRule type="expression" dxfId="446" priority="204">
      <formula>$J22="GOOD"</formula>
    </cfRule>
  </conditionalFormatting>
  <conditionalFormatting sqref="I23">
    <cfRule type="expression" dxfId="445" priority="201">
      <formula>AND($A23="clikt",$J23&lt;&gt;"GOOD")</formula>
    </cfRule>
    <cfRule type="expression" dxfId="444" priority="202">
      <formula>$J23="GOOD"</formula>
    </cfRule>
  </conditionalFormatting>
  <conditionalFormatting sqref="I24">
    <cfRule type="expression" dxfId="443" priority="199">
      <formula>AND($A24="clikt",$J24&lt;&gt;"GOOD")</formula>
    </cfRule>
    <cfRule type="expression" dxfId="442" priority="200">
      <formula>$J24="GOOD"</formula>
    </cfRule>
  </conditionalFormatting>
  <conditionalFormatting sqref="I25">
    <cfRule type="expression" dxfId="441" priority="197">
      <formula>AND($A25="clikt",$J25&lt;&gt;"GOOD")</formula>
    </cfRule>
    <cfRule type="expression" dxfId="440" priority="198">
      <formula>$J25="GOOD"</formula>
    </cfRule>
  </conditionalFormatting>
  <conditionalFormatting sqref="I26">
    <cfRule type="expression" dxfId="439" priority="195">
      <formula>AND($A26="clikt",$J26&lt;&gt;"GOOD")</formula>
    </cfRule>
    <cfRule type="expression" dxfId="438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437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436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435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434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433" priority="186" operator="equal">
      <formula>"""GOOD"""</formula>
    </cfRule>
  </conditionalFormatting>
  <conditionalFormatting sqref="O22">
    <cfRule type="expression" dxfId="432" priority="184">
      <formula>OR($O22&lt;&gt;"",$P22&lt;&gt;"",$Q22&lt;&gt;"")</formula>
    </cfRule>
  </conditionalFormatting>
  <conditionalFormatting sqref="O23">
    <cfRule type="expression" dxfId="431" priority="183">
      <formula>OR($O23&lt;&gt;"",$P23&lt;&gt;"",$Q23&lt;&gt;"")</formula>
    </cfRule>
  </conditionalFormatting>
  <conditionalFormatting sqref="O24">
    <cfRule type="expression" dxfId="430" priority="182">
      <formula>OR($O24&lt;&gt;"",$P24&lt;&gt;"",$Q24&lt;&gt;"")</formula>
    </cfRule>
  </conditionalFormatting>
  <conditionalFormatting sqref="O25">
    <cfRule type="expression" dxfId="429" priority="181">
      <formula>OR($O25&lt;&gt;"",$P25&lt;&gt;"",$Q25&lt;&gt;"")</formula>
    </cfRule>
  </conditionalFormatting>
  <conditionalFormatting sqref="O26">
    <cfRule type="expression" dxfId="428" priority="180">
      <formula>OR($O26&lt;&gt;"",$P26&lt;&gt;"",$Q26&lt;&gt;"")</formula>
    </cfRule>
  </conditionalFormatting>
  <conditionalFormatting sqref="P22">
    <cfRule type="expression" dxfId="427" priority="179">
      <formula>OR($O22&lt;&gt;"",$P22&lt;&gt;"",$Q22&lt;&gt;"")</formula>
    </cfRule>
  </conditionalFormatting>
  <conditionalFormatting sqref="Q22">
    <cfRule type="expression" dxfId="426" priority="178">
      <formula>OR($O22&lt;&gt;"",$P22&lt;&gt;"",$Q22&lt;&gt;"")</formula>
    </cfRule>
  </conditionalFormatting>
  <conditionalFormatting sqref="P23">
    <cfRule type="expression" dxfId="425" priority="177">
      <formula>OR($O23&lt;&gt;"",$P23&lt;&gt;"",$Q23&lt;&gt;"")</formula>
    </cfRule>
  </conditionalFormatting>
  <conditionalFormatting sqref="Q23">
    <cfRule type="expression" dxfId="424" priority="176">
      <formula>OR($O23&lt;&gt;"",$P23&lt;&gt;"",$Q23&lt;&gt;"")</formula>
    </cfRule>
  </conditionalFormatting>
  <conditionalFormatting sqref="P24">
    <cfRule type="expression" dxfId="423" priority="175">
      <formula>OR($O24&lt;&gt;"",$P24&lt;&gt;"",$Q24&lt;&gt;"")</formula>
    </cfRule>
  </conditionalFormatting>
  <conditionalFormatting sqref="Q24">
    <cfRule type="expression" dxfId="422" priority="174">
      <formula>OR($O24&lt;&gt;"",$P24&lt;&gt;"",$Q24&lt;&gt;"")</formula>
    </cfRule>
  </conditionalFormatting>
  <conditionalFormatting sqref="P25">
    <cfRule type="expression" dxfId="421" priority="173">
      <formula>OR($O25&lt;&gt;"",$P25&lt;&gt;"",$Q25&lt;&gt;"")</formula>
    </cfRule>
  </conditionalFormatting>
  <conditionalFormatting sqref="Q25">
    <cfRule type="expression" dxfId="420" priority="172">
      <formula>OR($O25&lt;&gt;"",$P25&lt;&gt;"",$Q25&lt;&gt;"")</formula>
    </cfRule>
  </conditionalFormatting>
  <conditionalFormatting sqref="P26">
    <cfRule type="expression" dxfId="419" priority="171">
      <formula>OR($O26&lt;&gt;"",$P26&lt;&gt;"",$Q26&lt;&gt;"")</formula>
    </cfRule>
  </conditionalFormatting>
  <conditionalFormatting sqref="Q26">
    <cfRule type="expression" dxfId="418" priority="170">
      <formula>OR($O26&lt;&gt;"",$P26&lt;&gt;"",$Q26&lt;&gt;"")</formula>
    </cfRule>
  </conditionalFormatting>
  <conditionalFormatting sqref="K4">
    <cfRule type="cellIs" dxfId="417" priority="223" operator="equal">
      <formula>"""GOOD"""</formula>
    </cfRule>
  </conditionalFormatting>
  <conditionalFormatting sqref="O7">
    <cfRule type="expression" dxfId="416" priority="169">
      <formula>OR($O7&lt;&gt;"",$P7&lt;&gt;"",$Q7&lt;&gt;"")</formula>
    </cfRule>
  </conditionalFormatting>
  <conditionalFormatting sqref="P7">
    <cfRule type="expression" dxfId="415" priority="168">
      <formula>OR($O7&lt;&gt;"",$P7&lt;&gt;"",$Q7&lt;&gt;"")</formula>
    </cfRule>
  </conditionalFormatting>
  <conditionalFormatting sqref="O8">
    <cfRule type="expression" dxfId="414" priority="167">
      <formula>OR($O8&lt;&gt;"",$P8&lt;&gt;"",$Q8&lt;&gt;"")</formula>
    </cfRule>
  </conditionalFormatting>
  <conditionalFormatting sqref="P8">
    <cfRule type="expression" dxfId="413" priority="166">
      <formula>OR($O8&lt;&gt;"",$P8&lt;&gt;"",$Q8&lt;&gt;"")</formula>
    </cfRule>
  </conditionalFormatting>
  <conditionalFormatting sqref="Q7">
    <cfRule type="expression" dxfId="412" priority="165">
      <formula>OR($O7&lt;&gt;"",$P7&lt;&gt;"",$Q7&lt;&gt;"")</formula>
    </cfRule>
  </conditionalFormatting>
  <conditionalFormatting sqref="O9">
    <cfRule type="expression" dxfId="411" priority="164">
      <formula>OR($O9&lt;&gt;"",$P9&lt;&gt;"",$Q9&lt;&gt;"")</formula>
    </cfRule>
  </conditionalFormatting>
  <conditionalFormatting sqref="O10">
    <cfRule type="expression" dxfId="410" priority="163">
      <formula>OR($O10&lt;&gt;"",$P10&lt;&gt;"",$Q10&lt;&gt;"")</formula>
    </cfRule>
  </conditionalFormatting>
  <conditionalFormatting sqref="O11">
    <cfRule type="expression" dxfId="409" priority="162">
      <formula>OR($O11&lt;&gt;"",$P11&lt;&gt;"",$Q11&lt;&gt;"")</formula>
    </cfRule>
  </conditionalFormatting>
  <conditionalFormatting sqref="O12">
    <cfRule type="expression" dxfId="408" priority="161">
      <formula>OR($O12&lt;&gt;"",$P12&lt;&gt;"",$Q12&lt;&gt;"")</formula>
    </cfRule>
  </conditionalFormatting>
  <conditionalFormatting sqref="O13">
    <cfRule type="expression" dxfId="407" priority="160">
      <formula>OR($O13&lt;&gt;"",$P13&lt;&gt;"",$Q13&lt;&gt;"")</formula>
    </cfRule>
  </conditionalFormatting>
  <conditionalFormatting sqref="O14">
    <cfRule type="expression" dxfId="406" priority="159">
      <formula>OR($O14&lt;&gt;"",$P14&lt;&gt;"",$Q14&lt;&gt;"")</formula>
    </cfRule>
  </conditionalFormatting>
  <conditionalFormatting sqref="O15">
    <cfRule type="expression" dxfId="405" priority="158">
      <formula>OR($O15&lt;&gt;"",$P15&lt;&gt;"",$Q15&lt;&gt;"")</formula>
    </cfRule>
  </conditionalFormatting>
  <conditionalFormatting sqref="O16">
    <cfRule type="expression" dxfId="404" priority="157">
      <formula>OR($O16&lt;&gt;"",$P16&lt;&gt;"",$Q16&lt;&gt;"")</formula>
    </cfRule>
  </conditionalFormatting>
  <conditionalFormatting sqref="O17">
    <cfRule type="expression" dxfId="403" priority="156">
      <formula>OR($O17&lt;&gt;"",$P17&lt;&gt;"",$Q17&lt;&gt;"")</formula>
    </cfRule>
  </conditionalFormatting>
  <conditionalFormatting sqref="O18">
    <cfRule type="expression" dxfId="402" priority="155">
      <formula>OR($O18&lt;&gt;"",$P18&lt;&gt;"",$Q18&lt;&gt;"")</formula>
    </cfRule>
  </conditionalFormatting>
  <conditionalFormatting sqref="O19">
    <cfRule type="expression" dxfId="401" priority="154">
      <formula>OR($O19&lt;&gt;"",$P19&lt;&gt;"",$Q19&lt;&gt;"")</formula>
    </cfRule>
  </conditionalFormatting>
  <conditionalFormatting sqref="O20">
    <cfRule type="expression" dxfId="400" priority="153">
      <formula>OR($O20&lt;&gt;"",$P20&lt;&gt;"",$Q20&lt;&gt;"")</formula>
    </cfRule>
  </conditionalFormatting>
  <conditionalFormatting sqref="O21">
    <cfRule type="expression" dxfId="399" priority="152">
      <formula>OR($O21&lt;&gt;"",$P21&lt;&gt;"",$Q21&lt;&gt;"")</formula>
    </cfRule>
  </conditionalFormatting>
  <conditionalFormatting sqref="Q8">
    <cfRule type="expression" dxfId="398" priority="151">
      <formula>OR($O8&lt;&gt;"",$P8&lt;&gt;"",$Q8&lt;&gt;"")</formula>
    </cfRule>
  </conditionalFormatting>
  <conditionalFormatting sqref="P9">
    <cfRule type="expression" dxfId="397" priority="150">
      <formula>OR($O9&lt;&gt;"",$P9&lt;&gt;"",$Q9&lt;&gt;"")</formula>
    </cfRule>
  </conditionalFormatting>
  <conditionalFormatting sqref="Q9">
    <cfRule type="expression" dxfId="396" priority="149">
      <formula>OR($O9&lt;&gt;"",$P9&lt;&gt;"",$Q9&lt;&gt;"")</formula>
    </cfRule>
  </conditionalFormatting>
  <conditionalFormatting sqref="P10">
    <cfRule type="expression" dxfId="395" priority="148">
      <formula>OR($O10&lt;&gt;"",$P10&lt;&gt;"",$Q10&lt;&gt;"")</formula>
    </cfRule>
  </conditionalFormatting>
  <conditionalFormatting sqref="Q10">
    <cfRule type="expression" dxfId="394" priority="147">
      <formula>OR($O10&lt;&gt;"",$P10&lt;&gt;"",$Q10&lt;&gt;"")</formula>
    </cfRule>
  </conditionalFormatting>
  <conditionalFormatting sqref="P11">
    <cfRule type="expression" dxfId="393" priority="146">
      <formula>OR($O11&lt;&gt;"",$P11&lt;&gt;"",$Q11&lt;&gt;"")</formula>
    </cfRule>
  </conditionalFormatting>
  <conditionalFormatting sqref="Q11">
    <cfRule type="expression" dxfId="392" priority="145">
      <formula>OR($O11&lt;&gt;"",$P11&lt;&gt;"",$Q11&lt;&gt;"")</formula>
    </cfRule>
  </conditionalFormatting>
  <conditionalFormatting sqref="P12">
    <cfRule type="expression" dxfId="391" priority="144">
      <formula>OR($O12&lt;&gt;"",$P12&lt;&gt;"",$Q12&lt;&gt;"")</formula>
    </cfRule>
  </conditionalFormatting>
  <conditionalFormatting sqref="Q12">
    <cfRule type="expression" dxfId="390" priority="143">
      <formula>OR($O12&lt;&gt;"",$P12&lt;&gt;"",$Q12&lt;&gt;"")</formula>
    </cfRule>
  </conditionalFormatting>
  <conditionalFormatting sqref="P13">
    <cfRule type="expression" dxfId="389" priority="142">
      <formula>OR($O13&lt;&gt;"",$P13&lt;&gt;"",$Q13&lt;&gt;"")</formula>
    </cfRule>
  </conditionalFormatting>
  <conditionalFormatting sqref="Q13">
    <cfRule type="expression" dxfId="388" priority="141">
      <formula>OR($O13&lt;&gt;"",$P13&lt;&gt;"",$Q13&lt;&gt;"")</formula>
    </cfRule>
  </conditionalFormatting>
  <conditionalFormatting sqref="P14">
    <cfRule type="expression" dxfId="387" priority="140">
      <formula>OR($O14&lt;&gt;"",$P14&lt;&gt;"",$Q14&lt;&gt;"")</formula>
    </cfRule>
  </conditionalFormatting>
  <conditionalFormatting sqref="Q14">
    <cfRule type="expression" dxfId="386" priority="139">
      <formula>OR($O14&lt;&gt;"",$P14&lt;&gt;"",$Q14&lt;&gt;"")</formula>
    </cfRule>
  </conditionalFormatting>
  <conditionalFormatting sqref="P15">
    <cfRule type="expression" dxfId="385" priority="138">
      <formula>OR($O15&lt;&gt;"",$P15&lt;&gt;"",$Q15&lt;&gt;"")</formula>
    </cfRule>
  </conditionalFormatting>
  <conditionalFormatting sqref="Q15">
    <cfRule type="expression" dxfId="384" priority="137">
      <formula>OR($O15&lt;&gt;"",$P15&lt;&gt;"",$Q15&lt;&gt;"")</formula>
    </cfRule>
  </conditionalFormatting>
  <conditionalFormatting sqref="P16">
    <cfRule type="expression" dxfId="383" priority="136">
      <formula>OR($O16&lt;&gt;"",$P16&lt;&gt;"",$Q16&lt;&gt;"")</formula>
    </cfRule>
  </conditionalFormatting>
  <conditionalFormatting sqref="Q16">
    <cfRule type="expression" dxfId="382" priority="135">
      <formula>OR($O16&lt;&gt;"",$P16&lt;&gt;"",$Q16&lt;&gt;"")</formula>
    </cfRule>
  </conditionalFormatting>
  <conditionalFormatting sqref="P17">
    <cfRule type="expression" dxfId="381" priority="134">
      <formula>OR($O17&lt;&gt;"",$P17&lt;&gt;"",$Q17&lt;&gt;"")</formula>
    </cfRule>
  </conditionalFormatting>
  <conditionalFormatting sqref="Q17">
    <cfRule type="expression" dxfId="380" priority="133">
      <formula>OR($O17&lt;&gt;"",$P17&lt;&gt;"",$Q17&lt;&gt;"")</formula>
    </cfRule>
  </conditionalFormatting>
  <conditionalFormatting sqref="P18">
    <cfRule type="expression" dxfId="379" priority="132">
      <formula>OR($O18&lt;&gt;"",$P18&lt;&gt;"",$Q18&lt;&gt;"")</formula>
    </cfRule>
  </conditionalFormatting>
  <conditionalFormatting sqref="Q18">
    <cfRule type="expression" dxfId="378" priority="131">
      <formula>OR($O18&lt;&gt;"",$P18&lt;&gt;"",$Q18&lt;&gt;"")</formula>
    </cfRule>
  </conditionalFormatting>
  <conditionalFormatting sqref="P19">
    <cfRule type="expression" dxfId="377" priority="130">
      <formula>OR($O19&lt;&gt;"",$P19&lt;&gt;"",$Q19&lt;&gt;"")</formula>
    </cfRule>
  </conditionalFormatting>
  <conditionalFormatting sqref="Q19">
    <cfRule type="expression" dxfId="376" priority="129">
      <formula>OR($O19&lt;&gt;"",$P19&lt;&gt;"",$Q19&lt;&gt;"")</formula>
    </cfRule>
  </conditionalFormatting>
  <conditionalFormatting sqref="P20">
    <cfRule type="expression" dxfId="375" priority="128">
      <formula>OR($O20&lt;&gt;"",$P20&lt;&gt;"",$Q20&lt;&gt;"")</formula>
    </cfRule>
  </conditionalFormatting>
  <conditionalFormatting sqref="Q20">
    <cfRule type="expression" dxfId="374" priority="127">
      <formula>OR($O20&lt;&gt;"",$P20&lt;&gt;"",$Q20&lt;&gt;"")</formula>
    </cfRule>
  </conditionalFormatting>
  <conditionalFormatting sqref="P21">
    <cfRule type="expression" dxfId="373" priority="126">
      <formula>OR($O21&lt;&gt;"",$P21&lt;&gt;"",$Q21&lt;&gt;"")</formula>
    </cfRule>
  </conditionalFormatting>
  <conditionalFormatting sqref="Q21">
    <cfRule type="expression" dxfId="372" priority="125">
      <formula>OR($O21&lt;&gt;"",$P21&lt;&gt;"",$Q21&lt;&gt;"")</formula>
    </cfRule>
  </conditionalFormatting>
  <conditionalFormatting sqref="G7">
    <cfRule type="expression" dxfId="371" priority="123">
      <formula>AND($A7="clikt",$J7&lt;&gt;"GOOD")</formula>
    </cfRule>
    <cfRule type="expression" dxfId="370" priority="124">
      <formula>$J7="GOOD"</formula>
    </cfRule>
  </conditionalFormatting>
  <conditionalFormatting sqref="G22">
    <cfRule type="expression" dxfId="369" priority="121">
      <formula>AND($A22="clikt",$J22&lt;&gt;"GOOD")</formula>
    </cfRule>
    <cfRule type="expression" dxfId="368" priority="122">
      <formula>$J22="GOOD"</formula>
    </cfRule>
  </conditionalFormatting>
  <conditionalFormatting sqref="G9">
    <cfRule type="expression" dxfId="367" priority="119">
      <formula>AND($A9="clikt",$J9&lt;&gt;"GOOD")</formula>
    </cfRule>
    <cfRule type="expression" dxfId="366" priority="120">
      <formula>$J9="GOOD"</formula>
    </cfRule>
  </conditionalFormatting>
  <conditionalFormatting sqref="G10">
    <cfRule type="expression" dxfId="365" priority="117">
      <formula>AND($A10="clikt",$J10&lt;&gt;"GOOD")</formula>
    </cfRule>
    <cfRule type="expression" dxfId="364" priority="118">
      <formula>$J10="GOOD"</formula>
    </cfRule>
  </conditionalFormatting>
  <conditionalFormatting sqref="G11">
    <cfRule type="expression" dxfId="363" priority="115">
      <formula>AND($A11="clikt",$J11&lt;&gt;"GOOD")</formula>
    </cfRule>
    <cfRule type="expression" dxfId="362" priority="116">
      <formula>$J11="GOOD"</formula>
    </cfRule>
  </conditionalFormatting>
  <conditionalFormatting sqref="G12">
    <cfRule type="expression" dxfId="361" priority="113">
      <formula>AND($A12="clikt",$J12&lt;&gt;"GOOD")</formula>
    </cfRule>
    <cfRule type="expression" dxfId="360" priority="114">
      <formula>$J12="GOOD"</formula>
    </cfRule>
  </conditionalFormatting>
  <conditionalFormatting sqref="G13">
    <cfRule type="expression" dxfId="359" priority="111">
      <formula>AND($A13="clikt",$J13&lt;&gt;"GOOD")</formula>
    </cfRule>
    <cfRule type="expression" dxfId="358" priority="112">
      <formula>$J13="GOOD"</formula>
    </cfRule>
  </conditionalFormatting>
  <conditionalFormatting sqref="G14">
    <cfRule type="expression" dxfId="357" priority="109">
      <formula>AND($A14="clikt",$J14&lt;&gt;"GOOD")</formula>
    </cfRule>
    <cfRule type="expression" dxfId="356" priority="110">
      <formula>$J14="GOOD"</formula>
    </cfRule>
  </conditionalFormatting>
  <conditionalFormatting sqref="G15">
    <cfRule type="expression" dxfId="355" priority="107">
      <formula>AND($A15="clikt",$J15&lt;&gt;"GOOD")</formula>
    </cfRule>
    <cfRule type="expression" dxfId="354" priority="108">
      <formula>$J15="GOOD"</formula>
    </cfRule>
  </conditionalFormatting>
  <conditionalFormatting sqref="G16">
    <cfRule type="expression" dxfId="353" priority="105">
      <formula>AND($A16="clikt",$J16&lt;&gt;"GOOD")</formula>
    </cfRule>
    <cfRule type="expression" dxfId="352" priority="106">
      <formula>$J16="GOOD"</formula>
    </cfRule>
  </conditionalFormatting>
  <conditionalFormatting sqref="G17">
    <cfRule type="expression" dxfId="351" priority="103">
      <formula>AND($A17="clikt",$J17&lt;&gt;"GOOD")</formula>
    </cfRule>
    <cfRule type="expression" dxfId="350" priority="104">
      <formula>$J17="GOOD"</formula>
    </cfRule>
  </conditionalFormatting>
  <conditionalFormatting sqref="G18">
    <cfRule type="expression" dxfId="349" priority="101">
      <formula>AND($A18="clikt",$J18&lt;&gt;"GOOD")</formula>
    </cfRule>
    <cfRule type="expression" dxfId="348" priority="102">
      <formula>$J18="GOOD"</formula>
    </cfRule>
  </conditionalFormatting>
  <conditionalFormatting sqref="G19">
    <cfRule type="expression" dxfId="347" priority="99">
      <formula>AND($A19="clikt",$J19&lt;&gt;"GOOD")</formula>
    </cfRule>
    <cfRule type="expression" dxfId="346" priority="100">
      <formula>$J19="GOOD"</formula>
    </cfRule>
  </conditionalFormatting>
  <conditionalFormatting sqref="G20">
    <cfRule type="expression" dxfId="345" priority="97">
      <formula>AND($A20="clikt",$J20&lt;&gt;"GOOD")</formula>
    </cfRule>
    <cfRule type="expression" dxfId="344" priority="98">
      <formula>$J20="GOOD"</formula>
    </cfRule>
  </conditionalFormatting>
  <conditionalFormatting sqref="G21">
    <cfRule type="expression" dxfId="343" priority="95">
      <formula>AND($A21="clikt",$J21&lt;&gt;"GOOD")</formula>
    </cfRule>
    <cfRule type="expression" dxfId="342" priority="96">
      <formula>$J21="GOOD"</formula>
    </cfRule>
  </conditionalFormatting>
  <conditionalFormatting sqref="G23">
    <cfRule type="expression" dxfId="341" priority="93">
      <formula>AND($A23="clikt",$J23&lt;&gt;"GOOD")</formula>
    </cfRule>
    <cfRule type="expression" dxfId="340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339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338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337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336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335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334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333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332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331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330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329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328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327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326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325" priority="64" operator="equal">
      <formula>"""GOOD"""</formula>
    </cfRule>
  </conditionalFormatting>
  <conditionalFormatting sqref="H7">
    <cfRule type="expression" dxfId="324" priority="61">
      <formula>AND($A7="clikt",$J7&lt;&gt;"GOOD")</formula>
    </cfRule>
    <cfRule type="expression" dxfId="323" priority="62">
      <formula>$J7="GOOD"</formula>
    </cfRule>
  </conditionalFormatting>
  <conditionalFormatting sqref="I7">
    <cfRule type="expression" dxfId="322" priority="59">
      <formula>AND($A7="clikt",$J7&lt;&gt;"GOOD")</formula>
    </cfRule>
    <cfRule type="expression" dxfId="321" priority="60">
      <formula>$J7="GOOD"</formula>
    </cfRule>
  </conditionalFormatting>
  <conditionalFormatting sqref="I15">
    <cfRule type="expression" dxfId="320" priority="57">
      <formula>AND($A15="clikt",$J15&lt;&gt;"GOOD")</formula>
    </cfRule>
    <cfRule type="expression" dxfId="319" priority="58">
      <formula>$J15="GOOD"</formula>
    </cfRule>
  </conditionalFormatting>
  <conditionalFormatting sqref="H9">
    <cfRule type="expression" dxfId="318" priority="55">
      <formula>AND($A9="clikt",$J9&lt;&gt;"GOOD")</formula>
    </cfRule>
    <cfRule type="expression" dxfId="317" priority="56">
      <formula>$J9="GOOD"</formula>
    </cfRule>
  </conditionalFormatting>
  <conditionalFormatting sqref="H10">
    <cfRule type="expression" dxfId="316" priority="53">
      <formula>AND($A10="clikt",$J10&lt;&gt;"GOOD")</formula>
    </cfRule>
    <cfRule type="expression" dxfId="315" priority="54">
      <formula>$J10="GOOD"</formula>
    </cfRule>
  </conditionalFormatting>
  <conditionalFormatting sqref="H11">
    <cfRule type="expression" dxfId="314" priority="51">
      <formula>AND($A11="clikt",$J11&lt;&gt;"GOOD")</formula>
    </cfRule>
    <cfRule type="expression" dxfId="313" priority="52">
      <formula>$J11="GOOD"</formula>
    </cfRule>
  </conditionalFormatting>
  <conditionalFormatting sqref="H12">
    <cfRule type="expression" dxfId="312" priority="49">
      <formula>AND($A12="clikt",$J12&lt;&gt;"GOOD")</formula>
    </cfRule>
    <cfRule type="expression" dxfId="311" priority="50">
      <formula>$J12="GOOD"</formula>
    </cfRule>
  </conditionalFormatting>
  <conditionalFormatting sqref="H13">
    <cfRule type="expression" dxfId="310" priority="47">
      <formula>AND($A13="clikt",$J13&lt;&gt;"GOOD")</formula>
    </cfRule>
    <cfRule type="expression" dxfId="309" priority="48">
      <formula>$J13="GOOD"</formula>
    </cfRule>
  </conditionalFormatting>
  <conditionalFormatting sqref="H14">
    <cfRule type="expression" dxfId="308" priority="45">
      <formula>AND($A14="clikt",$J14&lt;&gt;"GOOD")</formula>
    </cfRule>
    <cfRule type="expression" dxfId="307" priority="46">
      <formula>$J14="GOOD"</formula>
    </cfRule>
  </conditionalFormatting>
  <conditionalFormatting sqref="H15">
    <cfRule type="expression" dxfId="306" priority="43">
      <formula>AND($A15="clikt",$J15&lt;&gt;"GOOD")</formula>
    </cfRule>
    <cfRule type="expression" dxfId="305" priority="44">
      <formula>$J15="GOOD"</formula>
    </cfRule>
  </conditionalFormatting>
  <conditionalFormatting sqref="H16">
    <cfRule type="expression" dxfId="304" priority="41">
      <formula>AND($A16="clikt",$J16&lt;&gt;"GOOD")</formula>
    </cfRule>
    <cfRule type="expression" dxfId="303" priority="42">
      <formula>$J16="GOOD"</formula>
    </cfRule>
  </conditionalFormatting>
  <conditionalFormatting sqref="H17">
    <cfRule type="expression" dxfId="302" priority="39">
      <formula>AND($A17="clikt",$J17&lt;&gt;"GOOD")</formula>
    </cfRule>
    <cfRule type="expression" dxfId="301" priority="40">
      <formula>$J17="GOOD"</formula>
    </cfRule>
  </conditionalFormatting>
  <conditionalFormatting sqref="H18">
    <cfRule type="expression" dxfId="300" priority="37">
      <formula>AND($A18="clikt",$J18&lt;&gt;"GOOD")</formula>
    </cfRule>
    <cfRule type="expression" dxfId="299" priority="38">
      <formula>$J18="GOOD"</formula>
    </cfRule>
  </conditionalFormatting>
  <conditionalFormatting sqref="H19">
    <cfRule type="expression" dxfId="298" priority="35">
      <formula>AND($A19="clikt",$J19&lt;&gt;"GOOD")</formula>
    </cfRule>
    <cfRule type="expression" dxfId="297" priority="36">
      <formula>$J19="GOOD"</formula>
    </cfRule>
  </conditionalFormatting>
  <conditionalFormatting sqref="H20">
    <cfRule type="expression" dxfId="296" priority="33">
      <formula>AND($A20="clikt",$J20&lt;&gt;"GOOD")</formula>
    </cfRule>
    <cfRule type="expression" dxfId="295" priority="34">
      <formula>$J20="GOOD"</formula>
    </cfRule>
  </conditionalFormatting>
  <conditionalFormatting sqref="H21">
    <cfRule type="expression" dxfId="294" priority="31">
      <formula>AND($A21="clikt",$J21&lt;&gt;"GOOD")</formula>
    </cfRule>
    <cfRule type="expression" dxfId="293" priority="32">
      <formula>$J21="GOOD"</formula>
    </cfRule>
  </conditionalFormatting>
  <conditionalFormatting sqref="I9">
    <cfRule type="expression" dxfId="292" priority="29">
      <formula>AND($A9="clikt",$J9&lt;&gt;"GOOD")</formula>
    </cfRule>
    <cfRule type="expression" dxfId="291" priority="30">
      <formula>$J9="GOOD"</formula>
    </cfRule>
  </conditionalFormatting>
  <conditionalFormatting sqref="I10">
    <cfRule type="expression" dxfId="290" priority="27">
      <formula>AND($A10="clikt",$J10&lt;&gt;"GOOD")</formula>
    </cfRule>
    <cfRule type="expression" dxfId="289" priority="28">
      <formula>$J10="GOOD"</formula>
    </cfRule>
  </conditionalFormatting>
  <conditionalFormatting sqref="I11">
    <cfRule type="expression" dxfId="288" priority="25">
      <formula>AND($A11="clikt",$J11&lt;&gt;"GOOD")</formula>
    </cfRule>
    <cfRule type="expression" dxfId="287" priority="26">
      <formula>$J11="GOOD"</formula>
    </cfRule>
  </conditionalFormatting>
  <conditionalFormatting sqref="I12">
    <cfRule type="expression" dxfId="286" priority="23">
      <formula>AND($A12="clikt",$J12&lt;&gt;"GOOD")</formula>
    </cfRule>
    <cfRule type="expression" dxfId="285" priority="24">
      <formula>$J12="GOOD"</formula>
    </cfRule>
  </conditionalFormatting>
  <conditionalFormatting sqref="I13">
    <cfRule type="expression" dxfId="284" priority="21">
      <formula>AND($A13="clikt",$J13&lt;&gt;"GOOD")</formula>
    </cfRule>
    <cfRule type="expression" dxfId="283" priority="22">
      <formula>$J13="GOOD"</formula>
    </cfRule>
  </conditionalFormatting>
  <conditionalFormatting sqref="I14">
    <cfRule type="expression" dxfId="282" priority="19">
      <formula>AND($A14="clikt",$J14&lt;&gt;"GOOD")</formula>
    </cfRule>
    <cfRule type="expression" dxfId="281" priority="20">
      <formula>$J14="GOOD"</formula>
    </cfRule>
  </conditionalFormatting>
  <conditionalFormatting sqref="I16">
    <cfRule type="expression" dxfId="280" priority="17">
      <formula>AND($A16="clikt",$J16&lt;&gt;"GOOD")</formula>
    </cfRule>
    <cfRule type="expression" dxfId="279" priority="18">
      <formula>$J16="GOOD"</formula>
    </cfRule>
  </conditionalFormatting>
  <conditionalFormatting sqref="I17">
    <cfRule type="expression" dxfId="278" priority="15">
      <formula>AND($A17="clikt",$J17&lt;&gt;"GOOD")</formula>
    </cfRule>
    <cfRule type="expression" dxfId="277" priority="16">
      <formula>$J17="GOOD"</formula>
    </cfRule>
  </conditionalFormatting>
  <conditionalFormatting sqref="I18">
    <cfRule type="expression" dxfId="276" priority="13">
      <formula>AND($A18="clikt",$J18&lt;&gt;"GOOD")</formula>
    </cfRule>
    <cfRule type="expression" dxfId="275" priority="14">
      <formula>$J18="GOOD"</formula>
    </cfRule>
  </conditionalFormatting>
  <conditionalFormatting sqref="I19">
    <cfRule type="expression" dxfId="274" priority="11">
      <formula>AND($A19="clikt",$J19&lt;&gt;"GOOD")</formula>
    </cfRule>
    <cfRule type="expression" dxfId="273" priority="12">
      <formula>$J19="GOOD"</formula>
    </cfRule>
  </conditionalFormatting>
  <conditionalFormatting sqref="I20">
    <cfRule type="expression" dxfId="272" priority="9">
      <formula>AND($A20="clikt",$J20&lt;&gt;"GOOD")</formula>
    </cfRule>
    <cfRule type="expression" dxfId="271" priority="10">
      <formula>$J20="GOOD"</formula>
    </cfRule>
  </conditionalFormatting>
  <conditionalFormatting sqref="I21">
    <cfRule type="expression" dxfId="270" priority="7">
      <formula>AND($A21="clikt",$J21&lt;&gt;"GOOD")</formula>
    </cfRule>
    <cfRule type="expression" dxfId="269" priority="8">
      <formula>$J21="GOOD"</formula>
    </cfRule>
  </conditionalFormatting>
  <conditionalFormatting sqref="G8">
    <cfRule type="expression" dxfId="268" priority="5">
      <formula>AND($A8="clikt",$J8&lt;&gt;"GOOD")</formula>
    </cfRule>
    <cfRule type="expression" dxfId="267" priority="6">
      <formula>$J8="GOOD"</formula>
    </cfRule>
  </conditionalFormatting>
  <conditionalFormatting sqref="H8">
    <cfRule type="expression" dxfId="266" priority="3">
      <formula>AND($A8="clikt",$J8&lt;&gt;"GOOD")</formula>
    </cfRule>
    <cfRule type="expression" dxfId="265" priority="4">
      <formula>$J8="GOOD"</formula>
    </cfRule>
  </conditionalFormatting>
  <conditionalFormatting sqref="I8">
    <cfRule type="expression" dxfId="264" priority="1">
      <formula>AND($A8="clikt",$J8&lt;&gt;"GOOD")</formula>
    </cfRule>
    <cfRule type="expression" dxfId="263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abSelected="1" workbookViewId="0"/>
  </sheetViews>
  <sheetFormatPr defaultRowHeight="14.4"/>
  <cols>
    <col min="1" max="1" width="8.88671875" style="8"/>
    <col min="2" max="4" width="3.77734375" style="16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3" ht="16.8">
      <c r="A1" s="63" t="str">
        <f>[1]!wwsSetup("useHTTPS", TRUE)</f>
        <v>useHTTPS = "True"</v>
      </c>
      <c r="D1" s="17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R1" s="5"/>
      <c r="U1" s="28" t="s">
        <v>95</v>
      </c>
      <c r="V1" s="28"/>
      <c r="W1" s="6"/>
    </row>
    <row r="2" spans="1:23" s="28" customFormat="1" ht="15.6" customHeight="1">
      <c r="A2" s="24"/>
      <c r="B2" s="25"/>
      <c r="C2" s="25"/>
      <c r="D2" s="25"/>
      <c r="E2" s="26" t="s">
        <v>71</v>
      </c>
      <c r="F2" s="66"/>
      <c r="G2" s="66"/>
      <c r="H2" s="66"/>
      <c r="I2" s="27" t="s">
        <v>72</v>
      </c>
      <c r="J2" s="66"/>
      <c r="K2" s="66"/>
      <c r="L2" s="66"/>
      <c r="M2" s="13"/>
      <c r="N2" s="70" t="s">
        <v>89</v>
      </c>
      <c r="O2" s="70"/>
      <c r="P2" s="41" t="s">
        <v>88</v>
      </c>
      <c r="Q2" s="27"/>
      <c r="U2" s="28" t="s">
        <v>96</v>
      </c>
      <c r="W2"/>
    </row>
    <row r="3" spans="1:23" ht="15.6">
      <c r="E3" s="6"/>
      <c r="F3"/>
      <c r="U3" s="28" t="str">
        <f>[1]!wwsSetup("metatags", "NAME OF AUDIO FILE.txt")</f>
        <v>metatags = "NAME OF AUDIO FILE.txt"</v>
      </c>
      <c r="V3" s="28"/>
    </row>
    <row r="4" spans="1:23" ht="52.2" customHeight="1">
      <c r="E4" s="64" t="s">
        <v>77</v>
      </c>
      <c r="F4"/>
      <c r="G4" s="68" t="s">
        <v>82</v>
      </c>
      <c r="H4" s="68"/>
      <c r="I4" s="68"/>
      <c r="K4" s="11"/>
      <c r="O4" s="68" t="s">
        <v>83</v>
      </c>
      <c r="P4" s="68"/>
      <c r="Q4" s="68"/>
    </row>
    <row r="5" spans="1:23" ht="25.2" customHeight="1">
      <c r="E5" s="64"/>
      <c r="N5" s="69" t="s">
        <v>76</v>
      </c>
      <c r="O5" s="69"/>
      <c r="P5" s="65" t="str">
        <f>[1]!wwsInput()</f>
        <v/>
      </c>
      <c r="Q5" s="65"/>
      <c r="R5" s="65"/>
      <c r="S5" s="65"/>
    </row>
    <row r="6" spans="1:23">
      <c r="E6" s="51" t="s">
        <v>69</v>
      </c>
      <c r="G6" s="67" t="s">
        <v>70</v>
      </c>
      <c r="H6" s="67"/>
      <c r="I6" s="67"/>
      <c r="O6" s="67" t="s">
        <v>70</v>
      </c>
      <c r="P6" s="67"/>
      <c r="Q6" s="67"/>
      <c r="S6" s="19"/>
      <c r="T6" s="19"/>
      <c r="U6" s="19"/>
    </row>
    <row r="7" spans="1:23" s="10" customFormat="1" ht="25.05" customHeight="1">
      <c r="A7" s="14" t="str">
        <f>IF(OR(G7&lt;&gt;"",H7&lt;&gt;"",I7&lt;&gt;""),"clikt","")</f>
        <v>clikt</v>
      </c>
      <c r="B7" s="30" t="s">
        <v>0</v>
      </c>
      <c r="C7" s="30" t="s">
        <v>16</v>
      </c>
      <c r="D7" s="30" t="s">
        <v>13</v>
      </c>
      <c r="E7" s="52" t="s">
        <v>13</v>
      </c>
      <c r="F7" s="9">
        <v>1</v>
      </c>
      <c r="G7" s="15" t="str">
        <f>[1]!wwsCheckbox($B7,7,FALSE)</f>
        <v>bat</v>
      </c>
      <c r="H7" s="15" t="str">
        <f>[1]!wwsCheckbox($C7,7,FALSE)</f>
        <v>pat</v>
      </c>
      <c r="I7" s="15" t="str">
        <f>[1]!wwsCheckbox($D7,7,FALSE)</f>
        <v>pad</v>
      </c>
      <c r="J7" s="10" t="str">
        <f t="shared" ref="J7:J32" si="0">IF(OR(E7=G7,E7=H7,E7=I7),"GOOD","")</f>
        <v>GOOD</v>
      </c>
      <c r="L7" s="14"/>
      <c r="M7" s="34"/>
      <c r="N7" s="32">
        <v>1</v>
      </c>
      <c r="O7" s="15" t="str">
        <f>[1]!wwsCheckbox($C7,107,FALSE)</f>
        <v>pat</v>
      </c>
      <c r="P7" s="15" t="str">
        <f>[1]!wwsCheckbox($D7,107,FALSE)</f>
        <v>pad</v>
      </c>
      <c r="Q7" s="15" t="str">
        <f>[1]!wwsCheckbox($B7,107,FALSE)</f>
        <v>bat</v>
      </c>
      <c r="R7" s="14">
        <f>IF(OR(E7=O7,E7=P7,E7=Q7),1,0)</f>
        <v>1</v>
      </c>
      <c r="S7" s="20"/>
      <c r="T7" s="21"/>
      <c r="U7" s="20"/>
    </row>
    <row r="8" spans="1:23" s="10" customFormat="1" ht="25.05" customHeight="1">
      <c r="A8" s="14" t="str">
        <f>IF(OR(G8&lt;&gt;"",H8&lt;&gt;"",I8&lt;&gt;""),"clikt","")</f>
        <v>clikt</v>
      </c>
      <c r="B8" s="30" t="s">
        <v>17</v>
      </c>
      <c r="C8" s="30" t="s">
        <v>7</v>
      </c>
      <c r="D8" s="30" t="s">
        <v>2</v>
      </c>
      <c r="E8" s="52" t="s">
        <v>7</v>
      </c>
      <c r="F8" s="9">
        <f>1+F7</f>
        <v>2</v>
      </c>
      <c r="G8" s="15" t="str">
        <f>[1]!wwsCheckbox($B8,8,FALSE)</f>
        <v>dab</v>
      </c>
      <c r="H8" s="15" t="str">
        <f>[1]!wwsCheckbox($C8,8,FALSE)</f>
        <v>tab</v>
      </c>
      <c r="I8" s="15" t="str">
        <f>[1]!wwsCheckbox($D8,8,FALSE)</f>
        <v>tap</v>
      </c>
      <c r="J8" s="10" t="str">
        <f t="shared" si="0"/>
        <v>GOOD</v>
      </c>
      <c r="M8" s="34"/>
      <c r="N8" s="32">
        <f>1+N7</f>
        <v>2</v>
      </c>
      <c r="O8" s="15" t="str">
        <f>[1]!wwsCheckbox($C8,108,FALSE)</f>
        <v>tab</v>
      </c>
      <c r="P8" s="15" t="str">
        <f>[1]!wwsCheckbox($D8,108,FALSE)</f>
        <v>tap</v>
      </c>
      <c r="Q8" s="15" t="str">
        <f>[1]!wwsCheckbox($B8,108,FALSE)</f>
        <v>dab</v>
      </c>
      <c r="R8" s="14">
        <f t="shared" ref="R8:R31" si="1">IF(OR(E8=O8,E8=P8,E8=Q8),1,0)</f>
        <v>1</v>
      </c>
      <c r="S8" s="20"/>
      <c r="T8" s="20"/>
      <c r="U8" s="22"/>
    </row>
    <row r="9" spans="1:23" s="10" customFormat="1" ht="25.05" customHeight="1">
      <c r="A9" s="14" t="str">
        <f t="shared" ref="A9:A32" si="2">IF(OR(G9&lt;&gt;"",H9&lt;&gt;"",I9&lt;&gt;""),"clikt","")</f>
        <v>clikt</v>
      </c>
      <c r="B9" s="30" t="s">
        <v>14</v>
      </c>
      <c r="C9" s="30" t="s">
        <v>1</v>
      </c>
      <c r="D9" s="30" t="s">
        <v>10</v>
      </c>
      <c r="E9" s="52" t="s">
        <v>1</v>
      </c>
      <c r="F9" s="9">
        <f t="shared" ref="F9:F32" si="3">1+F8</f>
        <v>3</v>
      </c>
      <c r="G9" s="15" t="str">
        <f>[1]!wwsCheckbox($B9,9,FALSE)</f>
        <v>nab</v>
      </c>
      <c r="H9" s="15" t="str">
        <f>[1]!wwsCheckbox($C9,9,FALSE)</f>
        <v>nap</v>
      </c>
      <c r="I9" s="15" t="str">
        <f>[1]!wwsCheckbox($D9,9,FALSE)</f>
        <v>map</v>
      </c>
      <c r="J9" s="10" t="str">
        <f t="shared" si="0"/>
        <v>GOOD</v>
      </c>
      <c r="M9" s="34"/>
      <c r="N9" s="32">
        <f t="shared" ref="N9:N32" si="4">1+N8</f>
        <v>3</v>
      </c>
      <c r="O9" s="15" t="str">
        <f>[1]!wwsCheckbox($C9,109,FALSE)</f>
        <v>nap</v>
      </c>
      <c r="P9" s="15" t="str">
        <f>[1]!wwsCheckbox($D9,109,FALSE)</f>
        <v>map</v>
      </c>
      <c r="Q9" s="15" t="str">
        <f>[1]!wwsCheckbox($B9,109,FALSE)</f>
        <v>nab</v>
      </c>
      <c r="R9" s="14">
        <f t="shared" si="1"/>
        <v>1</v>
      </c>
      <c r="S9" s="23"/>
      <c r="T9" s="23"/>
      <c r="U9" s="23"/>
    </row>
    <row r="10" spans="1:23" s="10" customFormat="1" ht="25.05" customHeight="1">
      <c r="A10" s="14" t="str">
        <f t="shared" si="2"/>
        <v>clikt</v>
      </c>
      <c r="B10" s="30" t="s">
        <v>3</v>
      </c>
      <c r="C10" s="30" t="s">
        <v>18</v>
      </c>
      <c r="D10" s="30" t="s">
        <v>11</v>
      </c>
      <c r="E10" s="52" t="s">
        <v>3</v>
      </c>
      <c r="F10" s="9">
        <f t="shared" si="3"/>
        <v>4</v>
      </c>
      <c r="G10" s="15" t="str">
        <f>[1]!wwsCheckbox($B10,10,FALSE)</f>
        <v>bam</v>
      </c>
      <c r="H10" s="15" t="str">
        <f>[1]!wwsCheckbox($C10,10,FALSE)</f>
        <v>pan</v>
      </c>
      <c r="I10" s="15" t="str">
        <f>[1]!wwsCheckbox($D10,10,FALSE)</f>
        <v>ban</v>
      </c>
      <c r="J10" s="10" t="str">
        <f t="shared" si="0"/>
        <v>GOOD</v>
      </c>
      <c r="M10" s="34"/>
      <c r="N10" s="32">
        <f t="shared" si="4"/>
        <v>4</v>
      </c>
      <c r="O10" s="15" t="str">
        <f>[1]!wwsCheckbox($C10,110,FALSE)</f>
        <v>pan</v>
      </c>
      <c r="P10" s="15" t="str">
        <f>[1]!wwsCheckbox($D10,110,FALSE)</f>
        <v>ban</v>
      </c>
      <c r="Q10" s="15" t="str">
        <f>[1]!wwsCheckbox($B10,110,FALSE)</f>
        <v>bam</v>
      </c>
      <c r="R10" s="14">
        <f t="shared" si="1"/>
        <v>1</v>
      </c>
      <c r="S10" s="23"/>
      <c r="T10" s="23"/>
      <c r="U10" s="23"/>
    </row>
    <row r="11" spans="1:23" s="10" customFormat="1" ht="25.05" customHeight="1">
      <c r="A11" s="14" t="str">
        <f t="shared" si="2"/>
        <v>clikt</v>
      </c>
      <c r="B11" s="30" t="s">
        <v>6</v>
      </c>
      <c r="C11" s="30" t="s">
        <v>78</v>
      </c>
      <c r="D11" s="30" t="s">
        <v>13</v>
      </c>
      <c r="E11" s="52" t="s">
        <v>13</v>
      </c>
      <c r="F11" s="9">
        <f t="shared" si="3"/>
        <v>5</v>
      </c>
      <c r="G11" s="15" t="str">
        <f>[1]!wwsCheckbox($B11,11,FALSE)</f>
        <v>dad</v>
      </c>
      <c r="H11" s="15" t="str">
        <f>[1]!wwsCheckbox($C11,11,FALSE)</f>
        <v>tad</v>
      </c>
      <c r="I11" s="15" t="str">
        <f>[1]!wwsCheckbox($D11,11,FALSE)</f>
        <v>pad</v>
      </c>
      <c r="J11" s="10" t="str">
        <f t="shared" si="0"/>
        <v>GOOD</v>
      </c>
      <c r="M11" s="34"/>
      <c r="N11" s="32">
        <f t="shared" si="4"/>
        <v>5</v>
      </c>
      <c r="O11" s="15" t="str">
        <f>[1]!wwsCheckbox($C11,111,FALSE)</f>
        <v>tad</v>
      </c>
      <c r="P11" s="15" t="str">
        <f>[1]!wwsCheckbox($D11,111,FALSE)</f>
        <v>pad</v>
      </c>
      <c r="Q11" s="15" t="str">
        <f>[1]!wwsCheckbox($B11,111,FALSE)</f>
        <v>dad</v>
      </c>
      <c r="R11" s="14">
        <f t="shared" si="1"/>
        <v>1</v>
      </c>
    </row>
    <row r="12" spans="1:23" s="10" customFormat="1" ht="25.05" customHeight="1">
      <c r="A12" s="14" t="str">
        <f t="shared" si="2"/>
        <v>clikt</v>
      </c>
      <c r="B12" s="30" t="s">
        <v>8</v>
      </c>
      <c r="C12" s="30" t="s">
        <v>0</v>
      </c>
      <c r="D12" s="30" t="s">
        <v>16</v>
      </c>
      <c r="E12" s="52" t="s">
        <v>16</v>
      </c>
      <c r="F12" s="9">
        <f t="shared" si="3"/>
        <v>6</v>
      </c>
      <c r="G12" s="15" t="str">
        <f>[1]!wwsCheckbox($B12,12,FALSE)</f>
        <v>bad</v>
      </c>
      <c r="H12" s="15" t="str">
        <f>[1]!wwsCheckbox($C12,12,FALSE)</f>
        <v>bat</v>
      </c>
      <c r="I12" s="15" t="str">
        <f>[1]!wwsCheckbox($D12,12,FALSE)</f>
        <v>pat</v>
      </c>
      <c r="J12" s="10" t="str">
        <f t="shared" si="0"/>
        <v>GOOD</v>
      </c>
      <c r="M12" s="34"/>
      <c r="N12" s="32">
        <f t="shared" si="4"/>
        <v>6</v>
      </c>
      <c r="O12" s="15" t="str">
        <f>[1]!wwsCheckbox($C12,112,FALSE)</f>
        <v>bat</v>
      </c>
      <c r="P12" s="15" t="str">
        <f>[1]!wwsCheckbox($D12,112,FALSE)</f>
        <v>pat</v>
      </c>
      <c r="Q12" s="15" t="str">
        <f>[1]!wwsCheckbox($B12,112,FALSE)</f>
        <v>bad</v>
      </c>
      <c r="R12" s="14">
        <f t="shared" si="1"/>
        <v>1</v>
      </c>
    </row>
    <row r="13" spans="1:23" s="10" customFormat="1" ht="25.05" customHeight="1">
      <c r="A13" s="14" t="str">
        <f t="shared" si="2"/>
        <v>clikt</v>
      </c>
      <c r="B13" s="30" t="s">
        <v>24</v>
      </c>
      <c r="C13" s="30" t="s">
        <v>19</v>
      </c>
      <c r="D13" s="30" t="s">
        <v>27</v>
      </c>
      <c r="E13" s="52" t="s">
        <v>19</v>
      </c>
      <c r="F13" s="9">
        <f t="shared" si="3"/>
        <v>7</v>
      </c>
      <c r="G13" s="15" t="str">
        <f>[1]!wwsCheckbox($B13,13,FALSE)</f>
        <v>bet</v>
      </c>
      <c r="H13" s="15" t="str">
        <f>[1]!wwsCheckbox($C13,13,FALSE)</f>
        <v>bed</v>
      </c>
      <c r="I13" s="15" t="str">
        <f>[1]!wwsCheckbox($D13,13,FALSE)</f>
        <v>pet</v>
      </c>
      <c r="J13" s="10" t="str">
        <f t="shared" si="0"/>
        <v>GOOD</v>
      </c>
      <c r="M13" s="34"/>
      <c r="N13" s="32">
        <f t="shared" si="4"/>
        <v>7</v>
      </c>
      <c r="O13" s="15" t="str">
        <f>[1]!wwsCheckbox($C13,113,FALSE)</f>
        <v>bed</v>
      </c>
      <c r="P13" s="15" t="str">
        <f>[1]!wwsCheckbox($D13,113,FALSE)</f>
        <v>pet</v>
      </c>
      <c r="Q13" s="15" t="str">
        <f>[1]!wwsCheckbox($B13,113,FALSE)</f>
        <v>bet</v>
      </c>
      <c r="R13" s="14">
        <f t="shared" si="1"/>
        <v>1</v>
      </c>
    </row>
    <row r="14" spans="1:23" s="10" customFormat="1" ht="25.05" customHeight="1">
      <c r="A14" s="14" t="str">
        <f t="shared" si="2"/>
        <v>clikt</v>
      </c>
      <c r="B14" s="30" t="s">
        <v>21</v>
      </c>
      <c r="C14" s="30" t="s">
        <v>26</v>
      </c>
      <c r="D14" s="30" t="s">
        <v>25</v>
      </c>
      <c r="E14" s="52" t="s">
        <v>21</v>
      </c>
      <c r="F14" s="9">
        <f t="shared" si="3"/>
        <v>8</v>
      </c>
      <c r="G14" s="15" t="str">
        <f>[1]!wwsCheckbox($B14,14,FALSE)</f>
        <v>men</v>
      </c>
      <c r="H14" s="15" t="str">
        <f>[1]!wwsCheckbox($C14,14,FALSE)</f>
        <v>net</v>
      </c>
      <c r="I14" s="15" t="str">
        <f>[1]!wwsCheckbox($D14,14,FALSE)</f>
        <v>met</v>
      </c>
      <c r="J14" s="10" t="str">
        <f t="shared" si="0"/>
        <v>GOOD</v>
      </c>
      <c r="M14" s="34"/>
      <c r="N14" s="32">
        <f t="shared" si="4"/>
        <v>8</v>
      </c>
      <c r="O14" s="15" t="str">
        <f>[1]!wwsCheckbox($C14,114,FALSE)</f>
        <v>net</v>
      </c>
      <c r="P14" s="15" t="str">
        <f>[1]!wwsCheckbox($D14,114,FALSE)</f>
        <v>met</v>
      </c>
      <c r="Q14" s="15" t="str">
        <f>[1]!wwsCheckbox($B14,114,FALSE)</f>
        <v>men</v>
      </c>
      <c r="R14" s="14">
        <f t="shared" si="1"/>
        <v>1</v>
      </c>
    </row>
    <row r="15" spans="1:23" s="10" customFormat="1" ht="25.05" customHeight="1">
      <c r="A15" s="14" t="str">
        <f t="shared" si="2"/>
        <v>clikt</v>
      </c>
      <c r="B15" s="30" t="s">
        <v>26</v>
      </c>
      <c r="C15" s="30" t="s">
        <v>23</v>
      </c>
      <c r="D15" s="30" t="s">
        <v>20</v>
      </c>
      <c r="E15" s="52" t="s">
        <v>26</v>
      </c>
      <c r="F15" s="9">
        <f t="shared" si="3"/>
        <v>9</v>
      </c>
      <c r="G15" s="15" t="str">
        <f>[1]!wwsCheckbox($B15,14,FALSE)</f>
        <v>net</v>
      </c>
      <c r="H15" s="15" t="str">
        <f>[1]!wwsCheckbox($C15,15,FALSE)</f>
        <v>ten</v>
      </c>
      <c r="I15" s="15" t="str">
        <f>[1]!wwsCheckbox($D15,15,FALSE)</f>
        <v>den</v>
      </c>
      <c r="J15" s="10" t="str">
        <f t="shared" si="0"/>
        <v>GOOD</v>
      </c>
      <c r="M15" s="34"/>
      <c r="N15" s="32">
        <f t="shared" si="4"/>
        <v>9</v>
      </c>
      <c r="O15" s="15" t="str">
        <f>[1]!wwsCheckbox($C15,115,FALSE)</f>
        <v>ten</v>
      </c>
      <c r="P15" s="15" t="str">
        <f>[1]!wwsCheckbox($D15,115,FALSE)</f>
        <v>den</v>
      </c>
      <c r="Q15" s="15" t="str">
        <f>[1]!wwsCheckbox($B15,115,FALSE)</f>
        <v>net</v>
      </c>
      <c r="R15" s="14">
        <f t="shared" si="1"/>
        <v>1</v>
      </c>
    </row>
    <row r="16" spans="1:23" s="10" customFormat="1" ht="25.05" customHeight="1">
      <c r="A16" s="14" t="str">
        <f t="shared" si="2"/>
        <v>clikt</v>
      </c>
      <c r="B16" s="30" t="s">
        <v>41</v>
      </c>
      <c r="C16" s="30" t="s">
        <v>37</v>
      </c>
      <c r="D16" s="30" t="s">
        <v>32</v>
      </c>
      <c r="E16" s="52" t="s">
        <v>32</v>
      </c>
      <c r="F16" s="9">
        <f t="shared" si="3"/>
        <v>10</v>
      </c>
      <c r="G16" s="15" t="str">
        <f>[1]!wwsCheckbox($B16,16,FALSE)</f>
        <v>pin</v>
      </c>
      <c r="H16" s="15" t="str">
        <f>[1]!wwsCheckbox($C16,16,FALSE)</f>
        <v>bit</v>
      </c>
      <c r="I16" s="15" t="str">
        <f>[1]!wwsCheckbox($D16,16,FALSE)</f>
        <v>bin</v>
      </c>
      <c r="J16" s="10" t="str">
        <f t="shared" si="0"/>
        <v>GOOD</v>
      </c>
      <c r="M16" s="34"/>
      <c r="N16" s="32">
        <f t="shared" si="4"/>
        <v>10</v>
      </c>
      <c r="O16" s="15" t="str">
        <f>[1]!wwsCheckbox($C16,116,FALSE)</f>
        <v>bit</v>
      </c>
      <c r="P16" s="15" t="str">
        <f>[1]!wwsCheckbox($D16,116,FALSE)</f>
        <v>bin</v>
      </c>
      <c r="Q16" s="15" t="str">
        <f>[1]!wwsCheckbox($B16,116,FALSE)</f>
        <v>pin</v>
      </c>
      <c r="R16" s="14">
        <f t="shared" si="1"/>
        <v>1</v>
      </c>
    </row>
    <row r="17" spans="1:18" s="10" customFormat="1" ht="25.05" customHeight="1">
      <c r="A17" s="14" t="str">
        <f t="shared" si="2"/>
        <v>clikt</v>
      </c>
      <c r="B17" s="30" t="s">
        <v>34</v>
      </c>
      <c r="C17" s="30" t="s">
        <v>39</v>
      </c>
      <c r="D17" s="30" t="s">
        <v>29</v>
      </c>
      <c r="E17" s="52" t="s">
        <v>29</v>
      </c>
      <c r="F17" s="9">
        <f t="shared" si="3"/>
        <v>11</v>
      </c>
      <c r="G17" s="15" t="str">
        <f>[1]!wwsCheckbox($B17,17,FALSE)</f>
        <v>bib</v>
      </c>
      <c r="H17" s="15" t="str">
        <f>[1]!wwsCheckbox($C17,17,FALSE)</f>
        <v>pip</v>
      </c>
      <c r="I17" s="15" t="str">
        <f>[1]!wwsCheckbox($D17,17,FALSE)</f>
        <v>bid</v>
      </c>
      <c r="J17" s="10" t="str">
        <f t="shared" si="0"/>
        <v>GOOD</v>
      </c>
      <c r="M17" s="34"/>
      <c r="N17" s="32">
        <f t="shared" si="4"/>
        <v>11</v>
      </c>
      <c r="O17" s="15" t="str">
        <f>[1]!wwsCheckbox($C17,117,FALSE)</f>
        <v>pip</v>
      </c>
      <c r="P17" s="15" t="str">
        <f>[1]!wwsCheckbox($D17,117,FALSE)</f>
        <v>bid</v>
      </c>
      <c r="Q17" s="15" t="str">
        <f>[1]!wwsCheckbox($B17,117,FALSE)</f>
        <v>bib</v>
      </c>
      <c r="R17" s="14">
        <f t="shared" si="1"/>
        <v>1</v>
      </c>
    </row>
    <row r="18" spans="1:18" s="10" customFormat="1" ht="25.05" customHeight="1">
      <c r="A18" s="14" t="str">
        <f t="shared" si="2"/>
        <v>clikt</v>
      </c>
      <c r="B18" s="30" t="s">
        <v>40</v>
      </c>
      <c r="C18" s="30" t="s">
        <v>80</v>
      </c>
      <c r="D18" s="30" t="s">
        <v>32</v>
      </c>
      <c r="E18" s="52" t="s">
        <v>80</v>
      </c>
      <c r="F18" s="9">
        <f t="shared" si="3"/>
        <v>12</v>
      </c>
      <c r="G18" s="15" t="str">
        <f>[1]!wwsCheckbox($B18,18,FALSE)</f>
        <v>nip</v>
      </c>
      <c r="H18" s="15" t="str">
        <f>[1]!wwsCheckbox($C18,18,FALSE)</f>
        <v>nib</v>
      </c>
      <c r="I18" s="15" t="str">
        <f>[1]!wwsCheckbox($D18,18,FALSE)</f>
        <v>bin</v>
      </c>
      <c r="J18" s="10" t="str">
        <f t="shared" si="0"/>
        <v>GOOD</v>
      </c>
      <c r="M18" s="34"/>
      <c r="N18" s="32">
        <f t="shared" si="4"/>
        <v>12</v>
      </c>
      <c r="O18" s="15" t="str">
        <f>[1]!wwsCheckbox($C18,118,FALSE)</f>
        <v>nib</v>
      </c>
      <c r="P18" s="15" t="str">
        <f>[1]!wwsCheckbox($D18,118,FALSE)</f>
        <v>bin</v>
      </c>
      <c r="Q18" s="15" t="str">
        <f>[1]!wwsCheckbox($B18,118,FALSE)</f>
        <v>nip</v>
      </c>
      <c r="R18" s="14">
        <f t="shared" si="1"/>
        <v>1</v>
      </c>
    </row>
    <row r="19" spans="1:18" s="10" customFormat="1" ht="25.05" customHeight="1">
      <c r="A19" s="14" t="str">
        <f t="shared" si="2"/>
        <v>clikt</v>
      </c>
      <c r="B19" s="30" t="s">
        <v>28</v>
      </c>
      <c r="C19" s="30" t="s">
        <v>30</v>
      </c>
      <c r="D19" s="30" t="s">
        <v>35</v>
      </c>
      <c r="E19" s="52" t="s">
        <v>30</v>
      </c>
      <c r="F19" s="9">
        <f t="shared" si="3"/>
        <v>13</v>
      </c>
      <c r="G19" s="15" t="str">
        <f>[1]!wwsCheckbox($B19,19,FALSE)</f>
        <v>tin</v>
      </c>
      <c r="H19" s="15" t="str">
        <f>[1]!wwsCheckbox($C19,19,FALSE)</f>
        <v>din</v>
      </c>
      <c r="I19" s="15" t="str">
        <f>[1]!wwsCheckbox($D19,19,FALSE)</f>
        <v>dim</v>
      </c>
      <c r="J19" s="10" t="str">
        <f t="shared" si="0"/>
        <v>GOOD</v>
      </c>
      <c r="M19" s="34"/>
      <c r="N19" s="32">
        <f t="shared" si="4"/>
        <v>13</v>
      </c>
      <c r="O19" s="15" t="str">
        <f>[1]!wwsCheckbox($C19,119,FALSE)</f>
        <v>din</v>
      </c>
      <c r="P19" s="15" t="str">
        <f>[1]!wwsCheckbox($D19,119,FALSE)</f>
        <v>dim</v>
      </c>
      <c r="Q19" s="15" t="str">
        <f>[1]!wwsCheckbox($B19,119,FALSE)</f>
        <v>tin</v>
      </c>
      <c r="R19" s="14">
        <f t="shared" si="1"/>
        <v>1</v>
      </c>
    </row>
    <row r="20" spans="1:18" s="10" customFormat="1" ht="25.05" customHeight="1">
      <c r="A20" s="14" t="str">
        <f t="shared" si="2"/>
        <v>clikt</v>
      </c>
      <c r="B20" s="30" t="s">
        <v>33</v>
      </c>
      <c r="C20" s="30" t="s">
        <v>31</v>
      </c>
      <c r="D20" s="30" t="s">
        <v>28</v>
      </c>
      <c r="E20" s="52" t="s">
        <v>31</v>
      </c>
      <c r="F20" s="9">
        <f t="shared" si="3"/>
        <v>14</v>
      </c>
      <c r="G20" s="15" t="str">
        <f>[1]!wwsCheckbox($B20,20,FALSE)</f>
        <v>dip</v>
      </c>
      <c r="H20" s="15" t="str">
        <f>[1]!wwsCheckbox($C20,20,FALSE)</f>
        <v>tip</v>
      </c>
      <c r="I20" s="15" t="str">
        <f>[1]!wwsCheckbox($D20,20,FALSE)</f>
        <v>tin</v>
      </c>
      <c r="J20" s="10" t="str">
        <f t="shared" si="0"/>
        <v>GOOD</v>
      </c>
      <c r="M20" s="34"/>
      <c r="N20" s="32">
        <f t="shared" si="4"/>
        <v>14</v>
      </c>
      <c r="O20" s="15" t="str">
        <f>[1]!wwsCheckbox($C20,120,FALSE)</f>
        <v>tip</v>
      </c>
      <c r="P20" s="15" t="str">
        <f>[1]!wwsCheckbox($D20,120,FALSE)</f>
        <v>tin</v>
      </c>
      <c r="Q20" s="15" t="str">
        <f>[1]!wwsCheckbox($B20,120,FALSE)</f>
        <v>dip</v>
      </c>
      <c r="R20" s="14">
        <f t="shared" si="1"/>
        <v>1</v>
      </c>
    </row>
    <row r="21" spans="1:18" s="10" customFormat="1" ht="25.05" customHeight="1">
      <c r="A21" s="14" t="str">
        <f t="shared" si="2"/>
        <v>clikt</v>
      </c>
      <c r="B21" s="30" t="s">
        <v>37</v>
      </c>
      <c r="C21" s="30" t="s">
        <v>29</v>
      </c>
      <c r="D21" s="30" t="s">
        <v>36</v>
      </c>
      <c r="E21" s="52" t="s">
        <v>29</v>
      </c>
      <c r="F21" s="9">
        <f t="shared" si="3"/>
        <v>15</v>
      </c>
      <c r="G21" s="15" t="str">
        <f>[1]!wwsCheckbox($B21,21,FALSE)</f>
        <v>bit</v>
      </c>
      <c r="H21" s="15" t="str">
        <f>[1]!wwsCheckbox($C21,21,FALSE)</f>
        <v>bid</v>
      </c>
      <c r="I21" s="15" t="str">
        <f>[1]!wwsCheckbox($D21,21,FALSE)</f>
        <v>pit</v>
      </c>
      <c r="J21" s="10" t="str">
        <f t="shared" si="0"/>
        <v>GOOD</v>
      </c>
      <c r="M21" s="34"/>
      <c r="N21" s="32">
        <f t="shared" si="4"/>
        <v>15</v>
      </c>
      <c r="O21" s="15" t="str">
        <f>[1]!wwsCheckbox($C21,121,FALSE)</f>
        <v>bid</v>
      </c>
      <c r="P21" s="15" t="str">
        <f>[1]!wwsCheckbox($D21,121,FALSE)</f>
        <v>pit</v>
      </c>
      <c r="Q21" s="15" t="str">
        <f>[1]!wwsCheckbox($B21,121,FALSE)</f>
        <v>bit</v>
      </c>
      <c r="R21" s="14">
        <f t="shared" si="1"/>
        <v>1</v>
      </c>
    </row>
    <row r="22" spans="1:18" s="10" customFormat="1" ht="25.05" customHeight="1">
      <c r="A22" s="14" t="str">
        <f t="shared" si="2"/>
        <v>clikt</v>
      </c>
      <c r="B22" s="30" t="s">
        <v>45</v>
      </c>
      <c r="C22" s="30" t="s">
        <v>48</v>
      </c>
      <c r="D22" s="30" t="s">
        <v>52</v>
      </c>
      <c r="E22" s="52" t="s">
        <v>52</v>
      </c>
      <c r="F22" s="9">
        <f t="shared" si="3"/>
        <v>16</v>
      </c>
      <c r="G22" s="15" t="str">
        <f>[1]!wwsCheckbox($B22,22,FALSE)</f>
        <v>pop</v>
      </c>
      <c r="H22" s="15" t="str">
        <f>[1]!wwsCheckbox($C22,22,FALSE)</f>
        <v>bop</v>
      </c>
      <c r="I22" s="15" t="str">
        <f>[1]!wwsCheckbox($D22,22,FALSE)</f>
        <v>pod</v>
      </c>
      <c r="J22" s="10" t="str">
        <f t="shared" si="0"/>
        <v>GOOD</v>
      </c>
      <c r="M22" s="34"/>
      <c r="N22" s="32">
        <f t="shared" si="4"/>
        <v>16</v>
      </c>
      <c r="O22" s="15" t="str">
        <f>[1]!wwsCheckbox($C22,122,FALSE)</f>
        <v>bop</v>
      </c>
      <c r="P22" s="15" t="str">
        <f>[1]!wwsCheckbox($D22,122,FALSE)</f>
        <v>pod</v>
      </c>
      <c r="Q22" s="15" t="str">
        <f>[1]!wwsCheckbox($B22,122,FALSE)</f>
        <v>pop</v>
      </c>
      <c r="R22" s="14">
        <f t="shared" si="1"/>
        <v>1</v>
      </c>
    </row>
    <row r="23" spans="1:18" s="10" customFormat="1" ht="25.05" customHeight="1">
      <c r="A23" s="14" t="str">
        <f t="shared" si="2"/>
        <v>clikt</v>
      </c>
      <c r="B23" s="30" t="s">
        <v>55</v>
      </c>
      <c r="C23" s="30" t="s">
        <v>54</v>
      </c>
      <c r="D23" s="30" t="s">
        <v>43</v>
      </c>
      <c r="E23" s="52" t="s">
        <v>55</v>
      </c>
      <c r="F23" s="9">
        <f t="shared" si="3"/>
        <v>17</v>
      </c>
      <c r="G23" s="15" t="str">
        <f>[1]!wwsCheckbox($B23,23,FALSE)</f>
        <v>nod</v>
      </c>
      <c r="H23" s="15" t="str">
        <f>[1]!wwsCheckbox($C23,23,FALSE)</f>
        <v>mob</v>
      </c>
      <c r="I23" s="15" t="str">
        <f>[1]!wwsCheckbox($D23,23,FALSE)</f>
        <v>mop</v>
      </c>
      <c r="J23" s="10" t="str">
        <f t="shared" si="0"/>
        <v>GOOD</v>
      </c>
      <c r="M23" s="34"/>
      <c r="N23" s="32">
        <f t="shared" si="4"/>
        <v>17</v>
      </c>
      <c r="O23" s="15" t="str">
        <f>[1]!wwsCheckbox($C23,123,FALSE)</f>
        <v>mob</v>
      </c>
      <c r="P23" s="15" t="str">
        <f>[1]!wwsCheckbox($D23,123,FALSE)</f>
        <v>mop</v>
      </c>
      <c r="Q23" s="15" t="str">
        <f>[1]!wwsCheckbox($B23,123,FALSE)</f>
        <v>nod</v>
      </c>
      <c r="R23" s="14">
        <f t="shared" si="1"/>
        <v>1</v>
      </c>
    </row>
    <row r="24" spans="1:18" s="10" customFormat="1" ht="25.05" customHeight="1">
      <c r="A24" s="14" t="str">
        <f t="shared" si="2"/>
        <v>clikt</v>
      </c>
      <c r="B24" s="30" t="s">
        <v>54</v>
      </c>
      <c r="C24" s="30" t="s">
        <v>81</v>
      </c>
      <c r="D24" s="30" t="s">
        <v>53</v>
      </c>
      <c r="E24" s="52" t="s">
        <v>53</v>
      </c>
      <c r="F24" s="9">
        <f t="shared" si="3"/>
        <v>18</v>
      </c>
      <c r="G24" s="15" t="str">
        <f>[1]!wwsCheckbox($B24,24,FALSE)</f>
        <v>mob</v>
      </c>
      <c r="H24" s="15" t="str">
        <f>[1]!wwsCheckbox($C24,24,FALSE)</f>
        <v>mod</v>
      </c>
      <c r="I24" s="15" t="str">
        <f>[1]!wwsCheckbox($D24,24,FALSE)</f>
        <v>not</v>
      </c>
      <c r="J24" s="10" t="str">
        <f t="shared" si="0"/>
        <v>GOOD</v>
      </c>
      <c r="M24" s="34"/>
      <c r="N24" s="32">
        <f t="shared" si="4"/>
        <v>18</v>
      </c>
      <c r="O24" s="15" t="str">
        <f>[1]!wwsCheckbox($C24,124,FALSE)</f>
        <v>mod</v>
      </c>
      <c r="P24" s="15" t="str">
        <f>[1]!wwsCheckbox($D24,124,FALSE)</f>
        <v>not</v>
      </c>
      <c r="Q24" s="15" t="str">
        <f>[1]!wwsCheckbox($B24,124,FALSE)</f>
        <v>mob</v>
      </c>
      <c r="R24" s="14">
        <f t="shared" si="1"/>
        <v>1</v>
      </c>
    </row>
    <row r="25" spans="1:18" s="10" customFormat="1" ht="25.05" customHeight="1">
      <c r="A25" s="14" t="str">
        <f t="shared" si="2"/>
        <v>clikt</v>
      </c>
      <c r="B25" s="30" t="s">
        <v>51</v>
      </c>
      <c r="C25" s="30" t="s">
        <v>49</v>
      </c>
      <c r="D25" s="30" t="s">
        <v>46</v>
      </c>
      <c r="E25" s="52" t="s">
        <v>46</v>
      </c>
      <c r="F25" s="9">
        <f t="shared" si="3"/>
        <v>19</v>
      </c>
      <c r="G25" s="15" t="str">
        <f>[1]!wwsCheckbox($B25,25,FALSE)</f>
        <v>tot</v>
      </c>
      <c r="H25" s="15" t="str">
        <f>[1]!wwsCheckbox($C25,25,FALSE)</f>
        <v>dot</v>
      </c>
      <c r="I25" s="15" t="str">
        <f>[1]!wwsCheckbox($D25,25,FALSE)</f>
        <v>bot</v>
      </c>
      <c r="J25" s="10" t="str">
        <f t="shared" si="0"/>
        <v>GOOD</v>
      </c>
      <c r="M25" s="34"/>
      <c r="N25" s="32">
        <f t="shared" si="4"/>
        <v>19</v>
      </c>
      <c r="O25" s="15" t="str">
        <f>[1]!wwsCheckbox($C25,125,FALSE)</f>
        <v>dot</v>
      </c>
      <c r="P25" s="15" t="str">
        <f>[1]!wwsCheckbox($D25,125,FALSE)</f>
        <v>bot</v>
      </c>
      <c r="Q25" s="15" t="str">
        <f>[1]!wwsCheckbox($B25,125,FALSE)</f>
        <v>tot</v>
      </c>
      <c r="R25" s="14">
        <f t="shared" si="1"/>
        <v>1</v>
      </c>
    </row>
    <row r="26" spans="1:18" s="10" customFormat="1" ht="25.05" customHeight="1">
      <c r="A26" s="14" t="str">
        <f t="shared" si="2"/>
        <v>clikt</v>
      </c>
      <c r="B26" s="30" t="s">
        <v>53</v>
      </c>
      <c r="C26" s="30" t="s">
        <v>55</v>
      </c>
      <c r="D26" s="30" t="s">
        <v>50</v>
      </c>
      <c r="E26" s="52" t="s">
        <v>53</v>
      </c>
      <c r="F26" s="9">
        <f t="shared" si="3"/>
        <v>20</v>
      </c>
      <c r="G26" s="15" t="str">
        <f>[1]!wwsCheckbox($B26,26,FALSE)</f>
        <v>not</v>
      </c>
      <c r="H26" s="15" t="str">
        <f>[1]!wwsCheckbox($C26,26,FALSE)</f>
        <v>nod</v>
      </c>
      <c r="I26" s="15" t="str">
        <f>[1]!wwsCheckbox($D26,26,FALSE)</f>
        <v>pot</v>
      </c>
      <c r="J26" s="10" t="str">
        <f t="shared" si="0"/>
        <v>GOOD</v>
      </c>
      <c r="M26" s="34"/>
      <c r="N26" s="32">
        <f t="shared" si="4"/>
        <v>20</v>
      </c>
      <c r="O26" s="15" t="str">
        <f>[1]!wwsCheckbox($C26,126,FALSE)</f>
        <v>nod</v>
      </c>
      <c r="P26" s="15" t="str">
        <f>[1]!wwsCheckbox($D26,126,FALSE)</f>
        <v>pot</v>
      </c>
      <c r="Q26" s="15" t="str">
        <f>[1]!wwsCheckbox($B26,126,FALSE)</f>
        <v>not</v>
      </c>
      <c r="R26" s="14">
        <f t="shared" si="1"/>
        <v>1</v>
      </c>
    </row>
    <row r="27" spans="1:18" s="10" customFormat="1" ht="25.05" customHeight="1">
      <c r="A27" s="14" t="str">
        <f t="shared" si="2"/>
        <v>clikt</v>
      </c>
      <c r="B27" s="30" t="s">
        <v>67</v>
      </c>
      <c r="C27" s="30" t="s">
        <v>63</v>
      </c>
      <c r="D27" s="30" t="s">
        <v>59</v>
      </c>
      <c r="E27" s="52" t="s">
        <v>63</v>
      </c>
      <c r="F27" s="9">
        <f t="shared" si="3"/>
        <v>21</v>
      </c>
      <c r="G27" s="15" t="str">
        <f>[1]!wwsCheckbox($B27,27,FALSE)</f>
        <v>bub</v>
      </c>
      <c r="H27" s="15" t="str">
        <f>[1]!wwsCheckbox($C27,27,FALSE)</f>
        <v>dub</v>
      </c>
      <c r="I27" s="15" t="str">
        <f>[1]!wwsCheckbox($D27,27,FALSE)</f>
        <v>bun</v>
      </c>
      <c r="J27" s="10" t="str">
        <f t="shared" si="0"/>
        <v>GOOD</v>
      </c>
      <c r="M27" s="34"/>
      <c r="N27" s="32">
        <f t="shared" si="4"/>
        <v>21</v>
      </c>
      <c r="O27" s="15" t="str">
        <f>[1]!wwsCheckbox($C27,127,FALSE)</f>
        <v>dub</v>
      </c>
      <c r="P27" s="15" t="str">
        <f>[1]!wwsCheckbox($D27,127,FALSE)</f>
        <v>bun</v>
      </c>
      <c r="Q27" s="15" t="str">
        <f>[1]!wwsCheckbox($B27,127,FALSE)</f>
        <v>bub</v>
      </c>
      <c r="R27" s="14">
        <f t="shared" si="1"/>
        <v>1</v>
      </c>
    </row>
    <row r="28" spans="1:18" s="10" customFormat="1" ht="25.05" customHeight="1">
      <c r="A28" s="14" t="str">
        <f t="shared" si="2"/>
        <v>clikt</v>
      </c>
      <c r="B28" s="30" t="s">
        <v>67</v>
      </c>
      <c r="C28" s="30" t="s">
        <v>61</v>
      </c>
      <c r="D28" s="30" t="s">
        <v>79</v>
      </c>
      <c r="E28" s="52" t="s">
        <v>67</v>
      </c>
      <c r="F28" s="9">
        <f t="shared" si="3"/>
        <v>22</v>
      </c>
      <c r="G28" s="15" t="str">
        <f>[1]!wwsCheckbox($B28,28,FALSE)</f>
        <v>bub</v>
      </c>
      <c r="H28" s="15" t="str">
        <f>[1]!wwsCheckbox($C28,28,FALSE)</f>
        <v>pub</v>
      </c>
      <c r="I28" s="15" t="str">
        <f>[1]!wwsCheckbox($D28,28,FALSE)</f>
        <v>pup</v>
      </c>
      <c r="J28" s="10" t="str">
        <f t="shared" si="0"/>
        <v>GOOD</v>
      </c>
      <c r="M28" s="34"/>
      <c r="N28" s="32">
        <f t="shared" si="4"/>
        <v>22</v>
      </c>
      <c r="O28" s="15" t="str">
        <f>[1]!wwsCheckbox($C28,128,FALSE)</f>
        <v>pub</v>
      </c>
      <c r="P28" s="15" t="str">
        <f>[1]!wwsCheckbox($D28,128,FALSE)</f>
        <v>pup</v>
      </c>
      <c r="Q28" s="15" t="str">
        <f>[1]!wwsCheckbox($B28,128,FALSE)</f>
        <v>bub</v>
      </c>
      <c r="R28" s="14">
        <f t="shared" si="1"/>
        <v>1</v>
      </c>
    </row>
    <row r="29" spans="1:18" s="10" customFormat="1" ht="25.05" customHeight="1">
      <c r="A29" s="14" t="str">
        <f t="shared" si="2"/>
        <v>clikt</v>
      </c>
      <c r="B29" s="30" t="s">
        <v>56</v>
      </c>
      <c r="C29" s="30" t="s">
        <v>68</v>
      </c>
      <c r="D29" s="30" t="s">
        <v>66</v>
      </c>
      <c r="E29" s="52" t="s">
        <v>66</v>
      </c>
      <c r="F29" s="9">
        <f t="shared" si="3"/>
        <v>23</v>
      </c>
      <c r="G29" s="15" t="str">
        <f>[1]!wwsCheckbox($B29,29,FALSE)</f>
        <v>mud</v>
      </c>
      <c r="H29" s="15" t="str">
        <f>[1]!wwsCheckbox($C29,29,FALSE)</f>
        <v>nut</v>
      </c>
      <c r="I29" s="15" t="str">
        <f>[1]!wwsCheckbox($D29,29,FALSE)</f>
        <v>nun</v>
      </c>
      <c r="J29" s="10" t="str">
        <f t="shared" si="0"/>
        <v>GOOD</v>
      </c>
      <c r="M29" s="34"/>
      <c r="N29" s="32">
        <f t="shared" si="4"/>
        <v>23</v>
      </c>
      <c r="O29" s="15" t="str">
        <f>[1]!wwsCheckbox($C29,129,FALSE)</f>
        <v>nut</v>
      </c>
      <c r="P29" s="15" t="str">
        <f>[1]!wwsCheckbox($D29,129,FALSE)</f>
        <v>nun</v>
      </c>
      <c r="Q29" s="15" t="str">
        <f>[1]!wwsCheckbox($B29,129,FALSE)</f>
        <v>mud</v>
      </c>
      <c r="R29" s="14">
        <f t="shared" si="1"/>
        <v>1</v>
      </c>
    </row>
    <row r="30" spans="1:18" s="10" customFormat="1" ht="25.05" customHeight="1">
      <c r="A30" s="14" t="str">
        <f t="shared" si="2"/>
        <v>clikt</v>
      </c>
      <c r="B30" s="30" t="s">
        <v>59</v>
      </c>
      <c r="C30" s="30" t="s">
        <v>65</v>
      </c>
      <c r="D30" s="30" t="s">
        <v>57</v>
      </c>
      <c r="E30" s="52" t="s">
        <v>65</v>
      </c>
      <c r="F30" s="9">
        <f t="shared" si="3"/>
        <v>24</v>
      </c>
      <c r="G30" s="15" t="str">
        <f>[1]!wwsCheckbox($B30,30,FALSE)</f>
        <v>bun</v>
      </c>
      <c r="H30" s="15" t="str">
        <f>[1]!wwsCheckbox($C30,30,FALSE)</f>
        <v>pun</v>
      </c>
      <c r="I30" s="15" t="str">
        <f>[1]!wwsCheckbox($D30,30,FALSE)</f>
        <v>bum</v>
      </c>
      <c r="J30" s="10" t="str">
        <f t="shared" si="0"/>
        <v>GOOD</v>
      </c>
      <c r="M30" s="34"/>
      <c r="N30" s="32">
        <f t="shared" si="4"/>
        <v>24</v>
      </c>
      <c r="O30" s="15" t="str">
        <f>[1]!wwsCheckbox($C30,130,FALSE)</f>
        <v>pun</v>
      </c>
      <c r="P30" s="15" t="str">
        <f>[1]!wwsCheckbox($D30,130,FALSE)</f>
        <v>bum</v>
      </c>
      <c r="Q30" s="15" t="str">
        <f>[1]!wwsCheckbox($B30,130,FALSE)</f>
        <v>bun</v>
      </c>
      <c r="R30" s="14">
        <f t="shared" si="1"/>
        <v>1</v>
      </c>
    </row>
    <row r="31" spans="1:18" s="10" customFormat="1" ht="25.05" customHeight="1">
      <c r="A31" s="14" t="str">
        <f t="shared" si="2"/>
        <v>clikt</v>
      </c>
      <c r="B31" s="30" t="s">
        <v>60</v>
      </c>
      <c r="C31" s="30" t="s">
        <v>63</v>
      </c>
      <c r="D31" s="30" t="s">
        <v>61</v>
      </c>
      <c r="E31" s="52" t="s">
        <v>63</v>
      </c>
      <c r="F31" s="9">
        <f t="shared" si="3"/>
        <v>25</v>
      </c>
      <c r="G31" s="15" t="str">
        <f>[1]!wwsCheckbox($B31,31,FALSE)</f>
        <v>tub</v>
      </c>
      <c r="H31" s="15" t="str">
        <f>[1]!wwsCheckbox($C31,31,FALSE)</f>
        <v>dub</v>
      </c>
      <c r="I31" s="15" t="str">
        <f>[1]!wwsCheckbox($D31,31,FALSE)</f>
        <v>pub</v>
      </c>
      <c r="J31" s="10" t="str">
        <f t="shared" si="0"/>
        <v>GOOD</v>
      </c>
      <c r="M31" s="34"/>
      <c r="N31" s="32">
        <f t="shared" si="4"/>
        <v>25</v>
      </c>
      <c r="O31" s="15" t="str">
        <f>[1]!wwsCheckbox($C31,131,FALSE)</f>
        <v>dub</v>
      </c>
      <c r="P31" s="15" t="str">
        <f>[1]!wwsCheckbox($D31,131,FALSE)</f>
        <v>pub</v>
      </c>
      <c r="Q31" s="15" t="str">
        <f>[1]!wwsCheckbox($B31,131,FALSE)</f>
        <v>tub</v>
      </c>
      <c r="R31" s="14">
        <f t="shared" si="1"/>
        <v>1</v>
      </c>
    </row>
    <row r="32" spans="1:18" s="10" customFormat="1" ht="25.05" customHeight="1">
      <c r="A32" s="14" t="str">
        <f t="shared" si="2"/>
        <v>clikt</v>
      </c>
      <c r="B32" s="30" t="s">
        <v>58</v>
      </c>
      <c r="C32" s="30" t="s">
        <v>64</v>
      </c>
      <c r="D32" s="30" t="s">
        <v>65</v>
      </c>
      <c r="E32" s="52" t="s">
        <v>58</v>
      </c>
      <c r="F32" s="9">
        <f t="shared" si="3"/>
        <v>26</v>
      </c>
      <c r="G32" s="15" t="str">
        <f>[1]!wwsCheckbox($B32,32,FALSE)</f>
        <v>bud</v>
      </c>
      <c r="H32" s="15" t="str">
        <f>[1]!wwsCheckbox($C32,32,FALSE)</f>
        <v>but</v>
      </c>
      <c r="I32" s="15" t="str">
        <f>[1]!wwsCheckbox($D32,32,FALSE)</f>
        <v>pun</v>
      </c>
      <c r="J32" s="10" t="str">
        <f t="shared" si="0"/>
        <v>GOOD</v>
      </c>
      <c r="M32" s="34"/>
      <c r="N32" s="32">
        <f t="shared" si="4"/>
        <v>26</v>
      </c>
      <c r="O32" s="15" t="str">
        <f>[1]!wwsCheckbox($C32,131,FALSE)</f>
        <v>but</v>
      </c>
      <c r="P32" s="15" t="str">
        <f>[1]!wwsCheckbox($D32,132,FALSE)</f>
        <v>pun</v>
      </c>
      <c r="Q32" s="15" t="str">
        <f>[1]!wwsCheckbox($B32,132,FALSE)</f>
        <v>bud</v>
      </c>
      <c r="R32" s="14">
        <f>SUM(R7:R31)/25</f>
        <v>1</v>
      </c>
    </row>
    <row r="33" spans="5:20" ht="21" customHeight="1">
      <c r="E33" s="8"/>
      <c r="M33" s="36"/>
      <c r="N33" s="36"/>
      <c r="R33" s="35">
        <f>SUM(R7:R32)/26</f>
        <v>1</v>
      </c>
    </row>
    <row r="34" spans="5:20">
      <c r="M34" s="36"/>
      <c r="N34" s="36"/>
      <c r="T34" t="s">
        <v>75</v>
      </c>
    </row>
  </sheetData>
  <mergeCells count="10">
    <mergeCell ref="G6:I6"/>
    <mergeCell ref="O6:Q6"/>
    <mergeCell ref="J2:L2"/>
    <mergeCell ref="F2:H2"/>
    <mergeCell ref="E4:E5"/>
    <mergeCell ref="G4:I4"/>
    <mergeCell ref="O4:Q4"/>
    <mergeCell ref="N5:O5"/>
    <mergeCell ref="P5:S5"/>
    <mergeCell ref="N2:O2"/>
  </mergeCells>
  <conditionalFormatting sqref="K4">
    <cfRule type="cellIs" dxfId="262" priority="679" operator="equal">
      <formula>"""GOOD"""</formula>
    </cfRule>
  </conditionalFormatting>
  <conditionalFormatting sqref="V8">
    <cfRule type="cellIs" dxfId="261" priority="678" operator="equal">
      <formula>87</formula>
    </cfRule>
  </conditionalFormatting>
  <conditionalFormatting sqref="N7">
    <cfRule type="cellIs" priority="674" operator="between">
      <formula>1</formula>
      <formula>2</formula>
    </cfRule>
    <cfRule type="cellIs" dxfId="260" priority="675" operator="equal">
      <formula>"""GOOD"""</formula>
    </cfRule>
  </conditionalFormatting>
  <conditionalFormatting sqref="O7">
    <cfRule type="expression" dxfId="259" priority="475">
      <formula>OR($O7&lt;&gt;"",$P7&lt;&gt;"",$Q7&lt;&gt;"")</formula>
    </cfRule>
  </conditionalFormatting>
  <conditionalFormatting sqref="P7">
    <cfRule type="expression" dxfId="258" priority="474">
      <formula>OR($O7&lt;&gt;"",$P7&lt;&gt;"",$Q7&lt;&gt;"")</formula>
    </cfRule>
  </conditionalFormatting>
  <conditionalFormatting sqref="O8">
    <cfRule type="expression" dxfId="257" priority="473">
      <formula>OR($O8&lt;&gt;"",$P8&lt;&gt;"",$Q8&lt;&gt;"")</formula>
    </cfRule>
  </conditionalFormatting>
  <conditionalFormatting sqref="P8">
    <cfRule type="expression" dxfId="256" priority="472">
      <formula>OR($O8&lt;&gt;"",$P8&lt;&gt;"",$Q8&lt;&gt;"")</formula>
    </cfRule>
  </conditionalFormatting>
  <conditionalFormatting sqref="Q7">
    <cfRule type="expression" dxfId="255" priority="471">
      <formula>OR($O7&lt;&gt;"",$P7&lt;&gt;"",$Q7&lt;&gt;"")</formula>
    </cfRule>
  </conditionalFormatting>
  <conditionalFormatting sqref="O9">
    <cfRule type="expression" dxfId="254" priority="470">
      <formula>OR($O9&lt;&gt;"",$P9&lt;&gt;"",$Q9&lt;&gt;"")</formula>
    </cfRule>
  </conditionalFormatting>
  <conditionalFormatting sqref="O10">
    <cfRule type="expression" dxfId="253" priority="469">
      <formula>OR($O10&lt;&gt;"",$P10&lt;&gt;"",$Q10&lt;&gt;"")</formula>
    </cfRule>
  </conditionalFormatting>
  <conditionalFormatting sqref="O11">
    <cfRule type="expression" dxfId="252" priority="468">
      <formula>OR($O11&lt;&gt;"",$P11&lt;&gt;"",$Q11&lt;&gt;"")</formula>
    </cfRule>
  </conditionalFormatting>
  <conditionalFormatting sqref="O12">
    <cfRule type="expression" dxfId="251" priority="467">
      <formula>OR($O12&lt;&gt;"",$P12&lt;&gt;"",$Q12&lt;&gt;"")</formula>
    </cfRule>
  </conditionalFormatting>
  <conditionalFormatting sqref="O13">
    <cfRule type="expression" dxfId="250" priority="466">
      <formula>OR($O13&lt;&gt;"",$P13&lt;&gt;"",$Q13&lt;&gt;"")</formula>
    </cfRule>
  </conditionalFormatting>
  <conditionalFormatting sqref="O14">
    <cfRule type="expression" dxfId="249" priority="465">
      <formula>OR($O14&lt;&gt;"",$P14&lt;&gt;"",$Q14&lt;&gt;"")</formula>
    </cfRule>
  </conditionalFormatting>
  <conditionalFormatting sqref="O15">
    <cfRule type="expression" dxfId="248" priority="464">
      <formula>OR($O15&lt;&gt;"",$P15&lt;&gt;"",$Q15&lt;&gt;"")</formula>
    </cfRule>
  </conditionalFormatting>
  <conditionalFormatting sqref="O16">
    <cfRule type="expression" dxfId="247" priority="463">
      <formula>OR($O16&lt;&gt;"",$P16&lt;&gt;"",$Q16&lt;&gt;"")</formula>
    </cfRule>
  </conditionalFormatting>
  <conditionalFormatting sqref="O17">
    <cfRule type="expression" dxfId="246" priority="462">
      <formula>OR($O17&lt;&gt;"",$P17&lt;&gt;"",$Q17&lt;&gt;"")</formula>
    </cfRule>
  </conditionalFormatting>
  <conditionalFormatting sqref="O18">
    <cfRule type="expression" dxfId="245" priority="461">
      <formula>OR($O18&lt;&gt;"",$P18&lt;&gt;"",$Q18&lt;&gt;"")</formula>
    </cfRule>
  </conditionalFormatting>
  <conditionalFormatting sqref="O19">
    <cfRule type="expression" dxfId="244" priority="460">
      <formula>OR($O19&lt;&gt;"",$P19&lt;&gt;"",$Q19&lt;&gt;"")</formula>
    </cfRule>
  </conditionalFormatting>
  <conditionalFormatting sqref="O20">
    <cfRule type="expression" dxfId="243" priority="459">
      <formula>OR($O20&lt;&gt;"",$P20&lt;&gt;"",$Q20&lt;&gt;"")</formula>
    </cfRule>
  </conditionalFormatting>
  <conditionalFormatting sqref="O21">
    <cfRule type="expression" dxfId="242" priority="458">
      <formula>OR($O21&lt;&gt;"",$P21&lt;&gt;"",$Q21&lt;&gt;"")</formula>
    </cfRule>
  </conditionalFormatting>
  <conditionalFormatting sqref="O22">
    <cfRule type="expression" dxfId="241" priority="457">
      <formula>OR($O22&lt;&gt;"",$P22&lt;&gt;"",$Q22&lt;&gt;"")</formula>
    </cfRule>
  </conditionalFormatting>
  <conditionalFormatting sqref="O23">
    <cfRule type="expression" dxfId="240" priority="456">
      <formula>OR($O23&lt;&gt;"",$P23&lt;&gt;"",$Q23&lt;&gt;"")</formula>
    </cfRule>
  </conditionalFormatting>
  <conditionalFormatting sqref="O24">
    <cfRule type="expression" dxfId="239" priority="455">
      <formula>OR($O24&lt;&gt;"",$P24&lt;&gt;"",$Q24&lt;&gt;"")</formula>
    </cfRule>
  </conditionalFormatting>
  <conditionalFormatting sqref="O25">
    <cfRule type="expression" dxfId="238" priority="454">
      <formula>OR($O25&lt;&gt;"",$P25&lt;&gt;"",$Q25&lt;&gt;"")</formula>
    </cfRule>
  </conditionalFormatting>
  <conditionalFormatting sqref="O26">
    <cfRule type="expression" dxfId="237" priority="453">
      <formula>OR($O26&lt;&gt;"",$P26&lt;&gt;"",$Q26&lt;&gt;"")</formula>
    </cfRule>
  </conditionalFormatting>
  <conditionalFormatting sqref="O27">
    <cfRule type="expression" dxfId="236" priority="452">
      <formula>OR($O27&lt;&gt;"",$P27&lt;&gt;"",$Q27&lt;&gt;"")</formula>
    </cfRule>
  </conditionalFormatting>
  <conditionalFormatting sqref="O28">
    <cfRule type="expression" dxfId="235" priority="451">
      <formula>OR($O28&lt;&gt;"",$P28&lt;&gt;"",$Q28&lt;&gt;"")</formula>
    </cfRule>
  </conditionalFormatting>
  <conditionalFormatting sqref="O29">
    <cfRule type="expression" dxfId="234" priority="450">
      <formula>OR($O29&lt;&gt;"",$P29&lt;&gt;"",$Q29&lt;&gt;"")</formula>
    </cfRule>
  </conditionalFormatting>
  <conditionalFormatting sqref="O30">
    <cfRule type="expression" dxfId="233" priority="449">
      <formula>OR($O30&lt;&gt;"",$P30&lt;&gt;"",$Q30&lt;&gt;"")</formula>
    </cfRule>
  </conditionalFormatting>
  <conditionalFormatting sqref="O31">
    <cfRule type="expression" dxfId="232" priority="448">
      <formula>OR($O31&lt;&gt;"",$P31&lt;&gt;"",$Q31&lt;&gt;"")</formula>
    </cfRule>
  </conditionalFormatting>
  <conditionalFormatting sqref="Q8">
    <cfRule type="expression" dxfId="231" priority="447">
      <formula>OR($O8&lt;&gt;"",$P8&lt;&gt;"",$Q8&lt;&gt;"")</formula>
    </cfRule>
  </conditionalFormatting>
  <conditionalFormatting sqref="P9">
    <cfRule type="expression" dxfId="230" priority="446">
      <formula>OR($O9&lt;&gt;"",$P9&lt;&gt;"",$Q9&lt;&gt;"")</formula>
    </cfRule>
  </conditionalFormatting>
  <conditionalFormatting sqref="Q9">
    <cfRule type="expression" dxfId="229" priority="445">
      <formula>OR($O9&lt;&gt;"",$P9&lt;&gt;"",$Q9&lt;&gt;"")</formula>
    </cfRule>
  </conditionalFormatting>
  <conditionalFormatting sqref="P10">
    <cfRule type="expression" dxfId="228" priority="444">
      <formula>OR($O10&lt;&gt;"",$P10&lt;&gt;"",$Q10&lt;&gt;"")</formula>
    </cfRule>
  </conditionalFormatting>
  <conditionalFormatting sqref="Q10">
    <cfRule type="expression" dxfId="227" priority="443">
      <formula>OR($O10&lt;&gt;"",$P10&lt;&gt;"",$Q10&lt;&gt;"")</formula>
    </cfRule>
  </conditionalFormatting>
  <conditionalFormatting sqref="P11">
    <cfRule type="expression" dxfId="226" priority="442">
      <formula>OR($O11&lt;&gt;"",$P11&lt;&gt;"",$Q11&lt;&gt;"")</formula>
    </cfRule>
  </conditionalFormatting>
  <conditionalFormatting sqref="Q11">
    <cfRule type="expression" dxfId="225" priority="441">
      <formula>OR($O11&lt;&gt;"",$P11&lt;&gt;"",$Q11&lt;&gt;"")</formula>
    </cfRule>
  </conditionalFormatting>
  <conditionalFormatting sqref="P12">
    <cfRule type="expression" dxfId="224" priority="440">
      <formula>OR($O12&lt;&gt;"",$P12&lt;&gt;"",$Q12&lt;&gt;"")</formula>
    </cfRule>
  </conditionalFormatting>
  <conditionalFormatting sqref="Q12">
    <cfRule type="expression" dxfId="223" priority="439">
      <formula>OR($O12&lt;&gt;"",$P12&lt;&gt;"",$Q12&lt;&gt;"")</formula>
    </cfRule>
  </conditionalFormatting>
  <conditionalFormatting sqref="P13">
    <cfRule type="expression" dxfId="222" priority="438">
      <formula>OR($O13&lt;&gt;"",$P13&lt;&gt;"",$Q13&lt;&gt;"")</formula>
    </cfRule>
  </conditionalFormatting>
  <conditionalFormatting sqref="Q13">
    <cfRule type="expression" dxfId="221" priority="437">
      <formula>OR($O13&lt;&gt;"",$P13&lt;&gt;"",$Q13&lt;&gt;"")</formula>
    </cfRule>
  </conditionalFormatting>
  <conditionalFormatting sqref="P14">
    <cfRule type="expression" dxfId="220" priority="436">
      <formula>OR($O14&lt;&gt;"",$P14&lt;&gt;"",$Q14&lt;&gt;"")</formula>
    </cfRule>
  </conditionalFormatting>
  <conditionalFormatting sqref="Q14">
    <cfRule type="expression" dxfId="219" priority="435">
      <formula>OR($O14&lt;&gt;"",$P14&lt;&gt;"",$Q14&lt;&gt;"")</formula>
    </cfRule>
  </conditionalFormatting>
  <conditionalFormatting sqref="P15">
    <cfRule type="expression" dxfId="218" priority="434">
      <formula>OR($O15&lt;&gt;"",$P15&lt;&gt;"",$Q15&lt;&gt;"")</formula>
    </cfRule>
  </conditionalFormatting>
  <conditionalFormatting sqref="Q15">
    <cfRule type="expression" dxfId="217" priority="433">
      <formula>OR($O15&lt;&gt;"",$P15&lt;&gt;"",$Q15&lt;&gt;"")</formula>
    </cfRule>
  </conditionalFormatting>
  <conditionalFormatting sqref="P16">
    <cfRule type="expression" dxfId="216" priority="432">
      <formula>OR($O16&lt;&gt;"",$P16&lt;&gt;"",$Q16&lt;&gt;"")</formula>
    </cfRule>
  </conditionalFormatting>
  <conditionalFormatting sqref="Q16">
    <cfRule type="expression" dxfId="215" priority="431">
      <formula>OR($O16&lt;&gt;"",$P16&lt;&gt;"",$Q16&lt;&gt;"")</formula>
    </cfRule>
  </conditionalFormatting>
  <conditionalFormatting sqref="P17">
    <cfRule type="expression" dxfId="214" priority="430">
      <formula>OR($O17&lt;&gt;"",$P17&lt;&gt;"",$Q17&lt;&gt;"")</formula>
    </cfRule>
  </conditionalFormatting>
  <conditionalFormatting sqref="Q17">
    <cfRule type="expression" dxfId="213" priority="429">
      <formula>OR($O17&lt;&gt;"",$P17&lt;&gt;"",$Q17&lt;&gt;"")</formula>
    </cfRule>
  </conditionalFormatting>
  <conditionalFormatting sqref="P18">
    <cfRule type="expression" dxfId="212" priority="428">
      <formula>OR($O18&lt;&gt;"",$P18&lt;&gt;"",$Q18&lt;&gt;"")</formula>
    </cfRule>
  </conditionalFormatting>
  <conditionalFormatting sqref="Q18">
    <cfRule type="expression" dxfId="211" priority="427">
      <formula>OR($O18&lt;&gt;"",$P18&lt;&gt;"",$Q18&lt;&gt;"")</formula>
    </cfRule>
  </conditionalFormatting>
  <conditionalFormatting sqref="P19">
    <cfRule type="expression" dxfId="210" priority="426">
      <formula>OR($O19&lt;&gt;"",$P19&lt;&gt;"",$Q19&lt;&gt;"")</formula>
    </cfRule>
  </conditionalFormatting>
  <conditionalFormatting sqref="Q19">
    <cfRule type="expression" dxfId="209" priority="425">
      <formula>OR($O19&lt;&gt;"",$P19&lt;&gt;"",$Q19&lt;&gt;"")</formula>
    </cfRule>
  </conditionalFormatting>
  <conditionalFormatting sqref="P20">
    <cfRule type="expression" dxfId="208" priority="424">
      <formula>OR($O20&lt;&gt;"",$P20&lt;&gt;"",$Q20&lt;&gt;"")</formula>
    </cfRule>
  </conditionalFormatting>
  <conditionalFormatting sqref="Q20">
    <cfRule type="expression" dxfId="207" priority="423">
      <formula>OR($O20&lt;&gt;"",$P20&lt;&gt;"",$Q20&lt;&gt;"")</formula>
    </cfRule>
  </conditionalFormatting>
  <conditionalFormatting sqref="P21">
    <cfRule type="expression" dxfId="206" priority="422">
      <formula>OR($O21&lt;&gt;"",$P21&lt;&gt;"",$Q21&lt;&gt;"")</formula>
    </cfRule>
  </conditionalFormatting>
  <conditionalFormatting sqref="Q21">
    <cfRule type="expression" dxfId="205" priority="421">
      <formula>OR($O21&lt;&gt;"",$P21&lt;&gt;"",$Q21&lt;&gt;"")</formula>
    </cfRule>
  </conditionalFormatting>
  <conditionalFormatting sqref="P22">
    <cfRule type="expression" dxfId="204" priority="420">
      <formula>OR($O22&lt;&gt;"",$P22&lt;&gt;"",$Q22&lt;&gt;"")</formula>
    </cfRule>
  </conditionalFormatting>
  <conditionalFormatting sqref="Q22">
    <cfRule type="expression" dxfId="203" priority="419">
      <formula>OR($O22&lt;&gt;"",$P22&lt;&gt;"",$Q22&lt;&gt;"")</formula>
    </cfRule>
  </conditionalFormatting>
  <conditionalFormatting sqref="P23">
    <cfRule type="expression" dxfId="202" priority="418">
      <formula>OR($O23&lt;&gt;"",$P23&lt;&gt;"",$Q23&lt;&gt;"")</formula>
    </cfRule>
  </conditionalFormatting>
  <conditionalFormatting sqref="Q23">
    <cfRule type="expression" dxfId="201" priority="417">
      <formula>OR($O23&lt;&gt;"",$P23&lt;&gt;"",$Q23&lt;&gt;"")</formula>
    </cfRule>
  </conditionalFormatting>
  <conditionalFormatting sqref="P24">
    <cfRule type="expression" dxfId="200" priority="416">
      <formula>OR($O24&lt;&gt;"",$P24&lt;&gt;"",$Q24&lt;&gt;"")</formula>
    </cfRule>
  </conditionalFormatting>
  <conditionalFormatting sqref="Q24">
    <cfRule type="expression" dxfId="199" priority="415">
      <formula>OR($O24&lt;&gt;"",$P24&lt;&gt;"",$Q24&lt;&gt;"")</formula>
    </cfRule>
  </conditionalFormatting>
  <conditionalFormatting sqref="P25">
    <cfRule type="expression" dxfId="198" priority="414">
      <formula>OR($O25&lt;&gt;"",$P25&lt;&gt;"",$Q25&lt;&gt;"")</formula>
    </cfRule>
  </conditionalFormatting>
  <conditionalFormatting sqref="Q25">
    <cfRule type="expression" dxfId="197" priority="413">
      <formula>OR($O25&lt;&gt;"",$P25&lt;&gt;"",$Q25&lt;&gt;"")</formula>
    </cfRule>
  </conditionalFormatting>
  <conditionalFormatting sqref="P26">
    <cfRule type="expression" dxfId="196" priority="412">
      <formula>OR($O26&lt;&gt;"",$P26&lt;&gt;"",$Q26&lt;&gt;"")</formula>
    </cfRule>
  </conditionalFormatting>
  <conditionalFormatting sqref="Q26">
    <cfRule type="expression" dxfId="195" priority="411">
      <formula>OR($O26&lt;&gt;"",$P26&lt;&gt;"",$Q26&lt;&gt;"")</formula>
    </cfRule>
  </conditionalFormatting>
  <conditionalFormatting sqref="P27">
    <cfRule type="expression" dxfId="194" priority="410">
      <formula>OR($O27&lt;&gt;"",$P27&lt;&gt;"",$Q27&lt;&gt;"")</formula>
    </cfRule>
  </conditionalFormatting>
  <conditionalFormatting sqref="Q27">
    <cfRule type="expression" dxfId="193" priority="409">
      <formula>OR($O27&lt;&gt;"",$P27&lt;&gt;"",$Q27&lt;&gt;"")</formula>
    </cfRule>
  </conditionalFormatting>
  <conditionalFormatting sqref="P28">
    <cfRule type="expression" dxfId="192" priority="408">
      <formula>OR($O28&lt;&gt;"",$P28&lt;&gt;"",$Q28&lt;&gt;"")</formula>
    </cfRule>
  </conditionalFormatting>
  <conditionalFormatting sqref="Q28">
    <cfRule type="expression" dxfId="191" priority="407">
      <formula>OR($O28&lt;&gt;"",$P28&lt;&gt;"",$Q28&lt;&gt;"")</formula>
    </cfRule>
  </conditionalFormatting>
  <conditionalFormatting sqref="P29">
    <cfRule type="expression" dxfId="190" priority="406">
      <formula>OR($O29&lt;&gt;"",$P29&lt;&gt;"",$Q29&lt;&gt;"")</formula>
    </cfRule>
  </conditionalFormatting>
  <conditionalFormatting sqref="Q29">
    <cfRule type="expression" dxfId="189" priority="405">
      <formula>OR($O29&lt;&gt;"",$P29&lt;&gt;"",$Q29&lt;&gt;"")</formula>
    </cfRule>
  </conditionalFormatting>
  <conditionalFormatting sqref="P30">
    <cfRule type="expression" dxfId="188" priority="404">
      <formula>OR($O30&lt;&gt;"",$P30&lt;&gt;"",$Q30&lt;&gt;"")</formula>
    </cfRule>
  </conditionalFormatting>
  <conditionalFormatting sqref="Q30">
    <cfRule type="expression" dxfId="187" priority="403">
      <formula>OR($O30&lt;&gt;"",$P30&lt;&gt;"",$Q30&lt;&gt;"")</formula>
    </cfRule>
  </conditionalFormatting>
  <conditionalFormatting sqref="P31">
    <cfRule type="expression" dxfId="186" priority="402">
      <formula>OR($O31&lt;&gt;"",$P31&lt;&gt;"",$Q31&lt;&gt;"")</formula>
    </cfRule>
  </conditionalFormatting>
  <conditionalFormatting sqref="Q31">
    <cfRule type="expression" dxfId="185" priority="401">
      <formula>OR($O31&lt;&gt;"",$P31&lt;&gt;"",$Q31&lt;&gt;"")</formula>
    </cfRule>
  </conditionalFormatting>
  <conditionalFormatting sqref="O32">
    <cfRule type="expression" dxfId="184" priority="395">
      <formula>OR($O32&lt;&gt;"",$P32&lt;&gt;"",$Q32&lt;&gt;"")</formula>
    </cfRule>
  </conditionalFormatting>
  <conditionalFormatting sqref="P32">
    <cfRule type="expression" dxfId="183" priority="394">
      <formula>OR($O32&lt;&gt;"",$P32&lt;&gt;"",$Q32&lt;&gt;"")</formula>
    </cfRule>
  </conditionalFormatting>
  <conditionalFormatting sqref="Q32">
    <cfRule type="expression" dxfId="182" priority="393">
      <formula>OR($O32&lt;&gt;"",$P32&lt;&gt;"",$Q32&lt;&gt;"")</formula>
    </cfRule>
  </conditionalFormatting>
  <conditionalFormatting sqref="G32">
    <cfRule type="expression" dxfId="181" priority="217">
      <formula>AND($A32="clikt",$J32&lt;&gt;"GOOD")</formula>
    </cfRule>
    <cfRule type="expression" dxfId="180" priority="218">
      <formula>$J32="GOOD"</formula>
    </cfRule>
  </conditionalFormatting>
  <conditionalFormatting sqref="H32">
    <cfRule type="expression" dxfId="179" priority="215">
      <formula>AND($A32="clikt",$J32&lt;&gt;"GOOD")</formula>
    </cfRule>
    <cfRule type="expression" dxfId="178" priority="216">
      <formula>$J32="GOOD"</formula>
    </cfRule>
  </conditionalFormatting>
  <conditionalFormatting sqref="I32">
    <cfRule type="expression" dxfId="177" priority="213">
      <formula>AND($A32="clikt",$J32&lt;&gt;"GOOD")</formula>
    </cfRule>
    <cfRule type="expression" dxfId="176" priority="214">
      <formula>$J32="GOOD"</formula>
    </cfRule>
  </conditionalFormatting>
  <conditionalFormatting sqref="J7">
    <cfRule type="cellIs" priority="211" operator="between">
      <formula>1</formula>
      <formula>2</formula>
    </cfRule>
    <cfRule type="cellIs" dxfId="175" priority="212" operator="equal">
      <formula>"""GOOD"""</formula>
    </cfRule>
  </conditionalFormatting>
  <conditionalFormatting sqref="G31">
    <cfRule type="expression" dxfId="174" priority="201">
      <formula>AND($A31="clikt",$J31&lt;&gt;"GOOD")</formula>
    </cfRule>
    <cfRule type="expression" dxfId="173" priority="202">
      <formula>$J31="GOOD"</formula>
    </cfRule>
  </conditionalFormatting>
  <conditionalFormatting sqref="H31">
    <cfRule type="expression" dxfId="172" priority="199">
      <formula>AND($A31="clikt",$J31&lt;&gt;"GOOD")</formula>
    </cfRule>
    <cfRule type="expression" dxfId="171" priority="200">
      <formula>$J31="GOOD"</formula>
    </cfRule>
  </conditionalFormatting>
  <conditionalFormatting sqref="I31">
    <cfRule type="expression" dxfId="170" priority="197">
      <formula>AND($A31="clikt",$J31&lt;&gt;"GOOD")</formula>
    </cfRule>
    <cfRule type="expression" dxfId="169" priority="198">
      <formula>$J31="GOOD"</formula>
    </cfRule>
  </conditionalFormatting>
  <conditionalFormatting sqref="G30">
    <cfRule type="expression" dxfId="168" priority="195">
      <formula>AND($A30="clikt",$J30&lt;&gt;"GOOD")</formula>
    </cfRule>
    <cfRule type="expression" dxfId="167" priority="196">
      <formula>$J30="GOOD"</formula>
    </cfRule>
  </conditionalFormatting>
  <conditionalFormatting sqref="H30">
    <cfRule type="expression" dxfId="166" priority="193">
      <formula>AND($A30="clikt",$J30&lt;&gt;"GOOD")</formula>
    </cfRule>
    <cfRule type="expression" dxfId="165" priority="194">
      <formula>$J30="GOOD"</formula>
    </cfRule>
  </conditionalFormatting>
  <conditionalFormatting sqref="I30">
    <cfRule type="expression" dxfId="164" priority="191">
      <formula>AND($A30="clikt",$J30&lt;&gt;"GOOD")</formula>
    </cfRule>
    <cfRule type="expression" dxfId="163" priority="192">
      <formula>$J30="GOOD"</formula>
    </cfRule>
  </conditionalFormatting>
  <conditionalFormatting sqref="G7">
    <cfRule type="expression" dxfId="162" priority="189">
      <formula>AND($A7="clikt",$J7&lt;&gt;"GOOD")</formula>
    </cfRule>
    <cfRule type="expression" dxfId="161" priority="190">
      <formula>$J7="GOOD"</formula>
    </cfRule>
  </conditionalFormatting>
  <conditionalFormatting sqref="H7">
    <cfRule type="expression" dxfId="160" priority="187">
      <formula>AND($A7="clikt",$J7&lt;&gt;"GOOD")</formula>
    </cfRule>
    <cfRule type="expression" dxfId="159" priority="188">
      <formula>$J7="GOOD"</formula>
    </cfRule>
  </conditionalFormatting>
  <conditionalFormatting sqref="I7">
    <cfRule type="expression" dxfId="158" priority="185">
      <formula>AND($A7="clikt",$J7&lt;&gt;"GOOD")</formula>
    </cfRule>
    <cfRule type="expression" dxfId="157" priority="186">
      <formula>$J7="GOOD"</formula>
    </cfRule>
  </conditionalFormatting>
  <conditionalFormatting sqref="G8">
    <cfRule type="expression" dxfId="156" priority="183">
      <formula>AND($A8="clikt",$J8&lt;&gt;"GOOD")</formula>
    </cfRule>
    <cfRule type="expression" dxfId="155" priority="184">
      <formula>$J8="GOOD"</formula>
    </cfRule>
  </conditionalFormatting>
  <conditionalFormatting sqref="G9">
    <cfRule type="expression" dxfId="154" priority="181">
      <formula>AND($A9="clikt",$J9&lt;&gt;"GOOD")</formula>
    </cfRule>
    <cfRule type="expression" dxfId="153" priority="182">
      <formula>$J9="GOOD"</formula>
    </cfRule>
  </conditionalFormatting>
  <conditionalFormatting sqref="G10">
    <cfRule type="expression" dxfId="152" priority="179">
      <formula>AND($A10="clikt",$J10&lt;&gt;"GOOD")</formula>
    </cfRule>
    <cfRule type="expression" dxfId="151" priority="180">
      <formula>$J10="GOOD"</formula>
    </cfRule>
  </conditionalFormatting>
  <conditionalFormatting sqref="G11">
    <cfRule type="expression" dxfId="150" priority="177">
      <formula>AND($A11="clikt",$J11&lt;&gt;"GOOD")</formula>
    </cfRule>
    <cfRule type="expression" dxfId="149" priority="178">
      <formula>$J11="GOOD"</formula>
    </cfRule>
  </conditionalFormatting>
  <conditionalFormatting sqref="G12">
    <cfRule type="expression" dxfId="148" priority="175">
      <formula>AND($A12="clikt",$J12&lt;&gt;"GOOD")</formula>
    </cfRule>
    <cfRule type="expression" dxfId="147" priority="176">
      <formula>$J12="GOOD"</formula>
    </cfRule>
  </conditionalFormatting>
  <conditionalFormatting sqref="G13">
    <cfRule type="expression" dxfId="146" priority="173">
      <formula>AND($A13="clikt",$J13&lt;&gt;"GOOD")</formula>
    </cfRule>
    <cfRule type="expression" dxfId="145" priority="174">
      <formula>$J13="GOOD"</formula>
    </cfRule>
  </conditionalFormatting>
  <conditionalFormatting sqref="G14">
    <cfRule type="expression" dxfId="144" priority="171">
      <formula>AND($A14="clikt",$J14&lt;&gt;"GOOD")</formula>
    </cfRule>
    <cfRule type="expression" dxfId="143" priority="172">
      <formula>$J14="GOOD"</formula>
    </cfRule>
  </conditionalFormatting>
  <conditionalFormatting sqref="G16">
    <cfRule type="expression" dxfId="142" priority="167">
      <formula>AND($A16="clikt",$J16&lt;&gt;"GOOD")</formula>
    </cfRule>
    <cfRule type="expression" dxfId="141" priority="168">
      <formula>$J16="GOOD"</formula>
    </cfRule>
  </conditionalFormatting>
  <conditionalFormatting sqref="G17">
    <cfRule type="expression" dxfId="140" priority="165">
      <formula>AND($A17="clikt",$J17&lt;&gt;"GOOD")</formula>
    </cfRule>
    <cfRule type="expression" dxfId="139" priority="166">
      <formula>$J17="GOOD"</formula>
    </cfRule>
  </conditionalFormatting>
  <conditionalFormatting sqref="G18">
    <cfRule type="expression" dxfId="138" priority="163">
      <formula>AND($A18="clikt",$J18&lt;&gt;"GOOD")</formula>
    </cfRule>
    <cfRule type="expression" dxfId="137" priority="164">
      <formula>$J18="GOOD"</formula>
    </cfRule>
  </conditionalFormatting>
  <conditionalFormatting sqref="G19">
    <cfRule type="expression" dxfId="136" priority="161">
      <formula>AND($A19="clikt",$J19&lt;&gt;"GOOD")</formula>
    </cfRule>
    <cfRule type="expression" dxfId="135" priority="162">
      <formula>$J19="GOOD"</formula>
    </cfRule>
  </conditionalFormatting>
  <conditionalFormatting sqref="G20">
    <cfRule type="expression" dxfId="134" priority="159">
      <formula>AND($A20="clikt",$J20&lt;&gt;"GOOD")</formula>
    </cfRule>
    <cfRule type="expression" dxfId="133" priority="160">
      <formula>$J20="GOOD"</formula>
    </cfRule>
  </conditionalFormatting>
  <conditionalFormatting sqref="G21">
    <cfRule type="expression" dxfId="132" priority="157">
      <formula>AND($A21="clikt",$J21&lt;&gt;"GOOD")</formula>
    </cfRule>
    <cfRule type="expression" dxfId="131" priority="158">
      <formula>$J21="GOOD"</formula>
    </cfRule>
  </conditionalFormatting>
  <conditionalFormatting sqref="G22">
    <cfRule type="expression" dxfId="130" priority="155">
      <formula>AND($A22="clikt",$J22&lt;&gt;"GOOD")</formula>
    </cfRule>
    <cfRule type="expression" dxfId="129" priority="156">
      <formula>$J22="GOOD"</formula>
    </cfRule>
  </conditionalFormatting>
  <conditionalFormatting sqref="G23">
    <cfRule type="expression" dxfId="128" priority="153">
      <formula>AND($A23="clikt",$J23&lt;&gt;"GOOD")</formula>
    </cfRule>
    <cfRule type="expression" dxfId="127" priority="154">
      <formula>$J23="GOOD"</formula>
    </cfRule>
  </conditionalFormatting>
  <conditionalFormatting sqref="G24">
    <cfRule type="expression" dxfId="126" priority="151">
      <formula>AND($A24="clikt",$J24&lt;&gt;"GOOD")</formula>
    </cfRule>
    <cfRule type="expression" dxfId="125" priority="152">
      <formula>$J24="GOOD"</formula>
    </cfRule>
  </conditionalFormatting>
  <conditionalFormatting sqref="G25">
    <cfRule type="expression" dxfId="124" priority="149">
      <formula>AND($A25="clikt",$J25&lt;&gt;"GOOD")</formula>
    </cfRule>
    <cfRule type="expression" dxfId="123" priority="150">
      <formula>$J25="GOOD"</formula>
    </cfRule>
  </conditionalFormatting>
  <conditionalFormatting sqref="G26">
    <cfRule type="expression" dxfId="122" priority="147">
      <formula>AND($A26="clikt",$J26&lt;&gt;"GOOD")</formula>
    </cfRule>
    <cfRule type="expression" dxfId="121" priority="148">
      <formula>$J26="GOOD"</formula>
    </cfRule>
  </conditionalFormatting>
  <conditionalFormatting sqref="G27">
    <cfRule type="expression" dxfId="120" priority="145">
      <formula>AND($A27="clikt",$J27&lt;&gt;"GOOD")</formula>
    </cfRule>
    <cfRule type="expression" dxfId="119" priority="146">
      <formula>$J27="GOOD"</formula>
    </cfRule>
  </conditionalFormatting>
  <conditionalFormatting sqref="G28">
    <cfRule type="expression" dxfId="118" priority="143">
      <formula>AND($A28="clikt",$J28&lt;&gt;"GOOD")</formula>
    </cfRule>
    <cfRule type="expression" dxfId="117" priority="144">
      <formula>$J28="GOOD"</formula>
    </cfRule>
  </conditionalFormatting>
  <conditionalFormatting sqref="G29">
    <cfRule type="expression" dxfId="116" priority="141">
      <formula>AND($A29="clikt",$J29&lt;&gt;"GOOD")</formula>
    </cfRule>
    <cfRule type="expression" dxfId="115" priority="142">
      <formula>$J29="GOOD"</formula>
    </cfRule>
  </conditionalFormatting>
  <conditionalFormatting sqref="H8">
    <cfRule type="expression" dxfId="114" priority="139">
      <formula>AND($A8="clikt",$J8&lt;&gt;"GOOD")</formula>
    </cfRule>
    <cfRule type="expression" dxfId="113" priority="140">
      <formula>$J8="GOOD"</formula>
    </cfRule>
  </conditionalFormatting>
  <conditionalFormatting sqref="H9">
    <cfRule type="expression" dxfId="112" priority="137">
      <formula>AND($A9="clikt",$J9&lt;&gt;"GOOD")</formula>
    </cfRule>
    <cfRule type="expression" dxfId="111" priority="138">
      <formula>$J9="GOOD"</formula>
    </cfRule>
  </conditionalFormatting>
  <conditionalFormatting sqref="H10">
    <cfRule type="expression" dxfId="110" priority="135">
      <formula>AND($A10="clikt",$J10&lt;&gt;"GOOD")</formula>
    </cfRule>
    <cfRule type="expression" dxfId="109" priority="136">
      <formula>$J10="GOOD"</formula>
    </cfRule>
  </conditionalFormatting>
  <conditionalFormatting sqref="H11">
    <cfRule type="expression" dxfId="108" priority="133">
      <formula>AND($A11="clikt",$J11&lt;&gt;"GOOD")</formula>
    </cfRule>
    <cfRule type="expression" dxfId="107" priority="134">
      <formula>$J11="GOOD"</formula>
    </cfRule>
  </conditionalFormatting>
  <conditionalFormatting sqref="H12">
    <cfRule type="expression" dxfId="106" priority="131">
      <formula>AND($A12="clikt",$J12&lt;&gt;"GOOD")</formula>
    </cfRule>
    <cfRule type="expression" dxfId="105" priority="132">
      <formula>$J12="GOOD"</formula>
    </cfRule>
  </conditionalFormatting>
  <conditionalFormatting sqref="H13">
    <cfRule type="expression" dxfId="104" priority="129">
      <formula>AND($A13="clikt",$J13&lt;&gt;"GOOD")</formula>
    </cfRule>
    <cfRule type="expression" dxfId="103" priority="130">
      <formula>$J13="GOOD"</formula>
    </cfRule>
  </conditionalFormatting>
  <conditionalFormatting sqref="H14">
    <cfRule type="expression" dxfId="102" priority="127">
      <formula>AND($A14="clikt",$J14&lt;&gt;"GOOD")</formula>
    </cfRule>
    <cfRule type="expression" dxfId="101" priority="128">
      <formula>$J14="GOOD"</formula>
    </cfRule>
  </conditionalFormatting>
  <conditionalFormatting sqref="H15">
    <cfRule type="expression" dxfId="100" priority="125">
      <formula>AND($A15="clikt",$J15&lt;&gt;"GOOD")</formula>
    </cfRule>
    <cfRule type="expression" dxfId="99" priority="126">
      <formula>$J15="GOOD"</formula>
    </cfRule>
  </conditionalFormatting>
  <conditionalFormatting sqref="H16">
    <cfRule type="expression" dxfId="98" priority="123">
      <formula>AND($A16="clikt",$J16&lt;&gt;"GOOD")</formula>
    </cfRule>
    <cfRule type="expression" dxfId="97" priority="124">
      <formula>$J16="GOOD"</formula>
    </cfRule>
  </conditionalFormatting>
  <conditionalFormatting sqref="H17">
    <cfRule type="expression" dxfId="96" priority="121">
      <formula>AND($A17="clikt",$J17&lt;&gt;"GOOD")</formula>
    </cfRule>
    <cfRule type="expression" dxfId="95" priority="122">
      <formula>$J17="GOOD"</formula>
    </cfRule>
  </conditionalFormatting>
  <conditionalFormatting sqref="H18">
    <cfRule type="expression" dxfId="94" priority="119">
      <formula>AND($A18="clikt",$J18&lt;&gt;"GOOD")</formula>
    </cfRule>
    <cfRule type="expression" dxfId="93" priority="120">
      <formula>$J18="GOOD"</formula>
    </cfRule>
  </conditionalFormatting>
  <conditionalFormatting sqref="H19">
    <cfRule type="expression" dxfId="92" priority="117">
      <formula>AND($A19="clikt",$J19&lt;&gt;"GOOD")</formula>
    </cfRule>
    <cfRule type="expression" dxfId="91" priority="118">
      <formula>$J19="GOOD"</formula>
    </cfRule>
  </conditionalFormatting>
  <conditionalFormatting sqref="H20">
    <cfRule type="expression" dxfId="90" priority="115">
      <formula>AND($A20="clikt",$J20&lt;&gt;"GOOD")</formula>
    </cfRule>
    <cfRule type="expression" dxfId="89" priority="116">
      <formula>$J20="GOOD"</formula>
    </cfRule>
  </conditionalFormatting>
  <conditionalFormatting sqref="H21">
    <cfRule type="expression" dxfId="88" priority="113">
      <formula>AND($A21="clikt",$J21&lt;&gt;"GOOD")</formula>
    </cfRule>
    <cfRule type="expression" dxfId="87" priority="114">
      <formula>$J21="GOOD"</formula>
    </cfRule>
  </conditionalFormatting>
  <conditionalFormatting sqref="H22">
    <cfRule type="expression" dxfId="86" priority="111">
      <formula>AND($A22="clikt",$J22&lt;&gt;"GOOD")</formula>
    </cfRule>
    <cfRule type="expression" dxfId="85" priority="112">
      <formula>$J22="GOOD"</formula>
    </cfRule>
  </conditionalFormatting>
  <conditionalFormatting sqref="H23">
    <cfRule type="expression" dxfId="84" priority="109">
      <formula>AND($A23="clikt",$J23&lt;&gt;"GOOD")</formula>
    </cfRule>
    <cfRule type="expression" dxfId="83" priority="110">
      <formula>$J23="GOOD"</formula>
    </cfRule>
  </conditionalFormatting>
  <conditionalFormatting sqref="H24">
    <cfRule type="expression" dxfId="82" priority="107">
      <formula>AND($A24="clikt",$J24&lt;&gt;"GOOD")</formula>
    </cfRule>
    <cfRule type="expression" dxfId="81" priority="108">
      <formula>$J24="GOOD"</formula>
    </cfRule>
  </conditionalFormatting>
  <conditionalFormatting sqref="H25">
    <cfRule type="expression" dxfId="80" priority="105">
      <formula>AND($A25="clikt",$J25&lt;&gt;"GOOD")</formula>
    </cfRule>
    <cfRule type="expression" dxfId="79" priority="106">
      <formula>$J25="GOOD"</formula>
    </cfRule>
  </conditionalFormatting>
  <conditionalFormatting sqref="H26">
    <cfRule type="expression" dxfId="78" priority="103">
      <formula>AND($A26="clikt",$J26&lt;&gt;"GOOD")</formula>
    </cfRule>
    <cfRule type="expression" dxfId="77" priority="104">
      <formula>$J26="GOOD"</formula>
    </cfRule>
  </conditionalFormatting>
  <conditionalFormatting sqref="H27">
    <cfRule type="expression" dxfId="76" priority="101">
      <formula>AND($A27="clikt",$J27&lt;&gt;"GOOD")</formula>
    </cfRule>
    <cfRule type="expression" dxfId="75" priority="102">
      <formula>$J27="GOOD"</formula>
    </cfRule>
  </conditionalFormatting>
  <conditionalFormatting sqref="H28">
    <cfRule type="expression" dxfId="74" priority="99">
      <formula>AND($A28="clikt",$J28&lt;&gt;"GOOD")</formula>
    </cfRule>
    <cfRule type="expression" dxfId="73" priority="100">
      <formula>$J28="GOOD"</formula>
    </cfRule>
  </conditionalFormatting>
  <conditionalFormatting sqref="H29">
    <cfRule type="expression" dxfId="72" priority="97">
      <formula>AND($A29="clikt",$J29&lt;&gt;"GOOD")</formula>
    </cfRule>
    <cfRule type="expression" dxfId="71" priority="98">
      <formula>$J29="GOOD"</formula>
    </cfRule>
  </conditionalFormatting>
  <conditionalFormatting sqref="I8">
    <cfRule type="expression" dxfId="70" priority="95">
      <formula>AND($A8="clikt",$J8&lt;&gt;"GOOD")</formula>
    </cfRule>
    <cfRule type="expression" dxfId="69" priority="96">
      <formula>$J8="GOOD"</formula>
    </cfRule>
  </conditionalFormatting>
  <conditionalFormatting sqref="I9">
    <cfRule type="expression" dxfId="68" priority="93">
      <formula>AND($A9="clikt",$J9&lt;&gt;"GOOD")</formula>
    </cfRule>
    <cfRule type="expression" dxfId="67" priority="94">
      <formula>$J9="GOOD"</formula>
    </cfRule>
  </conditionalFormatting>
  <conditionalFormatting sqref="I10">
    <cfRule type="expression" dxfId="66" priority="91">
      <formula>AND($A10="clikt",$J10&lt;&gt;"GOOD")</formula>
    </cfRule>
    <cfRule type="expression" dxfId="65" priority="92">
      <formula>$J10="GOOD"</formula>
    </cfRule>
  </conditionalFormatting>
  <conditionalFormatting sqref="I11">
    <cfRule type="expression" dxfId="64" priority="89">
      <formula>AND($A11="clikt",$J11&lt;&gt;"GOOD")</formula>
    </cfRule>
    <cfRule type="expression" dxfId="63" priority="90">
      <formula>$J11="GOOD"</formula>
    </cfRule>
  </conditionalFormatting>
  <conditionalFormatting sqref="I12">
    <cfRule type="expression" dxfId="62" priority="87">
      <formula>AND($A12="clikt",$J12&lt;&gt;"GOOD")</formula>
    </cfRule>
    <cfRule type="expression" dxfId="61" priority="88">
      <formula>$J12="GOOD"</formula>
    </cfRule>
  </conditionalFormatting>
  <conditionalFormatting sqref="I13">
    <cfRule type="expression" dxfId="60" priority="85">
      <formula>AND($A13="clikt",$J13&lt;&gt;"GOOD")</formula>
    </cfRule>
    <cfRule type="expression" dxfId="59" priority="86">
      <formula>$J13="GOOD"</formula>
    </cfRule>
  </conditionalFormatting>
  <conditionalFormatting sqref="I14">
    <cfRule type="expression" dxfId="58" priority="83">
      <formula>AND($A14="clikt",$J14&lt;&gt;"GOOD")</formula>
    </cfRule>
    <cfRule type="expression" dxfId="57" priority="84">
      <formula>$J14="GOOD"</formula>
    </cfRule>
  </conditionalFormatting>
  <conditionalFormatting sqref="I15">
    <cfRule type="expression" dxfId="56" priority="81">
      <formula>AND($A15="clikt",$J15&lt;&gt;"GOOD")</formula>
    </cfRule>
    <cfRule type="expression" dxfId="55" priority="82">
      <formula>$J15="GOOD"</formula>
    </cfRule>
  </conditionalFormatting>
  <conditionalFormatting sqref="I16">
    <cfRule type="expression" dxfId="54" priority="79">
      <formula>AND($A16="clikt",$J16&lt;&gt;"GOOD")</formula>
    </cfRule>
    <cfRule type="expression" dxfId="53" priority="80">
      <formula>$J16="GOOD"</formula>
    </cfRule>
  </conditionalFormatting>
  <conditionalFormatting sqref="I17">
    <cfRule type="expression" dxfId="52" priority="77">
      <formula>AND($A17="clikt",$J17&lt;&gt;"GOOD")</formula>
    </cfRule>
    <cfRule type="expression" dxfId="51" priority="78">
      <formula>$J17="GOOD"</formula>
    </cfRule>
  </conditionalFormatting>
  <conditionalFormatting sqref="I18">
    <cfRule type="expression" dxfId="50" priority="75">
      <formula>AND($A18="clikt",$J18&lt;&gt;"GOOD")</formula>
    </cfRule>
    <cfRule type="expression" dxfId="49" priority="76">
      <formula>$J18="GOOD"</formula>
    </cfRule>
  </conditionalFormatting>
  <conditionalFormatting sqref="I19">
    <cfRule type="expression" dxfId="48" priority="73">
      <formula>AND($A19="clikt",$J19&lt;&gt;"GOOD")</formula>
    </cfRule>
    <cfRule type="expression" dxfId="47" priority="74">
      <formula>$J19="GOOD"</formula>
    </cfRule>
  </conditionalFormatting>
  <conditionalFormatting sqref="I20">
    <cfRule type="expression" dxfId="46" priority="71">
      <formula>AND($A20="clikt",$J20&lt;&gt;"GOOD")</formula>
    </cfRule>
    <cfRule type="expression" dxfId="45" priority="72">
      <formula>$J20="GOOD"</formula>
    </cfRule>
  </conditionalFormatting>
  <conditionalFormatting sqref="I21">
    <cfRule type="expression" dxfId="44" priority="69">
      <formula>AND($A21="clikt",$J21&lt;&gt;"GOOD")</formula>
    </cfRule>
    <cfRule type="expression" dxfId="43" priority="70">
      <formula>$J21="GOOD"</formula>
    </cfRule>
  </conditionalFormatting>
  <conditionalFormatting sqref="I22">
    <cfRule type="expression" dxfId="42" priority="67">
      <formula>AND($A22="clikt",$J22&lt;&gt;"GOOD")</formula>
    </cfRule>
    <cfRule type="expression" dxfId="41" priority="68">
      <formula>$J22="GOOD"</formula>
    </cfRule>
  </conditionalFormatting>
  <conditionalFormatting sqref="I23">
    <cfRule type="expression" dxfId="40" priority="65">
      <formula>AND($A23="clikt",$J23&lt;&gt;"GOOD")</formula>
    </cfRule>
    <cfRule type="expression" dxfId="39" priority="66">
      <formula>$J23="GOOD"</formula>
    </cfRule>
  </conditionalFormatting>
  <conditionalFormatting sqref="I24">
    <cfRule type="expression" dxfId="38" priority="63">
      <formula>AND($A24="clikt",$J24&lt;&gt;"GOOD")</formula>
    </cfRule>
    <cfRule type="expression" dxfId="37" priority="64">
      <formula>$J24="GOOD"</formula>
    </cfRule>
  </conditionalFormatting>
  <conditionalFormatting sqref="I25">
    <cfRule type="expression" dxfId="36" priority="61">
      <formula>AND($A25="clikt",$J25&lt;&gt;"GOOD")</formula>
    </cfRule>
    <cfRule type="expression" dxfId="35" priority="62">
      <formula>$J25="GOOD"</formula>
    </cfRule>
  </conditionalFormatting>
  <conditionalFormatting sqref="I26">
    <cfRule type="expression" dxfId="34" priority="59">
      <formula>AND($A26="clikt",$J26&lt;&gt;"GOOD")</formula>
    </cfRule>
    <cfRule type="expression" dxfId="33" priority="60">
      <formula>$J26="GOOD"</formula>
    </cfRule>
  </conditionalFormatting>
  <conditionalFormatting sqref="I27">
    <cfRule type="expression" dxfId="32" priority="57">
      <formula>AND($A27="clikt",$J27&lt;&gt;"GOOD")</formula>
    </cfRule>
    <cfRule type="expression" dxfId="31" priority="58">
      <formula>$J27="GOOD"</formula>
    </cfRule>
  </conditionalFormatting>
  <conditionalFormatting sqref="I28">
    <cfRule type="expression" dxfId="30" priority="55">
      <formula>AND($A28="clikt",$J28&lt;&gt;"GOOD")</formula>
    </cfRule>
    <cfRule type="expression" dxfId="29" priority="56">
      <formula>$J28="GOOD"</formula>
    </cfRule>
  </conditionalFormatting>
  <conditionalFormatting sqref="I29">
    <cfRule type="expression" dxfId="28" priority="53">
      <formula>AND($A29="clikt",$J29&lt;&gt;"GOOD")</formula>
    </cfRule>
    <cfRule type="expression" dxfId="27" priority="54">
      <formula>$J29="GOOD"</formula>
    </cfRule>
  </conditionalFormatting>
  <conditionalFormatting sqref="J8">
    <cfRule type="cellIs" priority="51" operator="between">
      <formula>1</formula>
      <formula>2</formula>
    </cfRule>
    <cfRule type="cellIs" dxfId="26" priority="52" operator="equal">
      <formula>"""GOOD"""</formula>
    </cfRule>
  </conditionalFormatting>
  <conditionalFormatting sqref="J9">
    <cfRule type="cellIs" priority="49" operator="between">
      <formula>1</formula>
      <formula>2</formula>
    </cfRule>
    <cfRule type="cellIs" dxfId="25" priority="50" operator="equal">
      <formula>"""GOOD"""</formula>
    </cfRule>
  </conditionalFormatting>
  <conditionalFormatting sqref="J10">
    <cfRule type="cellIs" priority="47" operator="between">
      <formula>1</formula>
      <formula>2</formula>
    </cfRule>
    <cfRule type="cellIs" dxfId="24" priority="48" operator="equal">
      <formula>"""GOOD"""</formula>
    </cfRule>
  </conditionalFormatting>
  <conditionalFormatting sqref="J11">
    <cfRule type="cellIs" priority="45" operator="between">
      <formula>1</formula>
      <formula>2</formula>
    </cfRule>
    <cfRule type="cellIs" dxfId="23" priority="46" operator="equal">
      <formula>"""GOOD"""</formula>
    </cfRule>
  </conditionalFormatting>
  <conditionalFormatting sqref="J12">
    <cfRule type="cellIs" priority="43" operator="between">
      <formula>1</formula>
      <formula>2</formula>
    </cfRule>
    <cfRule type="cellIs" dxfId="22" priority="44" operator="equal">
      <formula>"""GOOD"""</formula>
    </cfRule>
  </conditionalFormatting>
  <conditionalFormatting sqref="J13">
    <cfRule type="cellIs" priority="41" operator="between">
      <formula>1</formula>
      <formula>2</formula>
    </cfRule>
    <cfRule type="cellIs" dxfId="21" priority="42" operator="equal">
      <formula>"""GOOD"""</formula>
    </cfRule>
  </conditionalFormatting>
  <conditionalFormatting sqref="J14">
    <cfRule type="cellIs" priority="39" operator="between">
      <formula>1</formula>
      <formula>2</formula>
    </cfRule>
    <cfRule type="cellIs" dxfId="20" priority="40" operator="equal">
      <formula>"""GOOD"""</formula>
    </cfRule>
  </conditionalFormatting>
  <conditionalFormatting sqref="J15">
    <cfRule type="cellIs" priority="37" operator="between">
      <formula>1</formula>
      <formula>2</formula>
    </cfRule>
    <cfRule type="cellIs" dxfId="19" priority="38" operator="equal">
      <formula>"""GOOD"""</formula>
    </cfRule>
  </conditionalFormatting>
  <conditionalFormatting sqref="J16">
    <cfRule type="cellIs" priority="35" operator="between">
      <formula>1</formula>
      <formula>2</formula>
    </cfRule>
    <cfRule type="cellIs" dxfId="18" priority="36" operator="equal">
      <formula>"""GOOD"""</formula>
    </cfRule>
  </conditionalFormatting>
  <conditionalFormatting sqref="J17">
    <cfRule type="cellIs" priority="33" operator="between">
      <formula>1</formula>
      <formula>2</formula>
    </cfRule>
    <cfRule type="cellIs" dxfId="17" priority="34" operator="equal">
      <formula>"""GOOD"""</formula>
    </cfRule>
  </conditionalFormatting>
  <conditionalFormatting sqref="J18">
    <cfRule type="cellIs" priority="31" operator="between">
      <formula>1</formula>
      <formula>2</formula>
    </cfRule>
    <cfRule type="cellIs" dxfId="16" priority="32" operator="equal">
      <formula>"""GOOD"""</formula>
    </cfRule>
  </conditionalFormatting>
  <conditionalFormatting sqref="J19">
    <cfRule type="cellIs" priority="29" operator="between">
      <formula>1</formula>
      <formula>2</formula>
    </cfRule>
    <cfRule type="cellIs" dxfId="15" priority="30" operator="equal">
      <formula>"""GOOD"""</formula>
    </cfRule>
  </conditionalFormatting>
  <conditionalFormatting sqref="J20">
    <cfRule type="cellIs" priority="27" operator="between">
      <formula>1</formula>
      <formula>2</formula>
    </cfRule>
    <cfRule type="cellIs" dxfId="14" priority="28" operator="equal">
      <formula>"""GOOD"""</formula>
    </cfRule>
  </conditionalFormatting>
  <conditionalFormatting sqref="J21">
    <cfRule type="cellIs" priority="25" operator="between">
      <formula>1</formula>
      <formula>2</formula>
    </cfRule>
    <cfRule type="cellIs" dxfId="13" priority="26" operator="equal">
      <formula>"""GOOD"""</formula>
    </cfRule>
  </conditionalFormatting>
  <conditionalFormatting sqref="J22">
    <cfRule type="cellIs" priority="23" operator="between">
      <formula>1</formula>
      <formula>2</formula>
    </cfRule>
    <cfRule type="cellIs" dxfId="12" priority="24" operator="equal">
      <formula>"""GOOD"""</formula>
    </cfRule>
  </conditionalFormatting>
  <conditionalFormatting sqref="J23">
    <cfRule type="cellIs" priority="21" operator="between">
      <formula>1</formula>
      <formula>2</formula>
    </cfRule>
    <cfRule type="cellIs" dxfId="11" priority="22" operator="equal">
      <formula>"""GOOD"""</formula>
    </cfRule>
  </conditionalFormatting>
  <conditionalFormatting sqref="J24">
    <cfRule type="cellIs" priority="19" operator="between">
      <formula>1</formula>
      <formula>2</formula>
    </cfRule>
    <cfRule type="cellIs" dxfId="10" priority="20" operator="equal">
      <formula>"""GOOD"""</formula>
    </cfRule>
  </conditionalFormatting>
  <conditionalFormatting sqref="J25">
    <cfRule type="cellIs" priority="17" operator="between">
      <formula>1</formula>
      <formula>2</formula>
    </cfRule>
    <cfRule type="cellIs" dxfId="9" priority="18" operator="equal">
      <formula>"""GOOD"""</formula>
    </cfRule>
  </conditionalFormatting>
  <conditionalFormatting sqref="J26">
    <cfRule type="cellIs" priority="15" operator="between">
      <formula>1</formula>
      <formula>2</formula>
    </cfRule>
    <cfRule type="cellIs" dxfId="8" priority="16" operator="equal">
      <formula>"""GOOD"""</formula>
    </cfRule>
  </conditionalFormatting>
  <conditionalFormatting sqref="J27">
    <cfRule type="cellIs" priority="13" operator="between">
      <formula>1</formula>
      <formula>2</formula>
    </cfRule>
    <cfRule type="cellIs" dxfId="7" priority="14" operator="equal">
      <formula>"""GOOD"""</formula>
    </cfRule>
  </conditionalFormatting>
  <conditionalFormatting sqref="J28">
    <cfRule type="cellIs" priority="11" operator="between">
      <formula>1</formula>
      <formula>2</formula>
    </cfRule>
    <cfRule type="cellIs" dxfId="6" priority="12" operator="equal">
      <formula>"""GOOD"""</formula>
    </cfRule>
  </conditionalFormatting>
  <conditionalFormatting sqref="J29">
    <cfRule type="cellIs" priority="9" operator="between">
      <formula>1</formula>
      <formula>2</formula>
    </cfRule>
    <cfRule type="cellIs" dxfId="5" priority="10" operator="equal">
      <formula>"""GOOD"""</formula>
    </cfRule>
  </conditionalFormatting>
  <conditionalFormatting sqref="J30">
    <cfRule type="cellIs" priority="7" operator="between">
      <formula>1</formula>
      <formula>2</formula>
    </cfRule>
    <cfRule type="cellIs" dxfId="4" priority="8" operator="equal">
      <formula>"""GOOD"""</formula>
    </cfRule>
  </conditionalFormatting>
  <conditionalFormatting sqref="J31">
    <cfRule type="cellIs" priority="5" operator="between">
      <formula>1</formula>
      <formula>2</formula>
    </cfRule>
    <cfRule type="cellIs" dxfId="3" priority="6" operator="equal">
      <formula>"""GOOD"""</formula>
    </cfRule>
  </conditionalFormatting>
  <conditionalFormatting sqref="J32">
    <cfRule type="cellIs" priority="3" operator="between">
      <formula>1</formula>
      <formula>2</formula>
    </cfRule>
    <cfRule type="cellIs" dxfId="2" priority="4" operator="equal">
      <formula>"""GOOD"""</formula>
    </cfRule>
  </conditionalFormatting>
  <conditionalFormatting sqref="G15">
    <cfRule type="expression" dxfId="1" priority="1">
      <formula>AND($A15="clikt",$J15&lt;&gt;"GOOD")</formula>
    </cfRule>
    <cfRule type="expression" dxfId="0" priority="2">
      <formula>$J15="GOOD"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2:L32"/>
  <sheetViews>
    <sheetView showGridLines="0" workbookViewId="0">
      <selection activeCell="M12" sqref="M12"/>
    </sheetView>
  </sheetViews>
  <sheetFormatPr defaultRowHeight="18"/>
  <cols>
    <col min="2" max="2" width="8.88671875" style="45"/>
    <col min="3" max="3" width="8.88671875" style="43"/>
    <col min="5" max="5" width="8.88671875" style="45"/>
    <col min="11" max="11" width="8.88671875" style="6"/>
  </cols>
  <sheetData>
    <row r="2" spans="1:12" ht="21">
      <c r="A2" s="72" t="s">
        <v>86</v>
      </c>
      <c r="B2" s="72"/>
      <c r="C2" s="72"/>
      <c r="D2" s="72"/>
      <c r="E2" s="72"/>
    </row>
    <row r="4" spans="1:12">
      <c r="B4" s="47">
        <v>0</v>
      </c>
      <c r="C4" s="43" t="s">
        <v>87</v>
      </c>
      <c r="F4" s="43" t="s">
        <v>91</v>
      </c>
      <c r="H4" s="45"/>
      <c r="I4" s="43" t="s">
        <v>92</v>
      </c>
      <c r="K4" s="6" t="s">
        <v>101</v>
      </c>
    </row>
    <row r="5" spans="1:12">
      <c r="B5" s="73" t="s">
        <v>90</v>
      </c>
      <c r="C5" s="73"/>
      <c r="E5" s="73" t="s">
        <v>93</v>
      </c>
      <c r="F5" s="73"/>
      <c r="H5" s="73" t="s">
        <v>94</v>
      </c>
      <c r="I5" s="73"/>
      <c r="K5" s="74" t="s">
        <v>102</v>
      </c>
      <c r="L5" s="74"/>
    </row>
    <row r="6" spans="1:12">
      <c r="B6" s="46">
        <v>1</v>
      </c>
      <c r="C6" s="44" t="s">
        <v>54</v>
      </c>
      <c r="E6" s="46">
        <v>1</v>
      </c>
      <c r="F6" s="44" t="s">
        <v>3</v>
      </c>
      <c r="H6" s="46">
        <v>1</v>
      </c>
      <c r="I6" s="44" t="s">
        <v>13</v>
      </c>
      <c r="J6" s="46">
        <v>1</v>
      </c>
      <c r="K6" s="44" t="s">
        <v>44</v>
      </c>
    </row>
    <row r="7" spans="1:12">
      <c r="B7" s="46">
        <v>2</v>
      </c>
      <c r="C7" s="44" t="s">
        <v>23</v>
      </c>
      <c r="E7" s="46">
        <v>2</v>
      </c>
      <c r="F7" s="44" t="s">
        <v>17</v>
      </c>
      <c r="H7" s="46">
        <v>2</v>
      </c>
      <c r="I7" s="44" t="s">
        <v>7</v>
      </c>
      <c r="J7" s="46">
        <v>2</v>
      </c>
      <c r="K7" s="44" t="s">
        <v>19</v>
      </c>
    </row>
    <row r="8" spans="1:12">
      <c r="B8" s="46">
        <v>3</v>
      </c>
      <c r="C8" s="44" t="s">
        <v>4</v>
      </c>
      <c r="E8" s="46">
        <v>3</v>
      </c>
      <c r="F8" s="44" t="s">
        <v>4</v>
      </c>
      <c r="H8" s="46">
        <v>3</v>
      </c>
      <c r="I8" s="44" t="s">
        <v>1</v>
      </c>
      <c r="J8" s="46">
        <v>3</v>
      </c>
      <c r="K8" s="44" t="s">
        <v>46</v>
      </c>
    </row>
    <row r="9" spans="1:12">
      <c r="B9" s="46">
        <v>4</v>
      </c>
      <c r="C9" s="44" t="s">
        <v>62</v>
      </c>
      <c r="E9" s="46">
        <v>4</v>
      </c>
      <c r="F9" s="44" t="s">
        <v>13</v>
      </c>
      <c r="H9" s="46">
        <v>4</v>
      </c>
      <c r="I9" s="44" t="s">
        <v>3</v>
      </c>
      <c r="J9" s="46">
        <v>4</v>
      </c>
      <c r="K9" s="44" t="s">
        <v>20</v>
      </c>
    </row>
    <row r="10" spans="1:12">
      <c r="B10" s="46">
        <v>5</v>
      </c>
      <c r="C10" s="44" t="s">
        <v>31</v>
      </c>
      <c r="E10" s="46">
        <v>5</v>
      </c>
      <c r="F10" s="44" t="s">
        <v>78</v>
      </c>
      <c r="H10" s="46">
        <v>5</v>
      </c>
      <c r="I10" s="44" t="s">
        <v>13</v>
      </c>
      <c r="J10" s="46">
        <v>5</v>
      </c>
      <c r="K10" s="44" t="s">
        <v>53</v>
      </c>
    </row>
    <row r="11" spans="1:12">
      <c r="B11" s="46">
        <v>6</v>
      </c>
      <c r="C11" s="44" t="s">
        <v>10</v>
      </c>
      <c r="E11" s="46">
        <v>6</v>
      </c>
      <c r="F11" s="44" t="s">
        <v>37</v>
      </c>
      <c r="H11" s="46">
        <v>6</v>
      </c>
      <c r="I11" s="44" t="s">
        <v>16</v>
      </c>
      <c r="J11" s="46">
        <v>6</v>
      </c>
      <c r="K11" s="44" t="s">
        <v>22</v>
      </c>
    </row>
    <row r="12" spans="1:12">
      <c r="B12" s="46">
        <v>7</v>
      </c>
      <c r="C12" s="44" t="s">
        <v>51</v>
      </c>
      <c r="E12" s="46">
        <v>7</v>
      </c>
      <c r="F12" s="44" t="s">
        <v>30</v>
      </c>
      <c r="H12" s="46">
        <v>7</v>
      </c>
      <c r="I12" s="44" t="s">
        <v>19</v>
      </c>
      <c r="J12" s="46">
        <v>7</v>
      </c>
      <c r="K12" s="44" t="s">
        <v>79</v>
      </c>
    </row>
    <row r="13" spans="1:12">
      <c r="B13" s="46">
        <v>8</v>
      </c>
      <c r="C13" s="44" t="s">
        <v>19</v>
      </c>
      <c r="E13" s="46">
        <v>8</v>
      </c>
      <c r="F13" s="44" t="s">
        <v>36</v>
      </c>
      <c r="H13" s="46">
        <v>8</v>
      </c>
      <c r="I13" s="44" t="s">
        <v>21</v>
      </c>
      <c r="J13" s="46">
        <v>8</v>
      </c>
      <c r="K13" s="44" t="s">
        <v>27</v>
      </c>
    </row>
    <row r="14" spans="1:12">
      <c r="B14" s="46">
        <v>9</v>
      </c>
      <c r="C14" s="44" t="s">
        <v>68</v>
      </c>
      <c r="E14" s="46">
        <v>9</v>
      </c>
      <c r="F14" s="44" t="s">
        <v>46</v>
      </c>
      <c r="H14" s="46">
        <v>9</v>
      </c>
      <c r="I14" s="44" t="s">
        <v>26</v>
      </c>
      <c r="J14" s="46">
        <v>9</v>
      </c>
      <c r="K14" s="44" t="s">
        <v>9</v>
      </c>
    </row>
    <row r="15" spans="1:12">
      <c r="B15" s="46">
        <v>10</v>
      </c>
      <c r="C15" s="44" t="s">
        <v>45</v>
      </c>
      <c r="E15" s="46">
        <v>10</v>
      </c>
      <c r="F15" s="44" t="s">
        <v>54</v>
      </c>
      <c r="H15" s="46">
        <v>10</v>
      </c>
      <c r="I15" s="44" t="s">
        <v>32</v>
      </c>
      <c r="J15" s="46">
        <v>10</v>
      </c>
      <c r="K15" s="44" t="s">
        <v>47</v>
      </c>
    </row>
    <row r="16" spans="1:12">
      <c r="B16" s="46">
        <v>11</v>
      </c>
      <c r="C16" s="44" t="s">
        <v>44</v>
      </c>
      <c r="E16" s="46">
        <v>11</v>
      </c>
      <c r="F16" s="44" t="s">
        <v>52</v>
      </c>
      <c r="H16" s="46">
        <v>11</v>
      </c>
      <c r="I16" s="44" t="s">
        <v>29</v>
      </c>
    </row>
    <row r="17" spans="2:11">
      <c r="B17" s="46">
        <v>12</v>
      </c>
      <c r="C17" s="44" t="s">
        <v>48</v>
      </c>
      <c r="E17" s="46">
        <v>12</v>
      </c>
      <c r="F17" s="44" t="s">
        <v>58</v>
      </c>
      <c r="H17" s="46">
        <v>12</v>
      </c>
      <c r="I17" s="44" t="s">
        <v>80</v>
      </c>
    </row>
    <row r="18" spans="2:11">
      <c r="B18" s="46">
        <v>13</v>
      </c>
      <c r="C18" s="44" t="s">
        <v>15</v>
      </c>
      <c r="E18" s="46">
        <v>13</v>
      </c>
      <c r="F18" s="44" t="s">
        <v>57</v>
      </c>
      <c r="H18" s="46">
        <v>13</v>
      </c>
      <c r="I18" s="44" t="s">
        <v>30</v>
      </c>
    </row>
    <row r="19" spans="2:11">
      <c r="B19" s="46">
        <v>14</v>
      </c>
      <c r="C19" s="44" t="s">
        <v>0</v>
      </c>
      <c r="E19" s="46">
        <v>14</v>
      </c>
      <c r="F19" s="44" t="s">
        <v>62</v>
      </c>
      <c r="H19" s="46">
        <v>14</v>
      </c>
      <c r="I19" s="44" t="s">
        <v>31</v>
      </c>
    </row>
    <row r="20" spans="2:11">
      <c r="B20" s="46">
        <v>15</v>
      </c>
      <c r="C20" s="44" t="s">
        <v>58</v>
      </c>
      <c r="E20" s="46">
        <v>15</v>
      </c>
      <c r="F20" s="44" t="s">
        <v>65</v>
      </c>
      <c r="H20" s="46">
        <v>15</v>
      </c>
      <c r="I20" s="44" t="s">
        <v>29</v>
      </c>
    </row>
    <row r="21" spans="2:11">
      <c r="B21" s="46">
        <v>16</v>
      </c>
      <c r="C21" s="44" t="s">
        <v>36</v>
      </c>
      <c r="H21" s="46">
        <v>16</v>
      </c>
      <c r="I21" s="44" t="s">
        <v>52</v>
      </c>
    </row>
    <row r="22" spans="2:11">
      <c r="B22" s="46">
        <v>17</v>
      </c>
      <c r="C22" s="44" t="s">
        <v>32</v>
      </c>
      <c r="H22" s="46">
        <v>17</v>
      </c>
      <c r="I22" s="44" t="s">
        <v>55</v>
      </c>
    </row>
    <row r="23" spans="2:11">
      <c r="B23" s="46">
        <v>18</v>
      </c>
      <c r="C23" s="44" t="s">
        <v>66</v>
      </c>
      <c r="H23" s="46">
        <v>18</v>
      </c>
      <c r="I23" s="44" t="s">
        <v>53</v>
      </c>
    </row>
    <row r="24" spans="2:11">
      <c r="B24" s="46">
        <v>19</v>
      </c>
      <c r="C24" s="44" t="s">
        <v>59</v>
      </c>
      <c r="H24" s="46">
        <v>19</v>
      </c>
      <c r="I24" s="44" t="s">
        <v>46</v>
      </c>
    </row>
    <row r="25" spans="2:11">
      <c r="B25" s="46">
        <v>20</v>
      </c>
      <c r="C25" s="44" t="s">
        <v>13</v>
      </c>
      <c r="H25" s="46">
        <v>20</v>
      </c>
      <c r="I25" s="44" t="s">
        <v>53</v>
      </c>
    </row>
    <row r="26" spans="2:11">
      <c r="B26" s="46">
        <v>21</v>
      </c>
      <c r="C26" s="44" t="s">
        <v>0</v>
      </c>
      <c r="H26" s="46">
        <v>21</v>
      </c>
      <c r="I26" s="44" t="s">
        <v>63</v>
      </c>
    </row>
    <row r="27" spans="2:11">
      <c r="B27" s="46">
        <v>22</v>
      </c>
      <c r="C27" s="44" t="s">
        <v>37</v>
      </c>
      <c r="H27" s="46">
        <v>22</v>
      </c>
      <c r="I27" s="44" t="s">
        <v>67</v>
      </c>
    </row>
    <row r="28" spans="2:11">
      <c r="B28" s="46">
        <v>23</v>
      </c>
      <c r="C28" s="44" t="s">
        <v>30</v>
      </c>
      <c r="H28" s="46">
        <v>23</v>
      </c>
      <c r="I28" s="44" t="s">
        <v>66</v>
      </c>
    </row>
    <row r="29" spans="2:11">
      <c r="B29" s="46">
        <v>24</v>
      </c>
      <c r="C29" s="44" t="s">
        <v>16</v>
      </c>
      <c r="H29" s="46">
        <v>24</v>
      </c>
      <c r="I29" s="44" t="s">
        <v>65</v>
      </c>
    </row>
    <row r="30" spans="2:11">
      <c r="B30" s="46">
        <v>25</v>
      </c>
      <c r="C30" s="44" t="s">
        <v>27</v>
      </c>
      <c r="H30" s="46">
        <v>25</v>
      </c>
      <c r="I30" s="44" t="s">
        <v>63</v>
      </c>
    </row>
    <row r="31" spans="2:11">
      <c r="H31" s="46">
        <v>26</v>
      </c>
      <c r="I31" s="44" t="s">
        <v>58</v>
      </c>
    </row>
    <row r="32" spans="2:11">
      <c r="K32" s="6" t="s">
        <v>75</v>
      </c>
    </row>
  </sheetData>
  <mergeCells count="5">
    <mergeCell ref="A2:E2"/>
    <mergeCell ref="B5:C5"/>
    <mergeCell ref="E5:F5"/>
    <mergeCell ref="H5:I5"/>
    <mergeCell ref="K5:L5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A Tier 1</vt:lpstr>
      <vt:lpstr>Phonics A Tier 2</vt:lpstr>
      <vt:lpstr>Phonics A Tier 4</vt:lpstr>
      <vt:lpstr>Phonics A Tier 3</vt:lpstr>
      <vt:lpstr>Teacher Lists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2020-02-02T19:00:48Z</dcterms:modified>
</cp:coreProperties>
</file>