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A121321D-30F6-41A1-8096-83E3A9EC9861}" xr6:coauthVersionLast="43" xr6:coauthVersionMax="43" xr10:uidLastSave="{00000000-0000-0000-0000-000000000000}"/>
  <bookViews>
    <workbookView xWindow="-108" yWindow="-108" windowWidth="23256" windowHeight="12576" firstSheet="3" activeTab="3" xr2:uid="{00000000-000D-0000-FFFF-FFFF00000000}"/>
  </bookViews>
  <sheets>
    <sheet name="one to __" sheetId="6" r:id="rId1"/>
    <sheet name="Sheet1" sheetId="9" r:id="rId2"/>
    <sheet name="1 to __" sheetId="2" r:id="rId3"/>
    <sheet name="fill_in_1_to_one" sheetId="11" r:id="rId4"/>
  </sheets>
  <externalReferences>
    <externalReference r:id="rId5"/>
  </externalReferences>
  <definedNames>
    <definedName name="_xlnm.Print_Area" localSheetId="2">'1 to __'!$A$1:$M$14</definedName>
    <definedName name="_xlnm.Print_Area" localSheetId="0">'one to __'!$B$1:$I$15</definedName>
  </definedNam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6" i="11" l="1"/>
  <c r="B17" i="11" s="1"/>
  <c r="B18" i="11" s="1"/>
  <c r="B19" i="11" s="1"/>
  <c r="B20" i="11" s="1"/>
  <c r="B21" i="11" s="1"/>
  <c r="B22" i="11" s="1"/>
  <c r="B23" i="11" s="1"/>
  <c r="B24" i="11" s="1"/>
  <c r="B25" i="11" s="1"/>
  <c r="C37" i="11"/>
  <c r="C40" i="11"/>
  <c r="C30" i="11"/>
  <c r="C22" i="11"/>
  <c r="C25" i="11"/>
  <c r="K16" i="11"/>
  <c r="C36" i="11"/>
  <c r="C32" i="11"/>
  <c r="P16" i="11"/>
  <c r="C4" i="11"/>
  <c r="C34" i="11"/>
  <c r="C28" i="11"/>
  <c r="O16" i="11"/>
  <c r="C10" i="11"/>
  <c r="C11" i="11"/>
  <c r="Q24" i="11"/>
  <c r="L24" i="11"/>
  <c r="C23" i="11"/>
  <c r="I16" i="11"/>
  <c r="J24" i="11"/>
  <c r="C18" i="11"/>
  <c r="K24" i="11"/>
  <c r="C14" i="11"/>
  <c r="M24" i="11"/>
  <c r="L20" i="11"/>
  <c r="C38" i="11"/>
  <c r="C20" i="11"/>
  <c r="C21" i="11"/>
  <c r="C42" i="11"/>
  <c r="C6" i="11"/>
  <c r="C19" i="11"/>
  <c r="C27" i="11"/>
  <c r="N24" i="11"/>
  <c r="P20" i="11"/>
  <c r="P24" i="11"/>
  <c r="C26" i="11"/>
  <c r="C15" i="11"/>
  <c r="C8" i="11"/>
  <c r="C31" i="11"/>
  <c r="C33" i="11"/>
  <c r="K20" i="11"/>
  <c r="N16" i="11"/>
  <c r="C35" i="11"/>
  <c r="L16" i="11"/>
  <c r="O20" i="11"/>
  <c r="C16" i="11"/>
  <c r="M20" i="11"/>
  <c r="J16" i="11"/>
  <c r="J20" i="11"/>
  <c r="C13" i="11"/>
  <c r="C41" i="11"/>
  <c r="O24" i="11"/>
  <c r="I24" i="11"/>
  <c r="C39" i="11"/>
  <c r="C17" i="11"/>
  <c r="C12" i="11"/>
  <c r="C29" i="11"/>
  <c r="M16" i="11"/>
  <c r="I20" i="11"/>
  <c r="N20" i="11"/>
  <c r="C9" i="11"/>
  <c r="C7" i="11"/>
  <c r="C24" i="11"/>
  <c r="Q23" i="11" l="1"/>
  <c r="P23" i="11"/>
  <c r="O23" i="11"/>
  <c r="N23" i="11"/>
  <c r="M23" i="11"/>
  <c r="L23" i="11"/>
  <c r="K23" i="11"/>
  <c r="J23" i="11"/>
  <c r="I23" i="11"/>
  <c r="P19" i="11"/>
  <c r="O19" i="11"/>
  <c r="N19" i="11"/>
  <c r="M19" i="11"/>
  <c r="L19" i="11"/>
  <c r="K19" i="11"/>
  <c r="J19" i="11"/>
  <c r="I19" i="11"/>
  <c r="P15" i="11"/>
  <c r="O15" i="11"/>
  <c r="N15" i="11"/>
  <c r="M15" i="11"/>
  <c r="L15" i="11"/>
  <c r="K15" i="11"/>
  <c r="J15" i="11"/>
  <c r="I15" i="11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F5" i="6"/>
  <c r="D4" i="6" l="1"/>
  <c r="E4" i="6"/>
  <c r="I4" i="2"/>
  <c r="I13" i="2"/>
  <c r="I12" i="2"/>
  <c r="I11" i="2"/>
  <c r="I10" i="2"/>
  <c r="I9" i="2"/>
  <c r="I8" i="2"/>
  <c r="I7" i="2"/>
  <c r="I6" i="2"/>
  <c r="I5" i="2"/>
  <c r="D13" i="2"/>
  <c r="D11" i="2"/>
  <c r="E11" i="2"/>
  <c r="D10" i="2"/>
  <c r="E10" i="2"/>
  <c r="D9" i="2"/>
  <c r="E9" i="2"/>
  <c r="D7" i="2"/>
  <c r="E7" i="2"/>
  <c r="D6" i="2"/>
  <c r="E6" i="2"/>
  <c r="D5" i="2"/>
  <c r="E5" i="2"/>
  <c r="D4" i="2"/>
  <c r="E4" i="2"/>
  <c r="D8" i="2"/>
  <c r="E8" i="2"/>
  <c r="I13" i="6"/>
  <c r="I11" i="6"/>
  <c r="I10" i="6"/>
  <c r="I9" i="6"/>
  <c r="I8" i="6"/>
  <c r="I7" i="6"/>
  <c r="F6" i="6"/>
  <c r="I6" i="6"/>
  <c r="I5" i="6"/>
  <c r="F4" i="6"/>
  <c r="I4" i="6"/>
  <c r="D13" i="6"/>
  <c r="D11" i="6"/>
  <c r="E11" i="6"/>
  <c r="D10" i="6"/>
  <c r="E10" i="6"/>
  <c r="D9" i="6"/>
  <c r="E9" i="6"/>
  <c r="D7" i="6"/>
  <c r="E7" i="6"/>
  <c r="D6" i="6"/>
  <c r="E6" i="6"/>
  <c r="D5" i="6"/>
  <c r="E5" i="6"/>
  <c r="D8" i="6"/>
  <c r="E8" i="6"/>
  <c r="F13" i="6"/>
  <c r="F12" i="6"/>
  <c r="I12" i="6"/>
  <c r="F11" i="6"/>
  <c r="F10" i="6"/>
  <c r="F9" i="6"/>
  <c r="F8" i="6"/>
  <c r="F7" i="6"/>
  <c r="D12" i="6"/>
  <c r="D12" i="2"/>
</calcChain>
</file>

<file path=xl/sharedStrings.xml><?xml version="1.0" encoding="utf-8"?>
<sst xmlns="http://schemas.openxmlformats.org/spreadsheetml/2006/main" count="100" uniqueCount="45">
  <si>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</si>
  <si>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</si>
  <si>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</si>
  <si>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</si>
  <si>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</si>
  <si>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</si>
  <si>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</si>
  <si>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</si>
  <si>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</si>
  <si>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</si>
  <si>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</si>
  <si>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</si>
  <si>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</si>
  <si>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</si>
  <si>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</si>
  <si>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</si>
  <si>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</si>
  <si>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</si>
  <si>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</si>
  <si>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</si>
  <si>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</si>
  <si>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</si>
  <si>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</si>
  <si>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</si>
  <si>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</si>
  <si>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</si>
  <si>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</si>
  <si>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</si>
  <si>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</si>
  <si>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</si>
  <si>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</si>
  <si>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</si>
  <si>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</si>
  <si>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</si>
  <si>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</si>
  <si>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</si>
  <si>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</si>
  <si>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</si>
  <si>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</si>
  <si>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</si>
  <si>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</si>
  <si>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</si>
  <si>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Fill in one to 1</t>
  </si>
  <si>
    <t>The reverse</t>
  </si>
  <si>
    <t>task 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</si>
</sst>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omic Sans MS"/>
      <family val="4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right"/>
    </xf>
    <xf numFmtId="0" fontId="0" fillId="0" borderId="0" xfId="0" applyBorder="1" applyProtection="1"/>
    <xf numFmtId="0" fontId="2" fillId="0" borderId="0" xfId="0" applyFont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0" fillId="0" borderId="0" xfId="0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1" fillId="0" borderId="0" xfId="0" applyFont="1" applyProtection="1"/>
    <xf numFmtId="0" fontId="1" fillId="0" borderId="0" xfId="0" applyFont="1"/>
    <xf numFmtId="0" fontId="1" fillId="0" borderId="0" xfId="0" applyFont="1" applyAlignment="1" applyProtection="1">
      <alignment horizontal="center"/>
    </xf>
    <xf numFmtId="0" fontId="0" fillId="0" borderId="5" xfId="0" applyBorder="1"/>
    <xf numFmtId="0" fontId="0" fillId="0" borderId="5" xfId="0" applyBorder="1" applyProtection="1"/>
    <xf numFmtId="0" fontId="3" fillId="0" borderId="5" xfId="0" applyFont="1" applyBorder="1" applyAlignment="1" applyProtection="1">
      <alignment horizontal="center"/>
    </xf>
    <xf numFmtId="0" fontId="3" fillId="3" borderId="5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left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3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4" fillId="3" borderId="6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2" fillId="0" borderId="0" xfId="0" applyFont="1" applyBorder="1" applyAlignment="1" applyProtection="1"/>
    <xf numFmtId="0" fontId="0" fillId="0" borderId="0" xfId="0" applyAlignment="1"/>
    <xf numFmtId="0" fontId="3" fillId="2" borderId="2" xfId="0" applyFont="1" applyFill="1" applyBorder="1" applyAlignment="1" applyProtection="1"/>
    <xf numFmtId="0" fontId="0" fillId="0" borderId="0" xfId="0" applyAlignment="1" applyProtection="1"/>
    <xf numFmtId="0" fontId="3" fillId="0" borderId="0" xfId="0" applyFont="1" applyBorder="1" applyAlignment="1" applyProtection="1"/>
    <xf numFmtId="0" fontId="1" fillId="3" borderId="0" xfId="0" applyFont="1" applyFill="1" applyBorder="1" applyAlignment="1" applyProtection="1"/>
    <xf numFmtId="0" fontId="5" fillId="0" borderId="0" xfId="0" applyFont="1"/>
    <xf numFmtId="0" fontId="5" fillId="0" borderId="0" xfId="0" applyFont="1" applyProtection="1"/>
    <xf numFmtId="0" fontId="5" fillId="0" borderId="4" xfId="0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/>
    </xf>
    <xf numFmtId="0" fontId="6" fillId="2" borderId="4" xfId="0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right"/>
      <protection locked="0"/>
    </xf>
    <xf numFmtId="0" fontId="3" fillId="3" borderId="0" xfId="0" applyFont="1" applyFill="1" applyBorder="1" applyAlignment="1" applyProtection="1">
      <alignment horizontal="right"/>
      <protection locked="0"/>
    </xf>
    <xf numFmtId="0" fontId="6" fillId="3" borderId="0" xfId="0" applyFont="1" applyFill="1" applyBorder="1" applyAlignment="1" applyProtection="1">
      <alignment horizontal="center"/>
    </xf>
    <xf numFmtId="0" fontId="0" fillId="3" borderId="0" xfId="0" applyFill="1"/>
    <xf numFmtId="0" fontId="0" fillId="3" borderId="0" xfId="0" applyFill="1" applyProtection="1"/>
    <xf numFmtId="0" fontId="6" fillId="3" borderId="4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Protection="1"/>
    <xf numFmtId="0" fontId="5" fillId="3" borderId="0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horizontal="center"/>
      <protection locked="0"/>
    </xf>
    <xf numFmtId="0" fontId="0" fillId="3" borderId="0" xfId="0" applyFill="1" applyBorder="1"/>
    <xf numFmtId="0" fontId="6" fillId="2" borderId="4" xfId="0" applyFont="1" applyFill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 applyProtection="1">
      <alignment horizontal="left" vertical="center"/>
    </xf>
    <xf numFmtId="0" fontId="8" fillId="3" borderId="0" xfId="0" applyFont="1" applyFill="1"/>
    <xf numFmtId="0" fontId="8" fillId="3" borderId="0" xfId="0" applyFont="1" applyFill="1" applyProtection="1"/>
    <xf numFmtId="0" fontId="9" fillId="3" borderId="0" xfId="0" applyFont="1" applyFill="1" applyBorder="1" applyAlignment="1" applyProtection="1">
      <alignment horizontal="center"/>
    </xf>
    <xf numFmtId="0" fontId="5" fillId="0" borderId="0" xfId="0" applyFont="1" applyAlignment="1">
      <alignment horizontal="right" vertical="center"/>
    </xf>
    <xf numFmtId="0" fontId="5" fillId="0" borderId="8" xfId="0" applyFont="1" applyBorder="1" applyAlignment="1">
      <alignment horizontal="right" vertical="center"/>
    </xf>
    <xf numFmtId="0" fontId="5" fillId="0" borderId="0" xfId="0" applyFont="1" applyAlignment="1">
      <alignment vertical="center"/>
    </xf>
    <xf numFmtId="0" fontId="3" fillId="2" borderId="0" xfId="0" applyFont="1" applyFill="1" applyBorder="1" applyAlignment="1" applyProtection="1">
      <alignment horizontal="left"/>
      <protection locked="0"/>
    </xf>
    <xf numFmtId="0" fontId="7" fillId="4" borderId="7" xfId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46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121920</xdr:colOff>
      <xdr:row>5</xdr:row>
      <xdr:rowOff>0</xdr:rowOff>
    </xdr:from>
    <xdr:to>
      <xdr:col>5</xdr:col>
      <xdr:colOff>285750</xdr:colOff>
      <xdr:row>10</xdr:row>
      <xdr:rowOff>238125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DAF88DA-8985-4EAA-B6A7-AA969441C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82524">
          <a:off x="3429000" y="1325880"/>
          <a:ext cx="2457450" cy="2143125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4</xdr:row>
      <xdr:rowOff>259079</xdr:rowOff>
    </xdr:from>
    <xdr:to>
      <xdr:col>13</xdr:col>
      <xdr:colOff>346710</xdr:colOff>
      <xdr:row>10</xdr:row>
      <xdr:rowOff>211454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CD23ACA-DF87-4D3D-9E6E-4F71D117A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7356">
          <a:off x="10370820" y="1386839"/>
          <a:ext cx="2533650" cy="2238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865650</xdr:colOff>
      <xdr:row>3</xdr:row>
      <xdr:rowOff>261989</xdr:rowOff>
    </xdr:from>
    <xdr:to>
      <xdr:col>5</xdr:col>
      <xdr:colOff>553850</xdr:colOff>
      <xdr:row>9</xdr:row>
      <xdr:rowOff>141566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215F23-B9D8-4827-99EF-2A4E4DF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5513">
          <a:off x="3751725" y="1204964"/>
          <a:ext cx="2602850" cy="2165577"/>
        </a:xfrm>
        <a:prstGeom prst="rect">
          <a:avLst/>
        </a:prstGeom>
      </xdr:spPr>
    </xdr:pic>
    <xdr:clientData/>
  </xdr:twoCellAnchor>
  <xdr:twoCellAnchor editAs="oneCell">
    <xdr:from>
      <xdr:col>8</xdr:col>
      <xdr:colOff>838715</xdr:colOff>
      <xdr:row>4</xdr:row>
      <xdr:rowOff>355937</xdr:rowOff>
    </xdr:from>
    <xdr:to>
      <xdr:col>13</xdr:col>
      <xdr:colOff>170231</xdr:colOff>
      <xdr:row>10</xdr:row>
      <xdr:rowOff>193329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0FC696-55BC-4F10-B3E3-AA93B6166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0043">
          <a:off x="11308595" y="1681817"/>
          <a:ext cx="2630976" cy="21233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kaye.com/HACC/fill_in_one_to_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O69"/>
  <sheetViews>
    <sheetView showGridLines="0" workbookViewId="0">
      <selection activeCell="G4" sqref="G4:N13"/>
    </sheetView>
  </sheetViews>
  <sheetFormatPr defaultRowHeight="14.4" x14ac:dyDescent="0.3"/>
  <cols>
    <col min="1" max="1" width="19.5546875" customWidth="1"/>
    <col min="2" max="2" width="12.5546875" customWidth="1"/>
    <col min="3" max="3" width="10.88671875" customWidth="1"/>
    <col min="4" max="4" width="12.6640625" customWidth="1"/>
    <col min="5" max="5" width="33.44140625" customWidth="1"/>
    <col min="6" max="6" width="8.88671875" style="19"/>
    <col min="7" max="7" width="17.6640625" customWidth="1"/>
    <col min="8" max="8" width="12" customWidth="1"/>
    <col min="9" max="9" width="12.6640625" customWidth="1"/>
  </cols>
  <sheetData>
    <row r="1" spans="1:15" x14ac:dyDescent="0.3">
      <c r="A1" s="1"/>
      <c r="B1" s="4"/>
      <c r="C1" s="4"/>
      <c r="D1" s="4"/>
      <c r="E1" s="4"/>
      <c r="F1" s="4"/>
      <c r="G1" s="4"/>
      <c r="H1" s="4"/>
      <c r="I1" s="4"/>
      <c r="J1" s="1"/>
      <c r="K1" s="1"/>
      <c r="L1" s="1"/>
      <c r="M1" s="1"/>
      <c r="N1" s="1"/>
      <c r="O1" s="1"/>
    </row>
    <row r="2" spans="1:15" ht="30" x14ac:dyDescent="0.7">
      <c r="A2" s="1"/>
      <c r="B2" s="3" t="s">
        <v>0</v>
      </c>
      <c r="C2" s="25"/>
      <c r="D2" s="26"/>
      <c r="E2" s="26"/>
      <c r="F2" s="4"/>
      <c r="G2" s="4"/>
      <c r="H2" s="4"/>
      <c r="I2" s="4"/>
      <c r="J2" s="1"/>
      <c r="K2" s="1"/>
      <c r="L2" s="1"/>
      <c r="M2" s="1"/>
      <c r="N2" s="1"/>
      <c r="O2" s="1"/>
    </row>
    <row r="3" spans="1:15" x14ac:dyDescent="0.3">
      <c r="A3" s="16">
        <v>1</v>
      </c>
      <c r="B3" s="4"/>
      <c r="C3" s="27"/>
      <c r="D3" s="28"/>
      <c r="E3" s="29"/>
      <c r="F3" s="4"/>
      <c r="G3" s="4"/>
      <c r="H3" s="4"/>
      <c r="I3" s="4"/>
      <c r="J3" s="1"/>
      <c r="K3" s="1"/>
      <c r="L3" s="1"/>
      <c r="M3" s="1"/>
      <c r="N3" s="1"/>
      <c r="O3" s="1"/>
    </row>
    <row r="4" spans="1:15" ht="30" x14ac:dyDescent="0.7">
      <c r="A4" s="16">
        <v>1</v>
      </c>
      <c r="B4" s="2" t="s">
        <v>1</v>
      </c>
      <c r="C4" s="30">
        <v>1</v>
      </c>
      <c r="D4" s="2" t="str">
        <f t="shared" ref="D4:D13" si="0">IF(C4&lt;&gt;"",IF(C4=A4,"GOOD","  ?")," ")</f>
        <v>GOOD</v>
      </c>
      <c r="E4" s="31">
        <f>IF(D4="GOOD",1,0)</f>
        <v>1</v>
      </c>
      <c r="F4" s="29">
        <f>A3+10</f>
        <v>11</v>
      </c>
      <c r="G4" s="2" t="s">
        <v>2</v>
      </c>
      <c r="H4" s="30"/>
      <c r="I4" s="2" t="str">
        <f t="shared" ref="I4:I7" si="1">IF(H4&lt;&gt;"",IF(H4=F4,"GOOD","  ?")," ")</f>
        <v xml:space="preserve"> </v>
      </c>
      <c r="J4" s="1"/>
      <c r="K4" s="1"/>
      <c r="L4" s="1"/>
      <c r="M4" s="1"/>
      <c r="N4" s="1"/>
      <c r="O4" s="1"/>
    </row>
    <row r="5" spans="1:15" ht="30" x14ac:dyDescent="0.7">
      <c r="A5" s="16">
        <v>2</v>
      </c>
      <c r="B5" s="2" t="s">
        <v>3</v>
      </c>
      <c r="C5" s="30">
        <v>2</v>
      </c>
      <c r="D5" s="2" t="str">
        <f t="shared" si="0"/>
        <v>GOOD</v>
      </c>
      <c r="E5" s="31">
        <f t="shared" ref="E5:E11" si="2">IF(D5="GOOD",1,0)</f>
        <v>1</v>
      </c>
      <c r="F5" s="29">
        <f>A5+10</f>
        <v>12</v>
      </c>
      <c r="G5" s="2" t="s">
        <v>4</v>
      </c>
      <c r="H5" s="30"/>
      <c r="I5" s="2" t="str">
        <f t="shared" si="1"/>
        <v xml:space="preserve"> </v>
      </c>
      <c r="J5" s="1"/>
      <c r="K5" s="1"/>
      <c r="L5" s="1"/>
      <c r="M5" s="1"/>
      <c r="N5" s="1"/>
      <c r="O5" s="1"/>
    </row>
    <row r="6" spans="1:15" ht="30" x14ac:dyDescent="0.7">
      <c r="A6" s="16">
        <v>3</v>
      </c>
      <c r="B6" s="2" t="s">
        <v>5</v>
      </c>
      <c r="C6" s="30">
        <v>3</v>
      </c>
      <c r="D6" s="2" t="str">
        <f t="shared" si="0"/>
        <v>GOOD</v>
      </c>
      <c r="E6" s="31">
        <f t="shared" si="2"/>
        <v>1</v>
      </c>
      <c r="F6" s="29">
        <f t="shared" ref="F6:F13" si="3">A6+10</f>
        <v>13</v>
      </c>
      <c r="G6" s="2" t="s">
        <v>6</v>
      </c>
      <c r="H6" s="30">
        <v>13</v>
      </c>
      <c r="I6" s="2" t="str">
        <f t="shared" si="1"/>
        <v>GOOD</v>
      </c>
      <c r="J6" s="1"/>
      <c r="K6" s="1"/>
      <c r="L6" s="1"/>
      <c r="M6" s="1"/>
      <c r="N6" s="1"/>
      <c r="O6" s="1"/>
    </row>
    <row r="7" spans="1:15" ht="30" x14ac:dyDescent="0.7">
      <c r="A7" s="16">
        <v>4</v>
      </c>
      <c r="B7" s="2" t="s">
        <v>7</v>
      </c>
      <c r="C7" s="30">
        <v>4</v>
      </c>
      <c r="D7" s="2" t="str">
        <f t="shared" si="0"/>
        <v>GOOD</v>
      </c>
      <c r="E7" s="31">
        <f t="shared" si="2"/>
        <v>1</v>
      </c>
      <c r="F7" s="29">
        <f t="shared" si="3"/>
        <v>14</v>
      </c>
      <c r="G7" s="2" t="s">
        <v>8</v>
      </c>
      <c r="H7" s="30"/>
      <c r="I7" s="2" t="str">
        <f t="shared" si="1"/>
        <v xml:space="preserve"> </v>
      </c>
      <c r="J7" s="1"/>
      <c r="K7" s="1"/>
      <c r="L7" s="1"/>
      <c r="M7" s="1"/>
      <c r="N7" s="1"/>
      <c r="O7" s="1"/>
    </row>
    <row r="8" spans="1:15" ht="30" x14ac:dyDescent="0.7">
      <c r="A8" s="16">
        <v>5</v>
      </c>
      <c r="B8" s="2" t="s">
        <v>9</v>
      </c>
      <c r="C8" s="30">
        <v>5</v>
      </c>
      <c r="D8" s="2" t="str">
        <f t="shared" si="0"/>
        <v>GOOD</v>
      </c>
      <c r="E8" s="31">
        <f t="shared" si="2"/>
        <v>1</v>
      </c>
      <c r="F8" s="29">
        <f t="shared" si="3"/>
        <v>15</v>
      </c>
      <c r="G8" s="2" t="s">
        <v>10</v>
      </c>
      <c r="H8" s="30"/>
      <c r="I8" s="2" t="str">
        <f>IF(H8&lt;&gt;"",IF(H8=F8,"GOOD","  ?")," ")</f>
        <v xml:space="preserve"> </v>
      </c>
      <c r="J8" s="1"/>
      <c r="K8" s="1"/>
      <c r="L8" s="1"/>
      <c r="M8" s="1"/>
      <c r="N8" s="1"/>
      <c r="O8" s="1"/>
    </row>
    <row r="9" spans="1:15" ht="30" x14ac:dyDescent="0.7">
      <c r="A9" s="16">
        <v>6</v>
      </c>
      <c r="B9" s="2" t="s">
        <v>11</v>
      </c>
      <c r="C9" s="30">
        <v>6</v>
      </c>
      <c r="D9" s="2" t="str">
        <f t="shared" si="0"/>
        <v>GOOD</v>
      </c>
      <c r="E9" s="31">
        <f t="shared" si="2"/>
        <v>1</v>
      </c>
      <c r="F9" s="29">
        <f t="shared" si="3"/>
        <v>16</v>
      </c>
      <c r="G9" s="2" t="s">
        <v>12</v>
      </c>
      <c r="H9" s="30"/>
      <c r="I9" s="2" t="str">
        <f t="shared" ref="I9:I13" si="4">IF(H9&lt;&gt;"",IF(H9=F9,"GOOD","  ?")," ")</f>
        <v xml:space="preserve"> </v>
      </c>
      <c r="J9" s="8"/>
      <c r="K9" s="1"/>
      <c r="L9" s="1"/>
      <c r="M9" s="1"/>
      <c r="N9" s="1"/>
      <c r="O9" s="1"/>
    </row>
    <row r="10" spans="1:15" ht="30" x14ac:dyDescent="0.7">
      <c r="A10" s="16">
        <v>7</v>
      </c>
      <c r="B10" s="2" t="s">
        <v>13</v>
      </c>
      <c r="C10" s="30">
        <v>7</v>
      </c>
      <c r="D10" s="2" t="str">
        <f t="shared" si="0"/>
        <v>GOOD</v>
      </c>
      <c r="E10" s="31">
        <f t="shared" si="2"/>
        <v>1</v>
      </c>
      <c r="F10" s="29">
        <f t="shared" si="3"/>
        <v>17</v>
      </c>
      <c r="G10" s="2" t="s">
        <v>14</v>
      </c>
      <c r="H10" s="30"/>
      <c r="I10" s="2" t="str">
        <f t="shared" si="4"/>
        <v xml:space="preserve"> </v>
      </c>
      <c r="J10" s="1"/>
      <c r="K10" s="1"/>
      <c r="L10" s="1"/>
      <c r="M10" s="1"/>
      <c r="N10" s="1"/>
      <c r="O10" s="1"/>
    </row>
    <row r="11" spans="1:15" ht="30" x14ac:dyDescent="0.7">
      <c r="A11" s="16">
        <v>8</v>
      </c>
      <c r="B11" s="2" t="s">
        <v>15</v>
      </c>
      <c r="C11" s="30">
        <v>8</v>
      </c>
      <c r="D11" s="2" t="str">
        <f t="shared" si="0"/>
        <v>GOOD</v>
      </c>
      <c r="E11" s="31">
        <f t="shared" si="2"/>
        <v>1</v>
      </c>
      <c r="F11" s="29">
        <f t="shared" si="3"/>
        <v>18</v>
      </c>
      <c r="G11" s="2" t="s">
        <v>16</v>
      </c>
      <c r="H11" s="30"/>
      <c r="I11" s="2" t="str">
        <f t="shared" si="4"/>
        <v xml:space="preserve"> </v>
      </c>
      <c r="J11" s="1"/>
      <c r="K11" s="1"/>
      <c r="L11" s="1"/>
      <c r="M11" s="1"/>
      <c r="N11" s="1"/>
      <c r="O11" s="1"/>
    </row>
    <row r="12" spans="1:15" ht="30" x14ac:dyDescent="0.7">
      <c r="A12" s="16">
        <v>9</v>
      </c>
      <c r="B12" s="7" t="s">
        <v>17</v>
      </c>
      <c r="C12" s="30">
        <v>9</v>
      </c>
      <c r="D12" s="2" t="str">
        <f t="shared" si="0"/>
        <v>GOOD</v>
      </c>
      <c r="E12" s="31"/>
      <c r="F12" s="29">
        <f t="shared" si="3"/>
        <v>19</v>
      </c>
      <c r="G12" s="7" t="s">
        <v>18</v>
      </c>
      <c r="H12" s="30"/>
      <c r="I12" s="2" t="str">
        <f t="shared" si="4"/>
        <v xml:space="preserve"> </v>
      </c>
      <c r="J12" s="1"/>
      <c r="K12" s="1"/>
      <c r="L12" s="1"/>
      <c r="M12" s="1"/>
      <c r="N12" s="1"/>
      <c r="O12" s="1"/>
    </row>
    <row r="13" spans="1:15" ht="30" x14ac:dyDescent="0.7">
      <c r="A13" s="16">
        <v>10</v>
      </c>
      <c r="B13" s="7" t="s">
        <v>19</v>
      </c>
      <c r="C13" s="30">
        <v>10</v>
      </c>
      <c r="D13" s="2" t="str">
        <f t="shared" si="0"/>
        <v>GOOD</v>
      </c>
      <c r="E13" s="31"/>
      <c r="F13" s="29">
        <f t="shared" si="3"/>
        <v>20</v>
      </c>
      <c r="G13" s="7" t="s">
        <v>20</v>
      </c>
      <c r="H13" s="30"/>
      <c r="I13" s="2" t="str">
        <f t="shared" si="4"/>
        <v xml:space="preserve"> </v>
      </c>
      <c r="J13" s="1"/>
      <c r="K13" s="1"/>
      <c r="L13" s="1"/>
      <c r="M13" s="1"/>
      <c r="N13" s="1"/>
      <c r="O13" s="1"/>
    </row>
    <row r="14" spans="1:15" s="1" customFormat="1" ht="30" x14ac:dyDescent="0.7">
      <c r="B14" s="6"/>
      <c r="C14" s="7"/>
      <c r="D14" s="15"/>
      <c r="E14" s="29"/>
      <c r="F14" s="4"/>
      <c r="G14" s="4"/>
      <c r="H14" s="4"/>
      <c r="I14" s="4"/>
    </row>
    <row r="15" spans="1:15" s="1" customFormat="1" ht="34.200000000000003" x14ac:dyDescent="0.8">
      <c r="B15" s="6"/>
      <c r="C15" s="7"/>
      <c r="D15" s="5"/>
      <c r="E15" s="16"/>
      <c r="F15" s="20"/>
    </row>
    <row r="16" spans="1:15" s="1" customFormat="1" x14ac:dyDescent="0.3">
      <c r="C16" s="9"/>
      <c r="D16" s="14"/>
      <c r="E16" s="16"/>
      <c r="F16" s="20"/>
    </row>
    <row r="17" spans="3:6" s="1" customFormat="1" x14ac:dyDescent="0.3">
      <c r="C17" s="9"/>
      <c r="D17" s="14"/>
      <c r="E17" s="16"/>
      <c r="F17" s="20"/>
    </row>
    <row r="18" spans="3:6" s="1" customFormat="1" x14ac:dyDescent="0.3">
      <c r="F18" s="20"/>
    </row>
    <row r="19" spans="3:6" s="1" customFormat="1" x14ac:dyDescent="0.3">
      <c r="F19" s="20"/>
    </row>
    <row r="20" spans="3:6" s="1" customFormat="1" x14ac:dyDescent="0.3">
      <c r="F20" s="20"/>
    </row>
    <row r="21" spans="3:6" s="1" customFormat="1" x14ac:dyDescent="0.3">
      <c r="F21" s="20"/>
    </row>
    <row r="22" spans="3:6" s="1" customFormat="1" x14ac:dyDescent="0.3">
      <c r="F22" s="20"/>
    </row>
    <row r="23" spans="3:6" s="1" customFormat="1" x14ac:dyDescent="0.3">
      <c r="F23" s="20"/>
    </row>
    <row r="24" spans="3:6" s="1" customFormat="1" x14ac:dyDescent="0.3">
      <c r="F24" s="20"/>
    </row>
    <row r="25" spans="3:6" s="1" customFormat="1" x14ac:dyDescent="0.3">
      <c r="F25" s="20"/>
    </row>
    <row r="26" spans="3:6" s="1" customFormat="1" x14ac:dyDescent="0.3">
      <c r="F26" s="20"/>
    </row>
    <row r="27" spans="3:6" s="1" customFormat="1" x14ac:dyDescent="0.3">
      <c r="F27" s="20"/>
    </row>
    <row r="28" spans="3:6" s="1" customFormat="1" x14ac:dyDescent="0.3">
      <c r="F28" s="20"/>
    </row>
    <row r="29" spans="3:6" s="1" customFormat="1" x14ac:dyDescent="0.3">
      <c r="F29" s="20"/>
    </row>
    <row r="30" spans="3:6" s="1" customFormat="1" x14ac:dyDescent="0.3">
      <c r="F30" s="20"/>
    </row>
    <row r="31" spans="3:6" s="1" customFormat="1" x14ac:dyDescent="0.3">
      <c r="F31" s="20"/>
    </row>
    <row r="32" spans="3:6" s="1" customFormat="1" x14ac:dyDescent="0.3">
      <c r="F32" s="20"/>
    </row>
    <row r="33" spans="6:6" s="1" customFormat="1" x14ac:dyDescent="0.3">
      <c r="F33" s="20"/>
    </row>
    <row r="34" spans="6:6" s="1" customFormat="1" x14ac:dyDescent="0.3">
      <c r="F34" s="20"/>
    </row>
    <row r="35" spans="6:6" s="1" customFormat="1" x14ac:dyDescent="0.3">
      <c r="F35" s="20"/>
    </row>
    <row r="36" spans="6:6" s="1" customFormat="1" x14ac:dyDescent="0.3">
      <c r="F36" s="20"/>
    </row>
    <row r="37" spans="6:6" s="1" customFormat="1" x14ac:dyDescent="0.3">
      <c r="F37" s="20"/>
    </row>
    <row r="38" spans="6:6" s="1" customFormat="1" x14ac:dyDescent="0.3">
      <c r="F38" s="20"/>
    </row>
    <row r="39" spans="6:6" s="1" customFormat="1" x14ac:dyDescent="0.3">
      <c r="F39" s="20"/>
    </row>
    <row r="40" spans="6:6" s="1" customFormat="1" x14ac:dyDescent="0.3">
      <c r="F40" s="20"/>
    </row>
    <row r="41" spans="6:6" s="1" customFormat="1" x14ac:dyDescent="0.3">
      <c r="F41" s="20"/>
    </row>
    <row r="42" spans="6:6" s="1" customFormat="1" x14ac:dyDescent="0.3">
      <c r="F42" s="20"/>
    </row>
    <row r="43" spans="6:6" s="1" customFormat="1" x14ac:dyDescent="0.3">
      <c r="F43" s="20"/>
    </row>
    <row r="44" spans="6:6" s="1" customFormat="1" x14ac:dyDescent="0.3">
      <c r="F44" s="20"/>
    </row>
    <row r="45" spans="6:6" s="1" customFormat="1" x14ac:dyDescent="0.3">
      <c r="F45" s="20"/>
    </row>
    <row r="46" spans="6:6" s="1" customFormat="1" x14ac:dyDescent="0.3">
      <c r="F46" s="20"/>
    </row>
    <row r="47" spans="6:6" s="1" customFormat="1" x14ac:dyDescent="0.3">
      <c r="F47" s="20"/>
    </row>
    <row r="48" spans="6:6" s="1" customFormat="1" x14ac:dyDescent="0.3">
      <c r="F48" s="20"/>
    </row>
    <row r="49" spans="6:6" s="1" customFormat="1" x14ac:dyDescent="0.3">
      <c r="F49" s="20"/>
    </row>
    <row r="50" spans="6:6" s="1" customFormat="1" x14ac:dyDescent="0.3">
      <c r="F50" s="20"/>
    </row>
    <row r="51" spans="6:6" s="1" customFormat="1" x14ac:dyDescent="0.3">
      <c r="F51" s="20"/>
    </row>
    <row r="52" spans="6:6" s="1" customFormat="1" x14ac:dyDescent="0.3">
      <c r="F52" s="20"/>
    </row>
    <row r="53" spans="6:6" s="1" customFormat="1" x14ac:dyDescent="0.3">
      <c r="F53" s="20"/>
    </row>
    <row r="54" spans="6:6" s="1" customFormat="1" x14ac:dyDescent="0.3">
      <c r="F54" s="20"/>
    </row>
    <row r="55" spans="6:6" s="1" customFormat="1" x14ac:dyDescent="0.3">
      <c r="F55" s="20"/>
    </row>
    <row r="56" spans="6:6" s="1" customFormat="1" x14ac:dyDescent="0.3">
      <c r="F56" s="20"/>
    </row>
    <row r="57" spans="6:6" s="1" customFormat="1" x14ac:dyDescent="0.3">
      <c r="F57" s="20"/>
    </row>
    <row r="58" spans="6:6" s="1" customFormat="1" x14ac:dyDescent="0.3">
      <c r="F58" s="20"/>
    </row>
    <row r="59" spans="6:6" s="1" customFormat="1" x14ac:dyDescent="0.3">
      <c r="F59" s="20"/>
    </row>
    <row r="60" spans="6:6" s="1" customFormat="1" x14ac:dyDescent="0.3">
      <c r="F60" s="20"/>
    </row>
    <row r="61" spans="6:6" s="1" customFormat="1" x14ac:dyDescent="0.3">
      <c r="F61" s="20"/>
    </row>
    <row r="62" spans="6:6" s="1" customFormat="1" x14ac:dyDescent="0.3">
      <c r="F62" s="20"/>
    </row>
    <row r="63" spans="6:6" s="1" customFormat="1" x14ac:dyDescent="0.3">
      <c r="F63" s="20"/>
    </row>
    <row r="64" spans="6:6" s="1" customFormat="1" x14ac:dyDescent="0.3">
      <c r="F64" s="20"/>
    </row>
    <row r="65" spans="6:6" s="1" customFormat="1" x14ac:dyDescent="0.3">
      <c r="F65" s="20"/>
    </row>
    <row r="66" spans="6:6" s="1" customFormat="1" x14ac:dyDescent="0.3">
      <c r="F66" s="20"/>
    </row>
    <row r="67" spans="6:6" s="1" customFormat="1" x14ac:dyDescent="0.3">
      <c r="F67" s="20"/>
    </row>
    <row r="68" spans="6:6" s="1" customFormat="1" x14ac:dyDescent="0.3">
      <c r="F68" s="20"/>
    </row>
    <row r="69" spans="6:6" s="1" customFormat="1" x14ac:dyDescent="0.3">
      <c r="F69" s="20"/>
    </row>
  </sheetData>
  <sheetProtection selectLockedCells="1"/>
  <conditionalFormatting sqref="C14:C15">
    <cfRule type="cellIs" dxfId="45" priority="2" operator="equal">
      <formula>"Correct!"</formula>
    </cfRule>
    <cfRule type="cellIs" dxfId="44" priority="3" operator="equal">
      <formula>"Correct!"</formula>
    </cfRule>
  </conditionalFormatting>
  <conditionalFormatting sqref="C14:C15">
    <cfRule type="cellIs" dxfId="43" priority="1" operator="equal">
      <formula>"Please try again"</formula>
    </cfRule>
  </conditionalFormatting>
  <pageMargins left="0.7" right="0.7" top="0.75" bottom="0.75" header="0.3" footer="0.3"/>
  <pageSetup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7"/>
  <sheetViews>
    <sheetView showGridLines="0" workbookViewId="0">
      <selection activeCell="A4" sqref="A4"/>
    </sheetView>
  </sheetViews>
  <sheetFormatPr defaultRowHeight="14.4" x14ac:dyDescent="0.3"/>
  <cols>
    <col min="1" max="1" width="10.44140625" customWidth="1"/>
    <col min="2" max="2" width="10.5546875" customWidth="1"/>
    <col min="3" max="3" width="22.33203125" style="13" customWidth="1"/>
    <col min="4" max="4" width="14.33203125" style="35" customWidth="1"/>
    <col min="5" max="5" width="29.44140625" style="17" customWidth="1"/>
    <col min="6" max="6" width="29.109375" customWidth="1"/>
    <col min="7" max="7" width="11.109375" style="19" customWidth="1"/>
    <col min="8" max="8" width="25.44140625" customWidth="1"/>
    <col min="9" max="9" width="12.5546875" customWidth="1"/>
  </cols>
  <sheetData>
    <row r="1" spans="1:34" x14ac:dyDescent="0.3"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30" x14ac:dyDescent="0.7">
      <c r="A2" s="16"/>
      <c r="B2" s="2" t="s">
        <v>0</v>
      </c>
      <c r="C2" s="23"/>
      <c r="D2" s="36"/>
      <c r="E2" s="24"/>
      <c r="F2" s="1"/>
      <c r="G2" s="2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30" x14ac:dyDescent="0.7">
      <c r="A3" s="16"/>
      <c r="B3" s="1"/>
      <c r="C3" s="9"/>
      <c r="D3" s="37"/>
      <c r="E3" s="16"/>
      <c r="F3" s="1"/>
      <c r="G3" s="20"/>
      <c r="H3" s="1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30" x14ac:dyDescent="0.7">
      <c r="A4" s="16" t="s">
        <v>1</v>
      </c>
      <c r="B4" s="2">
        <v>1</v>
      </c>
      <c r="C4" s="10" t="s">
        <v>1</v>
      </c>
      <c r="D4" s="38" t="str">
        <f t="shared" ref="D4:D7" si="0">IF(C4&lt;&gt;"",IF(A4=C4,"GOOD","  ?")," ")</f>
        <v>GOOD</v>
      </c>
      <c r="E4" s="18">
        <f>IF(D4="GOOD",1,0)</f>
        <v>1</v>
      </c>
      <c r="F4" s="16" t="s">
        <v>2</v>
      </c>
      <c r="G4" s="21">
        <v>11</v>
      </c>
      <c r="H4" s="10"/>
      <c r="I4" s="2" t="str">
        <f>IF(H4&lt;&gt;"",IF(H4=J4,"GOOD","  ?")," ")</f>
        <v xml:space="preserve"> </v>
      </c>
      <c r="J4" s="16" t="s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ht="30" x14ac:dyDescent="0.7">
      <c r="A5" s="16" t="s">
        <v>3</v>
      </c>
      <c r="B5" s="2">
        <v>2</v>
      </c>
      <c r="C5" s="11"/>
      <c r="D5" s="38" t="str">
        <f t="shared" si="0"/>
        <v xml:space="preserve"> </v>
      </c>
      <c r="E5" s="18">
        <f t="shared" ref="E5:E11" si="1">IF(D5="GOOD",1,0)</f>
        <v>0</v>
      </c>
      <c r="F5" s="16" t="s">
        <v>4</v>
      </c>
      <c r="G5" s="21">
        <v>12</v>
      </c>
      <c r="H5" s="11"/>
      <c r="I5" s="2" t="str">
        <f t="shared" ref="I5:I13" si="2">IF(H5&lt;&gt;"",IF(F5=H5,"GOOD","  ?")," ")</f>
        <v xml:space="preserve"> </v>
      </c>
      <c r="J5" s="16" t="s">
        <v>4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ht="30" x14ac:dyDescent="0.7">
      <c r="A6" s="16" t="s">
        <v>5</v>
      </c>
      <c r="B6" s="2">
        <v>3</v>
      </c>
      <c r="C6" s="10" t="s">
        <v>5</v>
      </c>
      <c r="D6" s="38" t="str">
        <f t="shared" si="0"/>
        <v>GOOD</v>
      </c>
      <c r="E6" s="18">
        <f t="shared" si="1"/>
        <v>1</v>
      </c>
      <c r="F6" s="16" t="s">
        <v>6</v>
      </c>
      <c r="G6" s="21">
        <v>13</v>
      </c>
      <c r="H6" s="10"/>
      <c r="I6" s="2" t="str">
        <f t="shared" si="2"/>
        <v xml:space="preserve"> </v>
      </c>
      <c r="J6" s="16" t="s">
        <v>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ht="30" x14ac:dyDescent="0.7">
      <c r="A7" s="16" t="s">
        <v>7</v>
      </c>
      <c r="B7" s="2">
        <v>4</v>
      </c>
      <c r="C7" s="10"/>
      <c r="D7" s="38" t="str">
        <f t="shared" si="0"/>
        <v xml:space="preserve"> </v>
      </c>
      <c r="E7" s="18">
        <f t="shared" si="1"/>
        <v>0</v>
      </c>
      <c r="F7" s="16" t="s">
        <v>8</v>
      </c>
      <c r="G7" s="21">
        <v>14</v>
      </c>
      <c r="H7" s="10"/>
      <c r="I7" s="2" t="str">
        <f t="shared" si="2"/>
        <v xml:space="preserve"> </v>
      </c>
      <c r="J7" s="16" t="s">
        <v>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ht="30" x14ac:dyDescent="0.7">
      <c r="A8" s="16" t="s">
        <v>9</v>
      </c>
      <c r="B8" s="2">
        <v>5</v>
      </c>
      <c r="C8" s="10"/>
      <c r="D8" s="38" t="str">
        <f>IF(C8&lt;&gt;"",IF(A8=C8,"GOOD","  ?")," ")</f>
        <v xml:space="preserve"> </v>
      </c>
      <c r="E8" s="18">
        <f t="shared" si="1"/>
        <v>0</v>
      </c>
      <c r="F8" s="16" t="s">
        <v>10</v>
      </c>
      <c r="G8" s="21">
        <v>15</v>
      </c>
      <c r="H8" s="10"/>
      <c r="I8" s="2" t="str">
        <f t="shared" si="2"/>
        <v xml:space="preserve"> </v>
      </c>
      <c r="J8" s="16" t="s">
        <v>10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ht="30" x14ac:dyDescent="0.7">
      <c r="A9" s="16" t="s">
        <v>11</v>
      </c>
      <c r="B9" s="2">
        <v>6</v>
      </c>
      <c r="C9" s="10"/>
      <c r="D9" s="38" t="str">
        <f t="shared" ref="D9:D13" si="3">IF(C9&lt;&gt;"",IF(A9=C9,"GOOD","  ?")," ")</f>
        <v xml:space="preserve"> </v>
      </c>
      <c r="E9" s="18">
        <f t="shared" si="1"/>
        <v>0</v>
      </c>
      <c r="F9" s="16" t="s">
        <v>12</v>
      </c>
      <c r="G9" s="21">
        <v>16</v>
      </c>
      <c r="H9" s="10"/>
      <c r="I9" s="2" t="str">
        <f t="shared" si="2"/>
        <v xml:space="preserve"> </v>
      </c>
      <c r="J9" s="16" t="s">
        <v>12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ht="30" x14ac:dyDescent="0.7">
      <c r="A10" s="16" t="s">
        <v>13</v>
      </c>
      <c r="B10" s="2">
        <v>7</v>
      </c>
      <c r="C10" s="12"/>
      <c r="D10" s="38" t="str">
        <f t="shared" si="3"/>
        <v xml:space="preserve"> </v>
      </c>
      <c r="E10" s="18">
        <f t="shared" si="1"/>
        <v>0</v>
      </c>
      <c r="F10" s="16" t="s">
        <v>14</v>
      </c>
      <c r="G10" s="21">
        <v>17</v>
      </c>
      <c r="H10" s="12"/>
      <c r="I10" s="2" t="str">
        <f t="shared" si="2"/>
        <v xml:space="preserve"> </v>
      </c>
      <c r="J10" s="16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ht="30" x14ac:dyDescent="0.7">
      <c r="A11" s="16" t="s">
        <v>15</v>
      </c>
      <c r="B11" s="2">
        <v>8</v>
      </c>
      <c r="C11" s="12"/>
      <c r="D11" s="38" t="str">
        <f t="shared" si="3"/>
        <v xml:space="preserve"> </v>
      </c>
      <c r="E11" s="18">
        <f t="shared" si="1"/>
        <v>0</v>
      </c>
      <c r="F11" s="16" t="s">
        <v>16</v>
      </c>
      <c r="G11" s="21">
        <v>18</v>
      </c>
      <c r="H11" s="12"/>
      <c r="I11" s="2" t="str">
        <f t="shared" si="2"/>
        <v xml:space="preserve"> </v>
      </c>
      <c r="J11" s="16" t="s">
        <v>16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ht="30" x14ac:dyDescent="0.7">
      <c r="A12" s="16" t="s">
        <v>17</v>
      </c>
      <c r="B12" s="7">
        <v>9</v>
      </c>
      <c r="C12" s="12"/>
      <c r="D12" s="38" t="str">
        <f t="shared" si="3"/>
        <v xml:space="preserve"> </v>
      </c>
      <c r="E12" s="18"/>
      <c r="F12" s="16" t="s">
        <v>18</v>
      </c>
      <c r="G12" s="22">
        <v>19</v>
      </c>
      <c r="H12" s="12" t="s">
        <v>18</v>
      </c>
      <c r="I12" s="2" t="str">
        <f t="shared" si="2"/>
        <v>GOOD</v>
      </c>
      <c r="J12" s="16" t="s">
        <v>18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30" x14ac:dyDescent="0.7">
      <c r="A13" s="16" t="s">
        <v>19</v>
      </c>
      <c r="B13" s="7">
        <v>10</v>
      </c>
      <c r="C13" s="12"/>
      <c r="D13" s="38" t="str">
        <f t="shared" si="3"/>
        <v xml:space="preserve"> </v>
      </c>
      <c r="E13" s="18"/>
      <c r="F13" s="16" t="s">
        <v>20</v>
      </c>
      <c r="G13" s="22">
        <v>20</v>
      </c>
      <c r="H13" s="12"/>
      <c r="I13" s="2" t="str">
        <f t="shared" si="2"/>
        <v xml:space="preserve"> </v>
      </c>
      <c r="J13" s="16" t="s">
        <v>20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ht="30" x14ac:dyDescent="0.7">
      <c r="A14" s="1"/>
      <c r="B14" s="6"/>
      <c r="C14" s="7"/>
      <c r="D14" s="39"/>
      <c r="E14" s="16"/>
      <c r="F14" s="1"/>
      <c r="G14" s="20"/>
      <c r="H14" s="1"/>
      <c r="I14" s="1"/>
      <c r="J14" s="16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ht="34.200000000000003" x14ac:dyDescent="0.8">
      <c r="A15" s="1"/>
      <c r="B15" s="6"/>
      <c r="C15" s="7"/>
      <c r="D15" s="34"/>
      <c r="E15" s="16"/>
      <c r="F15" s="1"/>
      <c r="G15" s="2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ht="30" x14ac:dyDescent="0.7">
      <c r="A16" s="1"/>
      <c r="B16" s="6"/>
      <c r="C16" s="7"/>
      <c r="D16" s="39"/>
      <c r="E16" s="16"/>
      <c r="F16" s="1"/>
      <c r="G16" s="2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x14ac:dyDescent="0.3">
      <c r="A17" s="1"/>
      <c r="B17" s="1"/>
      <c r="C17" s="9"/>
      <c r="D17" s="37"/>
      <c r="E17" s="16"/>
      <c r="F17" s="1"/>
      <c r="G17" s="2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x14ac:dyDescent="0.3">
      <c r="A18" s="1"/>
      <c r="B18" s="1"/>
      <c r="C18" s="9"/>
      <c r="D18" s="37"/>
      <c r="E18" s="16"/>
      <c r="F18" s="1"/>
      <c r="G18" s="2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x14ac:dyDescent="0.3">
      <c r="A19" s="1"/>
      <c r="B19" s="1"/>
      <c r="C19" s="9"/>
      <c r="D19" s="37"/>
      <c r="E19" s="16"/>
      <c r="F19" s="1"/>
      <c r="G19" s="2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x14ac:dyDescent="0.3">
      <c r="A20" s="1"/>
      <c r="B20" s="1"/>
      <c r="C20" s="9"/>
      <c r="D20" s="37"/>
      <c r="E20" s="16"/>
      <c r="F20" s="1"/>
      <c r="G20" s="2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x14ac:dyDescent="0.3">
      <c r="A21" s="1"/>
      <c r="B21" s="1"/>
      <c r="C21" s="9"/>
      <c r="D21" s="37"/>
      <c r="E21" s="16"/>
      <c r="F21" s="1"/>
      <c r="G21" s="2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1:34" x14ac:dyDescent="0.3">
      <c r="A22" s="1"/>
      <c r="B22" s="1"/>
      <c r="C22" s="9"/>
      <c r="D22" s="37"/>
      <c r="E22" s="16"/>
      <c r="F22" s="1"/>
      <c r="G22" s="2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1:34" x14ac:dyDescent="0.3">
      <c r="A23" s="1"/>
      <c r="B23" s="1"/>
      <c r="C23" s="9"/>
      <c r="D23" s="37"/>
      <c r="E23" s="16"/>
      <c r="F23" s="1"/>
      <c r="G23" s="20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1:34" x14ac:dyDescent="0.3">
      <c r="A24" s="1"/>
      <c r="B24" s="1"/>
      <c r="C24" s="9"/>
      <c r="D24" s="37"/>
      <c r="E24" s="16"/>
      <c r="F24" s="1"/>
      <c r="G24" s="20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1:34" x14ac:dyDescent="0.3">
      <c r="A25" s="1"/>
      <c r="B25" s="1"/>
      <c r="C25" s="9"/>
      <c r="D25" s="37"/>
      <c r="E25" s="16"/>
      <c r="F25" s="1"/>
      <c r="G25" s="20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1:34" x14ac:dyDescent="0.3">
      <c r="A26" s="1"/>
      <c r="B26" s="1"/>
      <c r="C26" s="9"/>
      <c r="D26" s="37"/>
      <c r="E26" s="16"/>
      <c r="F26" s="1"/>
      <c r="G26" s="20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3">
      <c r="A27" s="1"/>
      <c r="B27" s="1"/>
      <c r="C27" s="9"/>
      <c r="D27" s="37"/>
      <c r="E27" s="16"/>
      <c r="F27" s="1"/>
      <c r="G27" s="2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3">
      <c r="A28" s="1"/>
      <c r="B28" s="1"/>
      <c r="C28" s="9"/>
      <c r="D28" s="37"/>
      <c r="E28" s="16"/>
      <c r="F28" s="1"/>
      <c r="G28" s="20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3">
      <c r="A29" s="1"/>
      <c r="B29" s="1"/>
      <c r="C29" s="9"/>
      <c r="D29" s="37"/>
      <c r="E29" s="16"/>
      <c r="F29" s="1"/>
      <c r="G29" s="2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3">
      <c r="A30" s="1"/>
      <c r="B30" s="1"/>
      <c r="C30" s="9"/>
      <c r="D30" s="37"/>
      <c r="E30" s="16"/>
      <c r="F30" s="1"/>
      <c r="G30" s="2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3">
      <c r="A31" s="1"/>
      <c r="B31" s="1"/>
      <c r="C31" s="9"/>
      <c r="D31" s="37"/>
      <c r="E31" s="16"/>
      <c r="F31" s="1"/>
      <c r="G31" s="20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3">
      <c r="A32" s="1"/>
      <c r="B32" s="1"/>
      <c r="C32" s="9"/>
      <c r="D32" s="37"/>
      <c r="E32" s="16"/>
      <c r="F32" s="1"/>
      <c r="G32" s="20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3">
      <c r="A33" s="1"/>
      <c r="B33" s="1"/>
      <c r="C33" s="9"/>
      <c r="D33" s="37"/>
      <c r="E33" s="16"/>
      <c r="F33" s="1"/>
      <c r="G33" s="20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3">
      <c r="A34" s="1"/>
      <c r="B34" s="1"/>
      <c r="C34" s="9"/>
      <c r="D34" s="37"/>
      <c r="E34" s="16"/>
      <c r="F34" s="1"/>
      <c r="G34" s="20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3">
      <c r="A35" s="1"/>
      <c r="B35" s="1"/>
      <c r="C35" s="9"/>
      <c r="D35" s="37"/>
      <c r="E35" s="16"/>
      <c r="F35" s="1"/>
      <c r="G35" s="20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3">
      <c r="A36" s="1"/>
      <c r="B36" s="1"/>
      <c r="C36" s="9"/>
      <c r="D36" s="37"/>
      <c r="E36" s="16"/>
      <c r="F36" s="1"/>
      <c r="G36" s="20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3">
      <c r="A37" s="1"/>
      <c r="B37" s="1"/>
      <c r="C37" s="9"/>
      <c r="D37" s="37"/>
      <c r="E37" s="16"/>
      <c r="F37" s="1"/>
      <c r="G37" s="20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3">
      <c r="A38" s="1"/>
      <c r="B38" s="1"/>
      <c r="C38" s="9"/>
      <c r="D38" s="37"/>
      <c r="E38" s="16"/>
      <c r="F38" s="1"/>
      <c r="G38" s="20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3">
      <c r="A39" s="1"/>
      <c r="B39" s="1"/>
      <c r="C39" s="9"/>
      <c r="D39" s="37"/>
      <c r="E39" s="16"/>
      <c r="F39" s="1"/>
      <c r="G39" s="20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x14ac:dyDescent="0.3">
      <c r="A40" s="1"/>
      <c r="B40" s="1"/>
      <c r="C40" s="9"/>
      <c r="D40" s="37"/>
      <c r="E40" s="16"/>
      <c r="F40" s="1"/>
      <c r="G40" s="20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x14ac:dyDescent="0.3">
      <c r="A41" s="1"/>
      <c r="B41" s="1"/>
      <c r="C41" s="9"/>
      <c r="D41" s="37"/>
      <c r="E41" s="16"/>
      <c r="F41" s="1"/>
      <c r="G41" s="20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x14ac:dyDescent="0.3">
      <c r="A42" s="1"/>
      <c r="B42" s="1"/>
      <c r="C42" s="9"/>
      <c r="D42" s="37"/>
      <c r="E42" s="16"/>
      <c r="F42" s="1"/>
      <c r="G42" s="20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x14ac:dyDescent="0.3">
      <c r="A43" s="1"/>
      <c r="B43" s="1"/>
      <c r="C43" s="9"/>
      <c r="D43" s="37"/>
      <c r="E43" s="16"/>
      <c r="F43" s="1"/>
      <c r="G43" s="20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x14ac:dyDescent="0.3">
      <c r="A44" s="1"/>
      <c r="B44" s="1"/>
      <c r="C44" s="9"/>
      <c r="D44" s="37"/>
      <c r="E44" s="16"/>
      <c r="F44" s="1"/>
      <c r="G44" s="20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x14ac:dyDescent="0.3">
      <c r="A45" s="1"/>
      <c r="B45" s="1"/>
      <c r="C45" s="9"/>
      <c r="D45" s="37"/>
      <c r="E45" s="16"/>
      <c r="F45" s="1"/>
      <c r="G45" s="20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x14ac:dyDescent="0.3">
      <c r="A46" s="1"/>
      <c r="B46" s="1"/>
      <c r="C46" s="9"/>
      <c r="D46" s="37"/>
      <c r="E46" s="16"/>
      <c r="F46" s="1"/>
      <c r="G46" s="20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x14ac:dyDescent="0.3">
      <c r="A47" s="1"/>
      <c r="B47" s="1"/>
      <c r="C47" s="9"/>
      <c r="D47" s="37"/>
      <c r="E47" s="16"/>
      <c r="F47" s="1"/>
      <c r="G47" s="20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x14ac:dyDescent="0.3">
      <c r="A48" s="1"/>
      <c r="B48" s="1"/>
      <c r="C48" s="9"/>
      <c r="D48" s="37"/>
      <c r="E48" s="16"/>
      <c r="F48" s="1"/>
      <c r="G48" s="20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x14ac:dyDescent="0.3">
      <c r="A49" s="1"/>
      <c r="B49" s="1"/>
      <c r="C49" s="9"/>
      <c r="D49" s="37"/>
      <c r="E49" s="16"/>
      <c r="F49" s="1"/>
      <c r="G49" s="20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x14ac:dyDescent="0.3">
      <c r="A50" s="1"/>
      <c r="B50" s="1"/>
      <c r="C50" s="9"/>
      <c r="D50" s="37"/>
      <c r="E50" s="16"/>
      <c r="F50" s="1"/>
      <c r="G50" s="20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x14ac:dyDescent="0.3">
      <c r="A51" s="1"/>
      <c r="B51" s="1"/>
      <c r="C51" s="9"/>
      <c r="D51" s="37"/>
      <c r="E51" s="16"/>
      <c r="F51" s="1"/>
      <c r="G51" s="20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x14ac:dyDescent="0.3">
      <c r="A52" s="1"/>
      <c r="B52" s="1"/>
      <c r="C52" s="9"/>
      <c r="D52" s="37"/>
      <c r="E52" s="16"/>
      <c r="F52" s="1"/>
      <c r="G52" s="20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34" x14ac:dyDescent="0.3">
      <c r="A53" s="1"/>
      <c r="B53" s="1"/>
      <c r="C53" s="9"/>
      <c r="D53" s="37"/>
      <c r="E53" s="16"/>
      <c r="F53" s="1"/>
      <c r="G53" s="20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34" x14ac:dyDescent="0.3">
      <c r="A54" s="1"/>
      <c r="B54" s="1"/>
      <c r="C54" s="9"/>
      <c r="D54" s="37"/>
      <c r="E54" s="16"/>
      <c r="F54" s="1"/>
      <c r="G54" s="20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34" x14ac:dyDescent="0.3">
      <c r="A55" s="1"/>
      <c r="B55" s="1"/>
      <c r="C55" s="9"/>
      <c r="D55" s="37"/>
      <c r="E55" s="16"/>
      <c r="F55" s="1"/>
      <c r="G55" s="20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34" x14ac:dyDescent="0.3">
      <c r="A56" s="1"/>
      <c r="B56" s="1"/>
      <c r="C56" s="9"/>
      <c r="D56" s="37"/>
      <c r="E56" s="16"/>
      <c r="F56" s="1"/>
      <c r="G56" s="20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34" x14ac:dyDescent="0.3">
      <c r="A57" s="1"/>
      <c r="B57" s="1"/>
      <c r="C57" s="9"/>
      <c r="D57" s="37"/>
      <c r="E57" s="16"/>
      <c r="F57" s="1"/>
      <c r="G57" s="20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34" x14ac:dyDescent="0.3">
      <c r="A58" s="1"/>
      <c r="B58" s="1"/>
      <c r="C58" s="9"/>
      <c r="D58" s="37"/>
      <c r="E58" s="16"/>
      <c r="F58" s="1"/>
      <c r="G58" s="20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34" x14ac:dyDescent="0.3">
      <c r="A59" s="1"/>
      <c r="B59" s="1"/>
      <c r="C59" s="9"/>
      <c r="D59" s="37"/>
      <c r="E59" s="16"/>
      <c r="F59" s="1"/>
      <c r="G59" s="20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34" x14ac:dyDescent="0.3">
      <c r="A60" s="1"/>
      <c r="B60" s="1"/>
      <c r="C60" s="9"/>
      <c r="D60" s="37"/>
      <c r="E60" s="16"/>
      <c r="F60" s="1"/>
      <c r="G60" s="20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34" x14ac:dyDescent="0.3">
      <c r="A61" s="1"/>
      <c r="B61" s="1"/>
      <c r="C61" s="9"/>
      <c r="D61" s="37"/>
      <c r="E61" s="16"/>
      <c r="F61" s="1"/>
      <c r="G61" s="20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34" x14ac:dyDescent="0.3">
      <c r="A62" s="1"/>
      <c r="B62" s="1"/>
      <c r="C62" s="9"/>
      <c r="D62" s="37"/>
      <c r="E62" s="16"/>
      <c r="F62" s="1"/>
      <c r="G62" s="20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34" x14ac:dyDescent="0.3">
      <c r="A63" s="1"/>
      <c r="B63" s="1"/>
      <c r="C63" s="9"/>
      <c r="D63" s="37"/>
      <c r="E63" s="16"/>
      <c r="F63" s="1"/>
      <c r="G63" s="20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34" x14ac:dyDescent="0.3">
      <c r="A64" s="1"/>
      <c r="B64" s="1"/>
      <c r="C64" s="9"/>
      <c r="D64" s="37"/>
      <c r="E64" s="16"/>
      <c r="F64" s="1"/>
      <c r="G64" s="20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3">
      <c r="A65" s="1"/>
      <c r="B65" s="1"/>
      <c r="C65" s="9"/>
      <c r="D65" s="37"/>
      <c r="E65" s="16"/>
      <c r="F65" s="1"/>
      <c r="G65" s="20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3">
      <c r="A66" s="1"/>
      <c r="B66" s="1"/>
      <c r="C66" s="9"/>
      <c r="D66" s="37"/>
      <c r="E66" s="16"/>
      <c r="F66" s="1"/>
      <c r="G66" s="20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3">
      <c r="A67" s="1"/>
      <c r="B67" s="1"/>
      <c r="C67" s="9"/>
      <c r="D67" s="37"/>
      <c r="E67" s="16"/>
      <c r="F67" s="1"/>
      <c r="G67" s="20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</sheetData>
  <sheetProtection selectLockedCells="1"/>
  <conditionalFormatting sqref="C14:C16">
    <cfRule type="cellIs" dxfId="42" priority="17" operator="equal">
      <formula>"Correct!"</formula>
    </cfRule>
    <cfRule type="cellIs" dxfId="41" priority="18" operator="equal">
      <formula>"Correct!"</formula>
    </cfRule>
  </conditionalFormatting>
  <conditionalFormatting sqref="C14:C16">
    <cfRule type="cellIs" dxfId="40" priority="11" operator="equal">
      <formula>"Please try again"</formula>
    </cfRule>
  </conditionalFormatting>
  <pageMargins left="0.7" right="0.7" top="0.75" bottom="0.7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tabSelected="1" workbookViewId="0">
      <selection activeCell="J2" sqref="J2:K2"/>
    </sheetView>
  </sheetViews>
  <sheetFormatPr defaultRowHeight="30" x14ac:dyDescent="0.7"/>
  <cols>
    <col min="1" max="1" width="15.33203125" style="60" customWidth="1"/>
    <col min="2" max="2" width="9.88671875" style="45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6" width="8.77734375" customWidth="1"/>
    <col min="17" max="17" width="8.33203125" customWidth="1"/>
    <col min="18" max="18" width="4.88671875" customWidth="1"/>
  </cols>
  <sheetData>
    <row r="1" spans="1:18" ht="15" customHeight="1" x14ac:dyDescent="0.7">
      <c r="B1" s="46"/>
      <c r="G1" s="63"/>
      <c r="H1" s="63"/>
      <c r="I1" s="63" t="s">
        <v>43</v>
      </c>
      <c r="J1" s="64"/>
      <c r="M1" s="58"/>
      <c r="N1" s="58"/>
    </row>
    <row r="2" spans="1:18" ht="15" customHeight="1" x14ac:dyDescent="0.7">
      <c r="B2" s="46"/>
      <c r="H2" s="63"/>
      <c r="I2" s="63" t="s">
        <v>44</v>
      </c>
      <c r="J2" s="67" t="s">
        <v>42</v>
      </c>
      <c r="K2" s="67"/>
      <c r="L2" s="58"/>
      <c r="M2" s="58"/>
      <c r="N2" s="58"/>
    </row>
    <row r="3" spans="1:18" ht="15" customHeight="1" x14ac:dyDescent="0.7">
      <c r="A3" s="61"/>
      <c r="B3" s="46"/>
      <c r="C3" s="4"/>
      <c r="D3" s="4"/>
      <c r="E3" s="4"/>
      <c r="I3" s="65"/>
      <c r="J3" s="65"/>
      <c r="K3" s="65"/>
      <c r="L3" s="65"/>
      <c r="M3" s="65"/>
      <c r="N3" s="65"/>
      <c r="R3" s="1"/>
    </row>
    <row r="4" spans="1:18" x14ac:dyDescent="0.7">
      <c r="A4" s="61"/>
      <c r="B4" s="46" t="s">
        <v>0</v>
      </c>
      <c r="C4" s="66" t="str">
        <f>[1]!wwsInput()</f>
        <v/>
      </c>
      <c r="D4" s="66"/>
      <c r="E4" s="66"/>
      <c r="F4" s="66"/>
      <c r="G4" s="66"/>
      <c r="H4" s="66"/>
      <c r="I4" s="40"/>
      <c r="K4" s="40"/>
      <c r="L4" s="40"/>
      <c r="M4" s="40"/>
      <c r="N4" s="40"/>
      <c r="O4" s="40"/>
      <c r="P4" s="40"/>
      <c r="Q4" s="40"/>
      <c r="R4" s="1"/>
    </row>
    <row r="5" spans="1:18" x14ac:dyDescent="0.7">
      <c r="A5" s="61"/>
      <c r="B5" s="46"/>
      <c r="C5" s="27"/>
      <c r="D5" s="28"/>
      <c r="E5" s="29"/>
      <c r="G5" s="40"/>
      <c r="H5" s="40"/>
      <c r="I5" s="40"/>
      <c r="K5" s="40"/>
      <c r="L5" s="40"/>
      <c r="M5" s="40"/>
      <c r="N5" s="40"/>
      <c r="O5" s="40"/>
      <c r="P5" s="40"/>
      <c r="Q5" s="40"/>
      <c r="R5" s="16"/>
    </row>
    <row r="6" spans="1:18" x14ac:dyDescent="0.7">
      <c r="A6" s="62" t="s">
        <v>1</v>
      </c>
      <c r="B6" s="46">
        <v>1</v>
      </c>
      <c r="C6" s="30" t="str">
        <f>[1]!wwsInput("one")</f>
        <v>one</v>
      </c>
      <c r="D6" s="2" t="str">
        <f t="shared" ref="D6:D42" si="0">IF(C6&lt;&gt;"",IF(C6=A6,"GOOD","  ?")," ")</f>
        <v>GOOD</v>
      </c>
      <c r="E6" s="31">
        <f>IF(D6="GOOD",1,0)</f>
        <v>1</v>
      </c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</row>
    <row r="7" spans="1:18" x14ac:dyDescent="0.7">
      <c r="A7" s="62" t="s">
        <v>3</v>
      </c>
      <c r="B7" s="46">
        <v>2</v>
      </c>
      <c r="C7" s="30" t="str">
        <f>[1]!wwsInput("two")</f>
        <v>two</v>
      </c>
      <c r="D7" s="2" t="str">
        <f t="shared" si="0"/>
        <v>GOOD</v>
      </c>
      <c r="E7" s="31">
        <f t="shared" ref="E7:E42" si="1">IF(D7="GOOD",1,0)</f>
        <v>1</v>
      </c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</row>
    <row r="8" spans="1:18" x14ac:dyDescent="0.7">
      <c r="A8" s="62" t="s">
        <v>5</v>
      </c>
      <c r="B8" s="46">
        <v>3</v>
      </c>
      <c r="C8" s="30" t="str">
        <f>[1]!wwsInput("tree")</f>
        <v>tree</v>
      </c>
      <c r="D8" s="2" t="str">
        <f t="shared" si="0"/>
        <v xml:space="preserve">  ?</v>
      </c>
      <c r="E8" s="31">
        <f t="shared" si="1"/>
        <v>0</v>
      </c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</row>
    <row r="9" spans="1:18" x14ac:dyDescent="0.7">
      <c r="A9" s="62" t="s">
        <v>7</v>
      </c>
      <c r="B9" s="46">
        <v>4</v>
      </c>
      <c r="C9" s="30" t="str">
        <f>[1]!wwsInput("for")</f>
        <v>for</v>
      </c>
      <c r="D9" s="2" t="str">
        <f t="shared" si="0"/>
        <v xml:space="preserve">  ?</v>
      </c>
      <c r="E9" s="31">
        <f t="shared" si="1"/>
        <v>0</v>
      </c>
      <c r="G9" s="40"/>
      <c r="H9" s="40"/>
      <c r="J9" s="40"/>
      <c r="K9" s="40"/>
      <c r="L9" s="40"/>
      <c r="M9" s="40"/>
      <c r="N9" s="40"/>
      <c r="O9" s="40"/>
      <c r="P9" s="40"/>
      <c r="Q9" s="40"/>
    </row>
    <row r="10" spans="1:18" x14ac:dyDescent="0.7">
      <c r="A10" s="62" t="s">
        <v>9</v>
      </c>
      <c r="B10" s="46">
        <v>5</v>
      </c>
      <c r="C10" s="30" t="str">
        <f>[1]!wwsInput("fife")</f>
        <v>fife</v>
      </c>
      <c r="D10" s="2" t="str">
        <f t="shared" si="0"/>
        <v xml:space="preserve">  ?</v>
      </c>
      <c r="E10" s="31">
        <f t="shared" si="1"/>
        <v>0</v>
      </c>
      <c r="G10" s="40"/>
      <c r="H10" s="40"/>
      <c r="J10" s="40"/>
      <c r="K10" s="40"/>
      <c r="L10" s="40"/>
      <c r="M10" s="40"/>
      <c r="N10" s="40"/>
      <c r="O10" s="40"/>
      <c r="P10" s="40"/>
      <c r="Q10" s="40"/>
    </row>
    <row r="11" spans="1:18" x14ac:dyDescent="0.7">
      <c r="A11" s="62" t="s">
        <v>11</v>
      </c>
      <c r="B11" s="46">
        <v>6</v>
      </c>
      <c r="C11" s="30" t="str">
        <f>[1]!wwsInput("sick")</f>
        <v>sick</v>
      </c>
      <c r="D11" s="2" t="str">
        <f t="shared" si="0"/>
        <v xml:space="preserve">  ?</v>
      </c>
      <c r="E11" s="31">
        <f t="shared" si="1"/>
        <v>0</v>
      </c>
      <c r="G11" s="40"/>
      <c r="H11" s="40"/>
      <c r="J11" s="40"/>
      <c r="K11" s="40"/>
      <c r="L11" s="40"/>
      <c r="M11" s="40"/>
      <c r="N11" s="40"/>
      <c r="O11" s="40"/>
      <c r="P11" s="40"/>
      <c r="Q11" s="40"/>
    </row>
    <row r="12" spans="1:18" x14ac:dyDescent="0.7">
      <c r="A12" s="62" t="s">
        <v>13</v>
      </c>
      <c r="B12" s="46">
        <v>7</v>
      </c>
      <c r="C12" s="30" t="str">
        <f>[1]!wwsInput("seven")</f>
        <v>seven</v>
      </c>
      <c r="D12" s="2" t="str">
        <f t="shared" si="0"/>
        <v>GOOD</v>
      </c>
      <c r="E12" s="31">
        <f t="shared" si="1"/>
        <v>1</v>
      </c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</row>
    <row r="13" spans="1:18" x14ac:dyDescent="0.7">
      <c r="A13" s="62" t="s">
        <v>15</v>
      </c>
      <c r="B13" s="46">
        <v>8</v>
      </c>
      <c r="C13" s="30" t="str">
        <f>[1]!wwsInput()</f>
        <v/>
      </c>
      <c r="D13" s="2" t="str">
        <f t="shared" si="0"/>
        <v xml:space="preserve"> </v>
      </c>
      <c r="E13" s="31">
        <f t="shared" si="1"/>
        <v>0</v>
      </c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</row>
    <row r="14" spans="1:18" x14ac:dyDescent="0.7">
      <c r="A14" s="62" t="s">
        <v>17</v>
      </c>
      <c r="B14" s="46">
        <v>9</v>
      </c>
      <c r="C14" s="30" t="str">
        <f>[1]!wwsInput()</f>
        <v/>
      </c>
      <c r="D14" s="2" t="str">
        <f t="shared" si="0"/>
        <v xml:space="preserve"> </v>
      </c>
      <c r="E14" s="31">
        <f t="shared" si="1"/>
        <v>0</v>
      </c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</row>
    <row r="15" spans="1:18" x14ac:dyDescent="0.7">
      <c r="A15" s="62" t="s">
        <v>19</v>
      </c>
      <c r="B15" s="46">
        <v>10</v>
      </c>
      <c r="C15" s="30" t="str">
        <f>[1]!wwsInput()</f>
        <v/>
      </c>
      <c r="D15" s="2" t="str">
        <f t="shared" si="0"/>
        <v xml:space="preserve"> </v>
      </c>
      <c r="E15" s="31">
        <f t="shared" si="1"/>
        <v>0</v>
      </c>
      <c r="G15" s="59" t="s">
        <v>39</v>
      </c>
      <c r="I15" s="42" t="e">
        <f>IF(I16,IF(I16=30,"yes","no"),"")</f>
        <v>#VALUE!</v>
      </c>
      <c r="J15" s="42" t="e">
        <f>IF(J16,IF(J16=40,"yes","no"),"")</f>
        <v>#VALUE!</v>
      </c>
      <c r="K15" s="42" t="e">
        <f>IF(K16,IF(K16=50,"yes","no"),"")</f>
        <v>#VALUE!</v>
      </c>
      <c r="L15" s="42" t="e">
        <f>IF(L16,IF(L16=60,"yes","no"),"")</f>
        <v>#VALUE!</v>
      </c>
      <c r="M15" s="42" t="e">
        <f>IF(M16,IF(M16=70,"yes","no"),"")</f>
        <v>#VALUE!</v>
      </c>
      <c r="N15" s="42" t="e">
        <f>IF(N16,IF(N16=80,"yes","no"),"")</f>
        <v>#VALUE!</v>
      </c>
      <c r="O15" s="42" t="e">
        <f>IF(O16,IF(O16=90,"yes","no"),"")</f>
        <v>#VALUE!</v>
      </c>
      <c r="P15" s="42" t="e">
        <f>IF(P16,IF(P16=100,"yes","no"),"")</f>
        <v>#VALUE!</v>
      </c>
      <c r="Q15" s="40"/>
    </row>
    <row r="16" spans="1:18" x14ac:dyDescent="0.7">
      <c r="A16" s="62" t="s">
        <v>2</v>
      </c>
      <c r="B16" s="46">
        <f>B15+1</f>
        <v>11</v>
      </c>
      <c r="C16" s="30" t="str">
        <f>[1]!wwsInput()</f>
        <v/>
      </c>
      <c r="D16" s="2" t="str">
        <f t="shared" si="0"/>
        <v xml:space="preserve"> </v>
      </c>
      <c r="E16" s="31">
        <f t="shared" si="1"/>
        <v>0</v>
      </c>
      <c r="G16" s="43">
        <v>10</v>
      </c>
      <c r="H16" s="50">
        <v>20</v>
      </c>
      <c r="I16" s="56" t="str">
        <f>[1]!wwsInput()</f>
        <v/>
      </c>
      <c r="J16" s="56" t="str">
        <f>[1]!wwsInput()</f>
        <v/>
      </c>
      <c r="K16" s="44" t="str">
        <f>[1]!wwsInput()</f>
        <v/>
      </c>
      <c r="L16" s="56" t="str">
        <f>[1]!wwsInput()</f>
        <v/>
      </c>
      <c r="M16" s="44" t="str">
        <f>[1]!wwsInput()</f>
        <v/>
      </c>
      <c r="N16" s="56" t="str">
        <f>[1]!wwsInput()</f>
        <v/>
      </c>
      <c r="O16" s="56" t="str">
        <f>[1]!wwsInput()</f>
        <v/>
      </c>
      <c r="P16" s="44" t="str">
        <f>[1]!wwsInput()</f>
        <v/>
      </c>
      <c r="Q16" s="40"/>
    </row>
    <row r="17" spans="1:17" x14ac:dyDescent="0.7">
      <c r="A17" s="62" t="s">
        <v>4</v>
      </c>
      <c r="B17" s="46">
        <f t="shared" ref="B17:B25" si="2">B16+1</f>
        <v>12</v>
      </c>
      <c r="C17" s="30" t="str">
        <f>[1]!wwsInput()</f>
        <v/>
      </c>
      <c r="D17" s="2" t="str">
        <f t="shared" si="0"/>
        <v xml:space="preserve"> </v>
      </c>
      <c r="E17" s="31">
        <f t="shared" si="1"/>
        <v>0</v>
      </c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0"/>
    </row>
    <row r="18" spans="1:17" x14ac:dyDescent="0.7">
      <c r="A18" s="62" t="s">
        <v>6</v>
      </c>
      <c r="B18" s="46">
        <f t="shared" si="2"/>
        <v>13</v>
      </c>
      <c r="C18" s="30" t="str">
        <f>[1]!wwsInput()</f>
        <v/>
      </c>
      <c r="D18" s="2" t="str">
        <f t="shared" si="0"/>
        <v xml:space="preserve"> </v>
      </c>
      <c r="E18" s="31">
        <f t="shared" si="1"/>
        <v>0</v>
      </c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/>
    </row>
    <row r="19" spans="1:17" x14ac:dyDescent="0.7">
      <c r="A19" s="62" t="s">
        <v>8</v>
      </c>
      <c r="B19" s="46">
        <f t="shared" si="2"/>
        <v>14</v>
      </c>
      <c r="C19" s="30" t="str">
        <f>[1]!wwsInput()</f>
        <v/>
      </c>
      <c r="D19" s="2" t="str">
        <f t="shared" si="0"/>
        <v xml:space="preserve"> </v>
      </c>
      <c r="E19" s="31">
        <f t="shared" si="1"/>
        <v>0</v>
      </c>
      <c r="G19" s="59" t="s">
        <v>40</v>
      </c>
      <c r="H19" s="57"/>
      <c r="I19" s="42" t="e">
        <f>IF(I20,IF(I20=15,"yes","no"),"")</f>
        <v>#VALUE!</v>
      </c>
      <c r="J19" s="42" t="e">
        <f>IF(J20,IF(J20=20,"yes","no"),"")</f>
        <v>#VALUE!</v>
      </c>
      <c r="K19" s="42" t="e">
        <f>IF(K20,IF(K20=25,"yes","no"),"")</f>
        <v>#VALUE!</v>
      </c>
      <c r="L19" s="42" t="e">
        <f>IF(L20,IF(L20=30,"yes","no"),"")</f>
        <v>#VALUE!</v>
      </c>
      <c r="M19" s="42" t="e">
        <f>IF(M20,IF(M20=35,"yes","no"),"")</f>
        <v>#VALUE!</v>
      </c>
      <c r="N19" s="42" t="e">
        <f>IF(N20,IF(N20=40,"yes","no"),"")</f>
        <v>#VALUE!</v>
      </c>
      <c r="O19" s="42" t="e">
        <f>IF(O20,IF(O20=45,"yes","no"),"")</f>
        <v>#VALUE!</v>
      </c>
      <c r="P19" s="42" t="e">
        <f>IF(P20,IF(P20=50,"yes","no"),"")</f>
        <v>#VALUE!</v>
      </c>
      <c r="Q19" s="40"/>
    </row>
    <row r="20" spans="1:17" x14ac:dyDescent="0.7">
      <c r="A20" s="62" t="s">
        <v>10</v>
      </c>
      <c r="B20" s="46">
        <f t="shared" si="2"/>
        <v>15</v>
      </c>
      <c r="C20" s="30" t="str">
        <f>[1]!wwsInput()</f>
        <v/>
      </c>
      <c r="D20" s="2" t="str">
        <f t="shared" si="0"/>
        <v xml:space="preserve"> </v>
      </c>
      <c r="E20" s="31">
        <f t="shared" si="1"/>
        <v>0</v>
      </c>
      <c r="G20" s="43">
        <v>5</v>
      </c>
      <c r="H20" s="50">
        <v>10</v>
      </c>
      <c r="I20" s="56" t="str">
        <f>[1]!wwsInput()</f>
        <v/>
      </c>
      <c r="J20" s="56" t="str">
        <f>[1]!wwsInput()</f>
        <v/>
      </c>
      <c r="K20" s="44" t="str">
        <f>[1]!wwsInput()</f>
        <v/>
      </c>
      <c r="L20" s="56" t="str">
        <f>[1]!wwsInput()</f>
        <v/>
      </c>
      <c r="M20" s="44" t="str">
        <f>[1]!wwsInput()</f>
        <v/>
      </c>
      <c r="N20" s="56" t="str">
        <f>[1]!wwsInput()</f>
        <v/>
      </c>
      <c r="O20" s="56" t="str">
        <f>[1]!wwsInput()</f>
        <v/>
      </c>
      <c r="P20" s="44" t="str">
        <f>[1]!wwsInput()</f>
        <v/>
      </c>
      <c r="Q20" s="40"/>
    </row>
    <row r="21" spans="1:17" x14ac:dyDescent="0.7">
      <c r="A21" s="62" t="s">
        <v>12</v>
      </c>
      <c r="B21" s="46">
        <f t="shared" si="2"/>
        <v>16</v>
      </c>
      <c r="C21" s="30" t="str">
        <f>[1]!wwsInput()</f>
        <v/>
      </c>
      <c r="D21" s="2" t="str">
        <f t="shared" si="0"/>
        <v xml:space="preserve"> </v>
      </c>
      <c r="E21" s="31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40"/>
    </row>
    <row r="22" spans="1:17" x14ac:dyDescent="0.7">
      <c r="A22" s="62" t="s">
        <v>14</v>
      </c>
      <c r="B22" s="46">
        <f t="shared" si="2"/>
        <v>17</v>
      </c>
      <c r="C22" s="30" t="str">
        <f>[1]!wwsInput()</f>
        <v/>
      </c>
      <c r="D22" s="2" t="str">
        <f t="shared" si="0"/>
        <v xml:space="preserve"> </v>
      </c>
      <c r="E22" s="31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40"/>
    </row>
    <row r="23" spans="1:17" x14ac:dyDescent="0.7">
      <c r="A23" s="62" t="s">
        <v>16</v>
      </c>
      <c r="B23" s="46">
        <f t="shared" si="2"/>
        <v>18</v>
      </c>
      <c r="C23" s="30" t="str">
        <f>[1]!wwsInput()</f>
        <v/>
      </c>
      <c r="D23" s="2" t="str">
        <f t="shared" si="0"/>
        <v xml:space="preserve"> </v>
      </c>
      <c r="E23" s="31">
        <f t="shared" si="1"/>
        <v>0</v>
      </c>
      <c r="G23" s="59" t="s">
        <v>41</v>
      </c>
      <c r="H23" s="57"/>
      <c r="I23" s="42" t="e">
        <f>IF(I24,IF(I24=24,"yes","no"),"")</f>
        <v>#VALUE!</v>
      </c>
      <c r="J23" s="42" t="e">
        <f>IF(J24,IF(J24=26,"yes","no"),"")</f>
        <v>#VALUE!</v>
      </c>
      <c r="K23" s="42" t="e">
        <f>IF(K24,IF(K24=28,"yes","no"),"")</f>
        <v>#VALUE!</v>
      </c>
      <c r="L23" s="42" t="e">
        <f>IF(L24,IF(L24=30,"yes","no"),"")</f>
        <v>#VALUE!</v>
      </c>
      <c r="M23" s="42" t="e">
        <f>IF(M24,IF(M24=32,"yes","no"),"")</f>
        <v>#VALUE!</v>
      </c>
      <c r="N23" s="42" t="e">
        <f>IF(N24,IF(N24=34,"yes","no"),"")</f>
        <v>#VALUE!</v>
      </c>
      <c r="O23" s="42" t="e">
        <f>IF(O24,IF(O24=36,"yes","no"),"")</f>
        <v>#VALUE!</v>
      </c>
      <c r="P23" s="42" t="e">
        <f>IF(P24,IF(P24=38,"yes","no"),"")</f>
        <v>#VALUE!</v>
      </c>
      <c r="Q23" s="42" t="e">
        <f>IF(Q24,IF(Q24=40,"yes","no"),"")</f>
        <v>#VALUE!</v>
      </c>
    </row>
    <row r="24" spans="1:17" x14ac:dyDescent="0.7">
      <c r="A24" s="62" t="s">
        <v>18</v>
      </c>
      <c r="B24" s="46">
        <f t="shared" si="2"/>
        <v>19</v>
      </c>
      <c r="C24" s="30" t="str">
        <f>[1]!wwsInput()</f>
        <v/>
      </c>
      <c r="D24" s="2" t="str">
        <f t="shared" si="0"/>
        <v xml:space="preserve"> </v>
      </c>
      <c r="E24" s="31">
        <f t="shared" si="1"/>
        <v>0</v>
      </c>
      <c r="F24" s="1"/>
      <c r="G24" s="43">
        <v>20</v>
      </c>
      <c r="H24" s="50">
        <v>22</v>
      </c>
      <c r="I24" s="56" t="str">
        <f>[1]!wwsInput()</f>
        <v/>
      </c>
      <c r="J24" s="56" t="str">
        <f>[1]!wwsInput()</f>
        <v/>
      </c>
      <c r="K24" s="44" t="str">
        <f>[1]!wwsInput()</f>
        <v/>
      </c>
      <c r="L24" s="56" t="str">
        <f>[1]!wwsInput()</f>
        <v/>
      </c>
      <c r="M24" s="44" t="str">
        <f>[1]!wwsInput()</f>
        <v/>
      </c>
      <c r="N24" s="56" t="str">
        <f>[1]!wwsInput()</f>
        <v/>
      </c>
      <c r="O24" s="56" t="str">
        <f>[1]!wwsInput()</f>
        <v/>
      </c>
      <c r="P24" s="44" t="str">
        <f>[1]!wwsInput()</f>
        <v/>
      </c>
      <c r="Q24" s="44" t="str">
        <f>[1]!wwsInput()</f>
        <v/>
      </c>
    </row>
    <row r="25" spans="1:17" x14ac:dyDescent="0.7">
      <c r="A25" s="62" t="s">
        <v>20</v>
      </c>
      <c r="B25" s="46">
        <f t="shared" si="2"/>
        <v>20</v>
      </c>
      <c r="C25" s="30" t="str">
        <f>[1]!wwsInput()</f>
        <v/>
      </c>
      <c r="D25" s="2" t="str">
        <f t="shared" si="0"/>
        <v xml:space="preserve"> </v>
      </c>
      <c r="E25" s="31">
        <f t="shared" si="1"/>
        <v>0</v>
      </c>
      <c r="F25" s="8"/>
      <c r="G25" s="51"/>
      <c r="H25" s="52"/>
      <c r="I25" s="53"/>
      <c r="J25" s="53"/>
      <c r="K25" s="52"/>
      <c r="L25" s="53"/>
      <c r="M25" s="52"/>
      <c r="N25" s="53"/>
      <c r="O25" s="53"/>
      <c r="P25" s="52"/>
      <c r="Q25" s="41"/>
    </row>
    <row r="26" spans="1:17" x14ac:dyDescent="0.7">
      <c r="A26" s="62" t="s">
        <v>22</v>
      </c>
      <c r="B26" s="46">
        <v>21</v>
      </c>
      <c r="C26" s="30" t="str">
        <f>[1]!wwsInput()</f>
        <v/>
      </c>
      <c r="D26" s="2" t="str">
        <f t="shared" si="0"/>
        <v xml:space="preserve"> </v>
      </c>
      <c r="E26" s="31">
        <f t="shared" si="1"/>
        <v>0</v>
      </c>
      <c r="F26" s="8"/>
      <c r="G26" s="47"/>
      <c r="H26" s="54"/>
      <c r="I26" s="47"/>
      <c r="J26" s="47"/>
      <c r="K26" s="54"/>
      <c r="L26" s="47"/>
      <c r="M26" s="54"/>
      <c r="N26" s="47"/>
      <c r="O26" s="47"/>
      <c r="P26" s="54"/>
      <c r="Q26" s="41"/>
    </row>
    <row r="27" spans="1:17" x14ac:dyDescent="0.7">
      <c r="A27" s="62" t="s">
        <v>23</v>
      </c>
      <c r="B27" s="46">
        <v>27</v>
      </c>
      <c r="C27" s="30" t="str">
        <f>[1]!wwsInput()</f>
        <v/>
      </c>
      <c r="D27" s="2" t="str">
        <f t="shared" si="0"/>
        <v xml:space="preserve"> </v>
      </c>
      <c r="E27" s="31">
        <f t="shared" si="1"/>
        <v>0</v>
      </c>
      <c r="F27" s="8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41"/>
    </row>
    <row r="28" spans="1:17" x14ac:dyDescent="0.7">
      <c r="A28" s="62" t="s">
        <v>24</v>
      </c>
      <c r="B28" s="46">
        <v>29</v>
      </c>
      <c r="C28" s="30" t="str">
        <f>[1]!wwsInput()</f>
        <v/>
      </c>
      <c r="D28" s="2" t="str">
        <f t="shared" si="0"/>
        <v xml:space="preserve"> </v>
      </c>
      <c r="E28" s="31">
        <f t="shared" si="1"/>
        <v>0</v>
      </c>
      <c r="F28" s="8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41"/>
    </row>
    <row r="29" spans="1:17" x14ac:dyDescent="0.7">
      <c r="A29" s="62" t="s">
        <v>25</v>
      </c>
      <c r="B29" s="46">
        <v>30</v>
      </c>
      <c r="C29" s="30" t="str">
        <f>[1]!wwsInput()</f>
        <v/>
      </c>
      <c r="D29" s="2" t="str">
        <f t="shared" si="0"/>
        <v xml:space="preserve"> </v>
      </c>
      <c r="E29" s="31">
        <f t="shared" si="1"/>
        <v>0</v>
      </c>
      <c r="F29" s="8"/>
      <c r="G29" s="52"/>
      <c r="H29" s="52"/>
      <c r="I29" s="53"/>
      <c r="J29" s="53"/>
      <c r="K29" s="52"/>
      <c r="L29" s="52"/>
      <c r="M29" s="52"/>
      <c r="N29" s="53"/>
      <c r="O29" s="53"/>
      <c r="P29" s="52"/>
      <c r="Q29" s="41"/>
    </row>
    <row r="30" spans="1:17" x14ac:dyDescent="0.7">
      <c r="A30" s="62" t="s">
        <v>26</v>
      </c>
      <c r="B30" s="46">
        <v>32</v>
      </c>
      <c r="C30" s="30" t="str">
        <f>[1]!wwsInput()</f>
        <v/>
      </c>
      <c r="D30" s="2" t="str">
        <f t="shared" si="0"/>
        <v xml:space="preserve"> </v>
      </c>
      <c r="E30" s="31">
        <f t="shared" si="1"/>
        <v>0</v>
      </c>
      <c r="F30" s="33">
        <v>10</v>
      </c>
      <c r="G30" s="54"/>
      <c r="H30" s="54"/>
      <c r="I30" s="47"/>
      <c r="J30" s="47"/>
      <c r="K30" s="54"/>
      <c r="L30" s="54"/>
      <c r="M30" s="54"/>
      <c r="N30" s="47"/>
      <c r="O30" s="47"/>
      <c r="P30" s="54"/>
      <c r="Q30" s="41"/>
    </row>
    <row r="31" spans="1:17" x14ac:dyDescent="0.7">
      <c r="A31" s="62" t="s">
        <v>27</v>
      </c>
      <c r="B31" s="46">
        <v>36</v>
      </c>
      <c r="C31" s="30" t="str">
        <f>[1]!wwsInput()</f>
        <v/>
      </c>
      <c r="D31" s="2" t="str">
        <f t="shared" si="0"/>
        <v xml:space="preserve"> </v>
      </c>
      <c r="E31" s="31">
        <f t="shared" si="1"/>
        <v>0</v>
      </c>
      <c r="F31" s="8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41"/>
    </row>
    <row r="32" spans="1:17" x14ac:dyDescent="0.7">
      <c r="A32" s="62" t="s">
        <v>28</v>
      </c>
      <c r="B32" s="46">
        <v>40</v>
      </c>
      <c r="C32" s="30" t="str">
        <f>[1]!wwsInput()</f>
        <v/>
      </c>
      <c r="D32" s="2" t="str">
        <f t="shared" si="0"/>
        <v xml:space="preserve"> </v>
      </c>
      <c r="E32" s="31">
        <f t="shared" si="1"/>
        <v>0</v>
      </c>
      <c r="F32" s="8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41"/>
    </row>
    <row r="33" spans="1:18" x14ac:dyDescent="0.7">
      <c r="A33" s="62" t="s">
        <v>29</v>
      </c>
      <c r="B33" s="46">
        <v>54</v>
      </c>
      <c r="C33" s="30" t="str">
        <f>[1]!wwsInput()</f>
        <v/>
      </c>
      <c r="D33" s="2" t="str">
        <f t="shared" si="0"/>
        <v xml:space="preserve"> </v>
      </c>
      <c r="E33" s="31">
        <f t="shared" si="1"/>
        <v>0</v>
      </c>
      <c r="F33" s="8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41"/>
    </row>
    <row r="34" spans="1:18" x14ac:dyDescent="0.7">
      <c r="A34" s="62" t="s">
        <v>30</v>
      </c>
      <c r="B34" s="46">
        <v>71</v>
      </c>
      <c r="C34" s="30" t="str">
        <f>[1]!wwsInput()</f>
        <v/>
      </c>
      <c r="D34" s="2" t="str">
        <f t="shared" si="0"/>
        <v xml:space="preserve"> </v>
      </c>
      <c r="E34" s="31">
        <f t="shared" si="1"/>
        <v>0</v>
      </c>
      <c r="F34" s="1"/>
      <c r="Q34" s="41"/>
    </row>
    <row r="35" spans="1:18" x14ac:dyDescent="0.7">
      <c r="A35" s="62" t="s">
        <v>31</v>
      </c>
      <c r="B35" s="46">
        <v>93</v>
      </c>
      <c r="C35" s="30" t="str">
        <f>[1]!wwsInput()</f>
        <v/>
      </c>
      <c r="D35" s="2" t="str">
        <f t="shared" si="0"/>
        <v xml:space="preserve"> </v>
      </c>
      <c r="E35" s="31">
        <f t="shared" si="1"/>
        <v>0</v>
      </c>
      <c r="F35" s="1"/>
      <c r="Q35" s="41"/>
    </row>
    <row r="36" spans="1:18" x14ac:dyDescent="0.7">
      <c r="A36" s="62" t="s">
        <v>32</v>
      </c>
      <c r="B36" s="46">
        <v>42</v>
      </c>
      <c r="C36" s="30" t="str">
        <f>[1]!wwsInput()</f>
        <v/>
      </c>
      <c r="D36" s="2" t="str">
        <f t="shared" si="0"/>
        <v xml:space="preserve"> </v>
      </c>
      <c r="E36" s="31">
        <f t="shared" si="1"/>
        <v>0</v>
      </c>
      <c r="F36" s="1"/>
      <c r="Q36" s="41"/>
    </row>
    <row r="37" spans="1:18" x14ac:dyDescent="0.7">
      <c r="A37" s="62" t="s">
        <v>33</v>
      </c>
      <c r="B37" s="46">
        <v>38</v>
      </c>
      <c r="C37" s="30" t="str">
        <f>[1]!wwsInput()</f>
        <v/>
      </c>
      <c r="D37" s="2" t="str">
        <f t="shared" si="0"/>
        <v xml:space="preserve"> </v>
      </c>
      <c r="E37" s="31">
        <f t="shared" si="1"/>
        <v>0</v>
      </c>
      <c r="F37" s="1"/>
      <c r="Q37" s="1"/>
    </row>
    <row r="38" spans="1:18" x14ac:dyDescent="0.7">
      <c r="A38" s="62" t="s">
        <v>34</v>
      </c>
      <c r="B38" s="46">
        <v>83</v>
      </c>
      <c r="C38" s="30" t="str">
        <f>[1]!wwsInput()</f>
        <v/>
      </c>
      <c r="D38" s="2" t="str">
        <f t="shared" si="0"/>
        <v xml:space="preserve"> </v>
      </c>
      <c r="E38" s="31">
        <f t="shared" si="1"/>
        <v>0</v>
      </c>
      <c r="F38" s="32">
        <v>10</v>
      </c>
      <c r="Q38" s="1"/>
    </row>
    <row r="39" spans="1:18" x14ac:dyDescent="0.7">
      <c r="A39" s="62" t="s">
        <v>37</v>
      </c>
      <c r="B39" s="46">
        <v>76</v>
      </c>
      <c r="C39" s="30" t="str">
        <f>[1]!wwsInput()</f>
        <v/>
      </c>
      <c r="D39" s="2" t="str">
        <f t="shared" si="0"/>
        <v xml:space="preserve"> </v>
      </c>
      <c r="E39" s="31">
        <f t="shared" si="1"/>
        <v>0</v>
      </c>
      <c r="F39" s="1"/>
      <c r="Q39" s="1"/>
    </row>
    <row r="40" spans="1:18" x14ac:dyDescent="0.7">
      <c r="A40" s="62" t="s">
        <v>35</v>
      </c>
      <c r="B40" s="46">
        <v>100</v>
      </c>
      <c r="C40" s="30" t="str">
        <f>[1]!wwsInput()</f>
        <v/>
      </c>
      <c r="D40" s="2" t="str">
        <f t="shared" si="0"/>
        <v xml:space="preserve"> </v>
      </c>
      <c r="E40" s="31">
        <f t="shared" si="1"/>
        <v>0</v>
      </c>
      <c r="F40" s="1"/>
      <c r="Q40" s="1"/>
    </row>
    <row r="41" spans="1:18" x14ac:dyDescent="0.7">
      <c r="A41" s="62" t="s">
        <v>36</v>
      </c>
      <c r="B41" s="46">
        <v>106</v>
      </c>
      <c r="C41" s="30" t="str">
        <f>[1]!wwsInput()</f>
        <v/>
      </c>
      <c r="D41" s="2" t="str">
        <f t="shared" si="0"/>
        <v xml:space="preserve"> </v>
      </c>
      <c r="E41" s="31">
        <f t="shared" si="1"/>
        <v>0</v>
      </c>
      <c r="F41" s="1"/>
      <c r="Q41" s="1"/>
    </row>
    <row r="42" spans="1:18" x14ac:dyDescent="0.7">
      <c r="A42" s="62" t="s">
        <v>38</v>
      </c>
      <c r="B42" s="46">
        <v>212</v>
      </c>
      <c r="C42" s="30" t="str">
        <f>[1]!wwsInput()</f>
        <v/>
      </c>
      <c r="D42" s="2" t="str">
        <f t="shared" si="0"/>
        <v xml:space="preserve"> </v>
      </c>
      <c r="E42" s="31">
        <f t="shared" si="1"/>
        <v>0</v>
      </c>
      <c r="F42" s="1"/>
      <c r="Q42" s="1"/>
    </row>
    <row r="43" spans="1:18" s="48" customFormat="1" x14ac:dyDescent="0.7">
      <c r="A43" s="60"/>
      <c r="B43" s="46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8" t="s">
        <v>21</v>
      </c>
    </row>
    <row r="44" spans="1:18" s="48" customFormat="1" x14ac:dyDescent="0.7">
      <c r="A44" s="60"/>
      <c r="B44" s="46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1:18" s="48" customFormat="1" x14ac:dyDescent="0.7">
      <c r="A45" s="60"/>
      <c r="B45" s="46"/>
    </row>
    <row r="46" spans="1:18" s="48" customFormat="1" x14ac:dyDescent="0.7">
      <c r="A46" s="60"/>
      <c r="B46" s="46"/>
    </row>
    <row r="47" spans="1:18" s="48" customFormat="1" x14ac:dyDescent="0.7">
      <c r="A47" s="60"/>
      <c r="B47" s="46"/>
    </row>
    <row r="48" spans="1:18" s="48" customFormat="1" x14ac:dyDescent="0.7">
      <c r="A48" s="60"/>
      <c r="B48" s="46"/>
    </row>
    <row r="49" spans="1:2" s="48" customFormat="1" x14ac:dyDescent="0.7">
      <c r="A49" s="60"/>
      <c r="B49" s="46"/>
    </row>
    <row r="50" spans="1:2" s="48" customFormat="1" x14ac:dyDescent="0.7">
      <c r="A50" s="60"/>
      <c r="B50" s="46"/>
    </row>
    <row r="51" spans="1:2" s="48" customFormat="1" x14ac:dyDescent="0.7">
      <c r="A51" s="60"/>
      <c r="B51" s="46"/>
    </row>
    <row r="52" spans="1:2" s="48" customFormat="1" x14ac:dyDescent="0.7">
      <c r="A52" s="60"/>
      <c r="B52" s="46"/>
    </row>
    <row r="53" spans="1:2" s="48" customFormat="1" x14ac:dyDescent="0.7">
      <c r="A53" s="60"/>
      <c r="B53" s="46"/>
    </row>
    <row r="54" spans="1:2" s="48" customFormat="1" x14ac:dyDescent="0.7">
      <c r="A54" s="60"/>
      <c r="B54" s="46"/>
    </row>
    <row r="55" spans="1:2" s="48" customFormat="1" x14ac:dyDescent="0.7">
      <c r="A55" s="60"/>
      <c r="B55" s="46"/>
    </row>
    <row r="56" spans="1:2" s="48" customFormat="1" x14ac:dyDescent="0.7">
      <c r="A56" s="60"/>
      <c r="B56" s="46"/>
    </row>
    <row r="57" spans="1:2" s="48" customFormat="1" x14ac:dyDescent="0.7">
      <c r="A57" s="60"/>
      <c r="B57" s="46"/>
    </row>
    <row r="58" spans="1:2" s="48" customFormat="1" x14ac:dyDescent="0.7">
      <c r="A58" s="60"/>
      <c r="B58" s="46"/>
    </row>
    <row r="59" spans="1:2" s="48" customFormat="1" x14ac:dyDescent="0.7">
      <c r="A59" s="60"/>
      <c r="B59" s="46"/>
    </row>
    <row r="60" spans="1:2" s="48" customFormat="1" x14ac:dyDescent="0.7">
      <c r="A60" s="60"/>
      <c r="B60" s="46"/>
    </row>
    <row r="61" spans="1:2" s="48" customFormat="1" x14ac:dyDescent="0.7">
      <c r="A61" s="60"/>
      <c r="B61" s="46"/>
    </row>
    <row r="62" spans="1:2" s="48" customFormat="1" x14ac:dyDescent="0.7">
      <c r="A62" s="60"/>
      <c r="B62" s="46"/>
    </row>
    <row r="63" spans="1:2" s="48" customFormat="1" x14ac:dyDescent="0.7">
      <c r="A63" s="60"/>
      <c r="B63" s="46"/>
    </row>
    <row r="64" spans="1:2" s="48" customFormat="1" x14ac:dyDescent="0.7">
      <c r="A64" s="60"/>
      <c r="B64" s="46"/>
    </row>
    <row r="65" spans="1:2" s="48" customFormat="1" x14ac:dyDescent="0.7">
      <c r="A65" s="60"/>
      <c r="B65" s="46"/>
    </row>
    <row r="66" spans="1:2" s="48" customFormat="1" x14ac:dyDescent="0.7">
      <c r="A66" s="60"/>
      <c r="B66" s="46"/>
    </row>
    <row r="67" spans="1:2" s="48" customFormat="1" x14ac:dyDescent="0.7">
      <c r="A67" s="60"/>
      <c r="B67" s="46"/>
    </row>
    <row r="68" spans="1:2" s="48" customFormat="1" x14ac:dyDescent="0.7">
      <c r="A68" s="60"/>
      <c r="B68" s="46"/>
    </row>
    <row r="69" spans="1:2" s="48" customFormat="1" x14ac:dyDescent="0.7">
      <c r="A69" s="60"/>
      <c r="B69" s="46"/>
    </row>
    <row r="70" spans="1:2" s="48" customFormat="1" x14ac:dyDescent="0.7">
      <c r="A70" s="60"/>
      <c r="B70" s="46"/>
    </row>
    <row r="71" spans="1:2" s="48" customFormat="1" x14ac:dyDescent="0.7">
      <c r="A71" s="60"/>
      <c r="B71" s="46"/>
    </row>
    <row r="72" spans="1:2" s="48" customFormat="1" x14ac:dyDescent="0.7">
      <c r="A72" s="60"/>
      <c r="B72" s="46"/>
    </row>
    <row r="73" spans="1:2" s="48" customFormat="1" x14ac:dyDescent="0.7">
      <c r="A73" s="60"/>
      <c r="B73" s="46"/>
    </row>
    <row r="74" spans="1:2" s="48" customFormat="1" x14ac:dyDescent="0.7">
      <c r="A74" s="60"/>
      <c r="B74" s="46"/>
    </row>
    <row r="75" spans="1:2" s="48" customFormat="1" x14ac:dyDescent="0.7">
      <c r="A75" s="60"/>
      <c r="B75" s="46"/>
    </row>
    <row r="76" spans="1:2" s="48" customFormat="1" x14ac:dyDescent="0.7">
      <c r="A76" s="60"/>
      <c r="B76" s="46"/>
    </row>
    <row r="77" spans="1:2" s="48" customFormat="1" x14ac:dyDescent="0.7">
      <c r="A77" s="60"/>
      <c r="B77" s="46"/>
    </row>
    <row r="78" spans="1:2" s="48" customFormat="1" x14ac:dyDescent="0.7">
      <c r="A78" s="60"/>
      <c r="B78" s="46"/>
    </row>
    <row r="79" spans="1:2" s="48" customFormat="1" x14ac:dyDescent="0.7">
      <c r="A79" s="60"/>
      <c r="B79" s="46"/>
    </row>
    <row r="80" spans="1:2" s="48" customFormat="1" x14ac:dyDescent="0.7">
      <c r="A80" s="60"/>
      <c r="B80" s="46"/>
    </row>
    <row r="81" spans="1:2" s="48" customFormat="1" x14ac:dyDescent="0.7">
      <c r="A81" s="60"/>
      <c r="B81" s="46"/>
    </row>
    <row r="82" spans="1:2" s="48" customFormat="1" x14ac:dyDescent="0.7">
      <c r="A82" s="60"/>
      <c r="B82" s="46"/>
    </row>
    <row r="83" spans="1:2" s="48" customFormat="1" x14ac:dyDescent="0.7">
      <c r="A83" s="60"/>
      <c r="B83" s="46"/>
    </row>
    <row r="84" spans="1:2" s="48" customFormat="1" x14ac:dyDescent="0.7">
      <c r="A84" s="60"/>
      <c r="B84" s="46"/>
    </row>
    <row r="85" spans="1:2" s="48" customFormat="1" x14ac:dyDescent="0.7">
      <c r="A85" s="60"/>
      <c r="B85" s="46"/>
    </row>
    <row r="86" spans="1:2" s="48" customFormat="1" x14ac:dyDescent="0.7">
      <c r="A86" s="60"/>
      <c r="B86" s="46"/>
    </row>
    <row r="87" spans="1:2" s="48" customFormat="1" x14ac:dyDescent="0.7">
      <c r="A87" s="60"/>
      <c r="B87" s="46"/>
    </row>
    <row r="88" spans="1:2" s="48" customFormat="1" x14ac:dyDescent="0.7">
      <c r="A88" s="60"/>
      <c r="B88" s="46"/>
    </row>
    <row r="89" spans="1:2" s="48" customFormat="1" x14ac:dyDescent="0.7">
      <c r="A89" s="60"/>
      <c r="B89" s="46"/>
    </row>
    <row r="90" spans="1:2" s="48" customFormat="1" x14ac:dyDescent="0.7">
      <c r="A90" s="60"/>
      <c r="B90" s="46"/>
    </row>
    <row r="91" spans="1:2" s="48" customFormat="1" x14ac:dyDescent="0.7">
      <c r="A91" s="60"/>
      <c r="B91" s="46"/>
    </row>
    <row r="92" spans="1:2" s="48" customFormat="1" x14ac:dyDescent="0.7">
      <c r="A92" s="60"/>
      <c r="B92" s="46"/>
    </row>
    <row r="93" spans="1:2" s="48" customFormat="1" x14ac:dyDescent="0.7">
      <c r="A93" s="60"/>
      <c r="B93" s="46"/>
    </row>
    <row r="94" spans="1:2" s="48" customFormat="1" x14ac:dyDescent="0.7">
      <c r="A94" s="60"/>
      <c r="B94" s="46"/>
    </row>
    <row r="95" spans="1:2" s="48" customFormat="1" x14ac:dyDescent="0.7">
      <c r="A95" s="60"/>
      <c r="B95" s="46"/>
    </row>
    <row r="96" spans="1:2" s="48" customFormat="1" x14ac:dyDescent="0.7">
      <c r="A96" s="60"/>
      <c r="B96" s="46"/>
    </row>
    <row r="97" spans="1:2" s="48" customFormat="1" x14ac:dyDescent="0.7">
      <c r="A97" s="60"/>
      <c r="B97" s="46"/>
    </row>
    <row r="98" spans="1:2" s="48" customFormat="1" x14ac:dyDescent="0.7">
      <c r="A98" s="60"/>
      <c r="B98" s="46"/>
    </row>
    <row r="99" spans="1:2" s="48" customFormat="1" x14ac:dyDescent="0.7">
      <c r="A99" s="60"/>
      <c r="B99" s="46"/>
    </row>
    <row r="100" spans="1:2" s="48" customFormat="1" x14ac:dyDescent="0.7">
      <c r="A100" s="60"/>
      <c r="B100" s="46"/>
    </row>
    <row r="101" spans="1:2" s="48" customFormat="1" x14ac:dyDescent="0.7">
      <c r="A101" s="60"/>
      <c r="B101" s="46"/>
    </row>
    <row r="102" spans="1:2" s="48" customFormat="1" x14ac:dyDescent="0.7">
      <c r="A102" s="60"/>
      <c r="B102" s="46"/>
    </row>
    <row r="103" spans="1:2" s="48" customFormat="1" x14ac:dyDescent="0.7">
      <c r="A103" s="60"/>
      <c r="B103" s="46"/>
    </row>
    <row r="104" spans="1:2" s="48" customFormat="1" x14ac:dyDescent="0.7">
      <c r="A104" s="60"/>
      <c r="B104" s="46"/>
    </row>
    <row r="105" spans="1:2" s="48" customFormat="1" x14ac:dyDescent="0.7">
      <c r="A105" s="60"/>
      <c r="B105" s="46"/>
    </row>
    <row r="106" spans="1:2" s="48" customFormat="1" x14ac:dyDescent="0.7">
      <c r="A106" s="60"/>
      <c r="B106" s="46"/>
    </row>
    <row r="107" spans="1:2" s="48" customFormat="1" x14ac:dyDescent="0.7">
      <c r="A107" s="60"/>
      <c r="B107" s="46"/>
    </row>
    <row r="108" spans="1:2" s="48" customFormat="1" x14ac:dyDescent="0.7">
      <c r="A108" s="60"/>
      <c r="B108" s="46"/>
    </row>
    <row r="109" spans="1:2" s="48" customFormat="1" x14ac:dyDescent="0.7">
      <c r="A109" s="60"/>
      <c r="B109" s="46"/>
    </row>
    <row r="110" spans="1:2" s="48" customFormat="1" x14ac:dyDescent="0.7">
      <c r="A110" s="60"/>
      <c r="B110" s="46"/>
    </row>
    <row r="111" spans="1:2" s="48" customFormat="1" x14ac:dyDescent="0.7">
      <c r="A111" s="60"/>
      <c r="B111" s="46"/>
    </row>
    <row r="112" spans="1:2" s="48" customFormat="1" x14ac:dyDescent="0.7">
      <c r="A112" s="60"/>
      <c r="B112" s="46"/>
    </row>
    <row r="113" spans="1:2" s="48" customFormat="1" x14ac:dyDescent="0.7">
      <c r="A113" s="60"/>
      <c r="B113" s="46"/>
    </row>
    <row r="114" spans="1:2" s="48" customFormat="1" x14ac:dyDescent="0.7">
      <c r="A114" s="60"/>
      <c r="B114" s="46"/>
    </row>
    <row r="115" spans="1:2" s="48" customFormat="1" x14ac:dyDescent="0.7">
      <c r="A115" s="60"/>
      <c r="B115" s="46"/>
    </row>
    <row r="116" spans="1:2" s="48" customFormat="1" x14ac:dyDescent="0.7">
      <c r="A116" s="60"/>
      <c r="B116" s="46"/>
    </row>
    <row r="117" spans="1:2" s="48" customFormat="1" x14ac:dyDescent="0.7">
      <c r="A117" s="60"/>
      <c r="B117" s="46"/>
    </row>
    <row r="118" spans="1:2" s="48" customFormat="1" x14ac:dyDescent="0.7">
      <c r="A118" s="60"/>
      <c r="B118" s="46"/>
    </row>
    <row r="119" spans="1:2" s="48" customFormat="1" x14ac:dyDescent="0.7">
      <c r="A119" s="60"/>
      <c r="B119" s="46"/>
    </row>
    <row r="120" spans="1:2" s="48" customFormat="1" x14ac:dyDescent="0.7">
      <c r="A120" s="60"/>
      <c r="B120" s="46"/>
    </row>
    <row r="121" spans="1:2" s="48" customFormat="1" x14ac:dyDescent="0.7">
      <c r="A121" s="60"/>
      <c r="B121" s="46"/>
    </row>
    <row r="122" spans="1:2" s="48" customFormat="1" x14ac:dyDescent="0.7">
      <c r="A122" s="60"/>
      <c r="B122" s="46"/>
    </row>
    <row r="123" spans="1:2" s="48" customFormat="1" x14ac:dyDescent="0.7">
      <c r="A123" s="60"/>
      <c r="B123" s="46"/>
    </row>
    <row r="124" spans="1:2" s="48" customFormat="1" x14ac:dyDescent="0.7">
      <c r="A124" s="60"/>
      <c r="B124" s="46"/>
    </row>
    <row r="125" spans="1:2" s="48" customFormat="1" x14ac:dyDescent="0.7">
      <c r="A125" s="60"/>
      <c r="B125" s="46"/>
    </row>
    <row r="126" spans="1:2" s="48" customFormat="1" x14ac:dyDescent="0.7">
      <c r="A126" s="60"/>
      <c r="B126" s="46"/>
    </row>
    <row r="127" spans="1:2" s="48" customFormat="1" x14ac:dyDescent="0.7">
      <c r="A127" s="60"/>
      <c r="B127" s="46"/>
    </row>
    <row r="128" spans="1:2" s="48" customFormat="1" x14ac:dyDescent="0.7">
      <c r="A128" s="60"/>
      <c r="B128" s="46"/>
    </row>
    <row r="129" spans="1:2" s="48" customFormat="1" x14ac:dyDescent="0.7">
      <c r="A129" s="60"/>
      <c r="B129" s="46"/>
    </row>
    <row r="130" spans="1:2" s="48" customFormat="1" x14ac:dyDescent="0.7">
      <c r="A130" s="60"/>
      <c r="B130" s="46"/>
    </row>
    <row r="131" spans="1:2" s="48" customFormat="1" x14ac:dyDescent="0.7">
      <c r="A131" s="60"/>
      <c r="B131" s="46"/>
    </row>
    <row r="132" spans="1:2" s="48" customFormat="1" x14ac:dyDescent="0.7">
      <c r="A132" s="60"/>
      <c r="B132" s="46"/>
    </row>
    <row r="133" spans="1:2" s="48" customFormat="1" x14ac:dyDescent="0.7">
      <c r="A133" s="60"/>
      <c r="B133" s="46"/>
    </row>
    <row r="134" spans="1:2" s="48" customFormat="1" x14ac:dyDescent="0.7">
      <c r="A134" s="60"/>
      <c r="B134" s="46"/>
    </row>
    <row r="135" spans="1:2" s="48" customFormat="1" x14ac:dyDescent="0.7">
      <c r="A135" s="60"/>
      <c r="B135" s="46"/>
    </row>
    <row r="136" spans="1:2" s="48" customFormat="1" x14ac:dyDescent="0.7">
      <c r="A136" s="60"/>
      <c r="B136" s="46"/>
    </row>
    <row r="137" spans="1:2" s="48" customFormat="1" x14ac:dyDescent="0.7">
      <c r="A137" s="60"/>
      <c r="B137" s="46"/>
    </row>
    <row r="138" spans="1:2" s="48" customFormat="1" x14ac:dyDescent="0.7">
      <c r="A138" s="60"/>
      <c r="B138" s="46"/>
    </row>
    <row r="139" spans="1:2" s="48" customFormat="1" x14ac:dyDescent="0.7">
      <c r="A139" s="60"/>
      <c r="B139" s="46"/>
    </row>
    <row r="140" spans="1:2" s="48" customFormat="1" x14ac:dyDescent="0.7">
      <c r="A140" s="60"/>
      <c r="B140" s="46"/>
    </row>
    <row r="141" spans="1:2" s="48" customFormat="1" x14ac:dyDescent="0.7">
      <c r="A141" s="60"/>
      <c r="B141" s="46"/>
    </row>
    <row r="142" spans="1:2" s="48" customFormat="1" x14ac:dyDescent="0.7">
      <c r="A142" s="60"/>
      <c r="B142" s="46"/>
    </row>
    <row r="143" spans="1:2" s="48" customFormat="1" x14ac:dyDescent="0.7">
      <c r="A143" s="60"/>
      <c r="B143" s="46"/>
    </row>
    <row r="144" spans="1:2" s="48" customFormat="1" x14ac:dyDescent="0.7">
      <c r="A144" s="60"/>
      <c r="B144" s="46"/>
    </row>
    <row r="145" spans="1:2" s="48" customFormat="1" x14ac:dyDescent="0.7">
      <c r="A145" s="60"/>
      <c r="B145" s="46"/>
    </row>
    <row r="146" spans="1:2" s="48" customFormat="1" x14ac:dyDescent="0.7">
      <c r="A146" s="60"/>
      <c r="B146" s="46"/>
    </row>
    <row r="147" spans="1:2" s="48" customFormat="1" x14ac:dyDescent="0.7">
      <c r="A147" s="60"/>
      <c r="B147" s="46"/>
    </row>
    <row r="148" spans="1:2" s="48" customFormat="1" x14ac:dyDescent="0.7">
      <c r="A148" s="60"/>
      <c r="B148" s="46"/>
    </row>
    <row r="149" spans="1:2" s="48" customFormat="1" x14ac:dyDescent="0.7">
      <c r="A149" s="60"/>
      <c r="B149" s="46"/>
    </row>
    <row r="150" spans="1:2" s="48" customFormat="1" x14ac:dyDescent="0.7">
      <c r="A150" s="60"/>
      <c r="B150" s="46"/>
    </row>
    <row r="151" spans="1:2" s="48" customFormat="1" x14ac:dyDescent="0.7">
      <c r="A151" s="60"/>
      <c r="B151" s="46"/>
    </row>
    <row r="152" spans="1:2" s="48" customFormat="1" x14ac:dyDescent="0.7">
      <c r="A152" s="60"/>
      <c r="B152" s="46"/>
    </row>
    <row r="153" spans="1:2" s="48" customFormat="1" x14ac:dyDescent="0.7">
      <c r="A153" s="60"/>
      <c r="B153" s="46"/>
    </row>
    <row r="154" spans="1:2" s="48" customFormat="1" x14ac:dyDescent="0.7">
      <c r="A154" s="60"/>
      <c r="B154" s="46"/>
    </row>
    <row r="155" spans="1:2" s="48" customFormat="1" x14ac:dyDescent="0.7">
      <c r="A155" s="60"/>
      <c r="B155" s="46"/>
    </row>
    <row r="156" spans="1:2" s="48" customFormat="1" x14ac:dyDescent="0.7">
      <c r="A156" s="60"/>
      <c r="B156" s="46"/>
    </row>
    <row r="157" spans="1:2" s="48" customFormat="1" x14ac:dyDescent="0.7">
      <c r="A157" s="60"/>
      <c r="B157" s="46"/>
    </row>
    <row r="158" spans="1:2" s="48" customFormat="1" x14ac:dyDescent="0.7">
      <c r="A158" s="60"/>
      <c r="B158" s="46"/>
    </row>
    <row r="159" spans="1:2" s="48" customFormat="1" x14ac:dyDescent="0.7">
      <c r="A159" s="60"/>
      <c r="B159" s="46"/>
    </row>
    <row r="160" spans="1:2" s="48" customFormat="1" x14ac:dyDescent="0.7">
      <c r="A160" s="60"/>
      <c r="B160" s="46"/>
    </row>
    <row r="161" spans="1:2" s="48" customFormat="1" x14ac:dyDescent="0.7">
      <c r="A161" s="60"/>
      <c r="B161" s="46"/>
    </row>
    <row r="162" spans="1:2" s="48" customFormat="1" x14ac:dyDescent="0.7">
      <c r="A162" s="60"/>
      <c r="B162" s="46"/>
    </row>
    <row r="163" spans="1:2" s="48" customFormat="1" x14ac:dyDescent="0.7">
      <c r="A163" s="60"/>
      <c r="B163" s="46"/>
    </row>
    <row r="164" spans="1:2" s="48" customFormat="1" x14ac:dyDescent="0.7">
      <c r="A164" s="60"/>
      <c r="B164" s="46"/>
    </row>
    <row r="165" spans="1:2" s="48" customFormat="1" x14ac:dyDescent="0.7">
      <c r="A165" s="60"/>
      <c r="B165" s="46"/>
    </row>
    <row r="166" spans="1:2" s="48" customFormat="1" x14ac:dyDescent="0.7">
      <c r="A166" s="60"/>
      <c r="B166" s="46"/>
    </row>
    <row r="167" spans="1:2" s="48" customFormat="1" x14ac:dyDescent="0.7">
      <c r="A167" s="60"/>
      <c r="B167" s="46"/>
    </row>
    <row r="168" spans="1:2" s="48" customFormat="1" x14ac:dyDescent="0.7">
      <c r="A168" s="60"/>
      <c r="B168" s="46"/>
    </row>
    <row r="169" spans="1:2" s="48" customFormat="1" x14ac:dyDescent="0.7">
      <c r="A169" s="60"/>
      <c r="B169" s="46"/>
    </row>
    <row r="170" spans="1:2" s="48" customFormat="1" x14ac:dyDescent="0.7">
      <c r="A170" s="60"/>
      <c r="B170" s="46"/>
    </row>
    <row r="171" spans="1:2" s="48" customFormat="1" x14ac:dyDescent="0.7">
      <c r="A171" s="60"/>
      <c r="B171" s="46"/>
    </row>
    <row r="172" spans="1:2" s="48" customFormat="1" x14ac:dyDescent="0.7">
      <c r="A172" s="60"/>
      <c r="B172" s="46"/>
    </row>
    <row r="173" spans="1:2" s="48" customFormat="1" x14ac:dyDescent="0.7">
      <c r="A173" s="60"/>
      <c r="B173" s="46"/>
    </row>
    <row r="174" spans="1:2" s="48" customFormat="1" x14ac:dyDescent="0.7">
      <c r="A174" s="60"/>
      <c r="B174" s="46"/>
    </row>
    <row r="175" spans="1:2" s="48" customFormat="1" x14ac:dyDescent="0.7">
      <c r="A175" s="60"/>
      <c r="B175" s="46"/>
    </row>
    <row r="176" spans="1:2" s="48" customFormat="1" x14ac:dyDescent="0.7">
      <c r="A176" s="60"/>
      <c r="B176" s="46"/>
    </row>
    <row r="177" spans="1:2" s="48" customFormat="1" x14ac:dyDescent="0.7">
      <c r="A177" s="60"/>
      <c r="B177" s="46"/>
    </row>
    <row r="178" spans="1:2" s="48" customFormat="1" x14ac:dyDescent="0.7">
      <c r="A178" s="60"/>
      <c r="B178" s="46"/>
    </row>
    <row r="179" spans="1:2" s="48" customFormat="1" x14ac:dyDescent="0.7">
      <c r="A179" s="60"/>
      <c r="B179" s="46"/>
    </row>
    <row r="180" spans="1:2" s="48" customFormat="1" x14ac:dyDescent="0.7">
      <c r="A180" s="60"/>
      <c r="B180" s="46"/>
    </row>
    <row r="181" spans="1:2" s="48" customFormat="1" x14ac:dyDescent="0.7">
      <c r="A181" s="60"/>
      <c r="B181" s="46"/>
    </row>
    <row r="182" spans="1:2" s="48" customFormat="1" x14ac:dyDescent="0.7">
      <c r="A182" s="60"/>
      <c r="B182" s="46"/>
    </row>
    <row r="183" spans="1:2" s="48" customFormat="1" x14ac:dyDescent="0.7">
      <c r="A183" s="60"/>
      <c r="B183" s="46"/>
    </row>
    <row r="184" spans="1:2" s="48" customFormat="1" x14ac:dyDescent="0.7">
      <c r="A184" s="60"/>
      <c r="B184" s="46"/>
    </row>
    <row r="185" spans="1:2" s="48" customFormat="1" x14ac:dyDescent="0.7">
      <c r="A185" s="60"/>
      <c r="B185" s="46"/>
    </row>
    <row r="186" spans="1:2" s="48" customFormat="1" x14ac:dyDescent="0.7">
      <c r="A186" s="60"/>
      <c r="B186" s="46"/>
    </row>
    <row r="187" spans="1:2" s="48" customFormat="1" x14ac:dyDescent="0.7">
      <c r="A187" s="60"/>
      <c r="B187" s="46"/>
    </row>
    <row r="188" spans="1:2" s="48" customFormat="1" x14ac:dyDescent="0.7">
      <c r="A188" s="60"/>
      <c r="B188" s="46"/>
    </row>
    <row r="189" spans="1:2" s="48" customFormat="1" x14ac:dyDescent="0.7">
      <c r="A189" s="60"/>
      <c r="B189" s="46"/>
    </row>
    <row r="190" spans="1:2" s="48" customFormat="1" x14ac:dyDescent="0.7">
      <c r="A190" s="60"/>
      <c r="B190" s="46"/>
    </row>
    <row r="191" spans="1:2" s="48" customFormat="1" x14ac:dyDescent="0.7">
      <c r="A191" s="60"/>
      <c r="B191" s="46"/>
    </row>
    <row r="192" spans="1:2" s="48" customFormat="1" x14ac:dyDescent="0.7">
      <c r="A192" s="60"/>
      <c r="B192" s="46"/>
    </row>
    <row r="193" spans="1:2" s="48" customFormat="1" x14ac:dyDescent="0.7">
      <c r="A193" s="60"/>
      <c r="B193" s="46"/>
    </row>
    <row r="194" spans="1:2" s="48" customFormat="1" x14ac:dyDescent="0.7">
      <c r="A194" s="60"/>
      <c r="B194" s="46"/>
    </row>
    <row r="195" spans="1:2" s="48" customFormat="1" x14ac:dyDescent="0.7">
      <c r="A195" s="60"/>
      <c r="B195" s="46"/>
    </row>
    <row r="196" spans="1:2" s="48" customFormat="1" x14ac:dyDescent="0.7">
      <c r="A196" s="60"/>
      <c r="B196" s="46"/>
    </row>
    <row r="197" spans="1:2" s="48" customFormat="1" x14ac:dyDescent="0.7">
      <c r="A197" s="60"/>
      <c r="B197" s="46"/>
    </row>
    <row r="198" spans="1:2" s="48" customFormat="1" x14ac:dyDescent="0.7">
      <c r="A198" s="60"/>
      <c r="B198" s="46"/>
    </row>
    <row r="199" spans="1:2" s="48" customFormat="1" x14ac:dyDescent="0.7">
      <c r="A199" s="60"/>
      <c r="B199" s="46"/>
    </row>
    <row r="200" spans="1:2" s="48" customFormat="1" x14ac:dyDescent="0.7">
      <c r="A200" s="60"/>
      <c r="B200" s="46"/>
    </row>
    <row r="201" spans="1:2" s="48" customFormat="1" x14ac:dyDescent="0.7">
      <c r="A201" s="60"/>
      <c r="B201" s="46"/>
    </row>
    <row r="202" spans="1:2" s="48" customFormat="1" x14ac:dyDescent="0.7">
      <c r="A202" s="60"/>
      <c r="B202" s="46"/>
    </row>
    <row r="203" spans="1:2" s="48" customFormat="1" x14ac:dyDescent="0.7">
      <c r="A203" s="60"/>
      <c r="B203" s="46"/>
    </row>
    <row r="204" spans="1:2" s="48" customFormat="1" x14ac:dyDescent="0.7">
      <c r="A204" s="60"/>
      <c r="B204" s="46"/>
    </row>
    <row r="205" spans="1:2" s="48" customFormat="1" x14ac:dyDescent="0.7">
      <c r="A205" s="60"/>
      <c r="B205" s="46"/>
    </row>
    <row r="206" spans="1:2" s="48" customFormat="1" x14ac:dyDescent="0.7">
      <c r="A206" s="60"/>
      <c r="B206" s="46"/>
    </row>
    <row r="207" spans="1:2" s="48" customFormat="1" x14ac:dyDescent="0.7">
      <c r="A207" s="60"/>
      <c r="B207" s="46"/>
    </row>
    <row r="208" spans="1:2" s="48" customFormat="1" x14ac:dyDescent="0.7">
      <c r="A208" s="60"/>
      <c r="B208" s="46"/>
    </row>
    <row r="209" spans="1:2" s="48" customFormat="1" x14ac:dyDescent="0.7">
      <c r="A209" s="60"/>
      <c r="B209" s="46"/>
    </row>
    <row r="210" spans="1:2" s="48" customFormat="1" x14ac:dyDescent="0.7">
      <c r="A210" s="60"/>
      <c r="B210" s="46"/>
    </row>
    <row r="211" spans="1:2" s="48" customFormat="1" x14ac:dyDescent="0.7">
      <c r="A211" s="60"/>
      <c r="B211" s="46"/>
    </row>
    <row r="212" spans="1:2" s="48" customFormat="1" x14ac:dyDescent="0.7">
      <c r="A212" s="60"/>
      <c r="B212" s="46"/>
    </row>
    <row r="213" spans="1:2" s="48" customFormat="1" x14ac:dyDescent="0.7">
      <c r="A213" s="60"/>
      <c r="B213" s="46"/>
    </row>
    <row r="214" spans="1:2" s="48" customFormat="1" x14ac:dyDescent="0.7">
      <c r="A214" s="60"/>
      <c r="B214" s="46"/>
    </row>
    <row r="215" spans="1:2" s="48" customFormat="1" x14ac:dyDescent="0.7">
      <c r="A215" s="60"/>
      <c r="B215" s="46"/>
    </row>
    <row r="216" spans="1:2" s="48" customFormat="1" x14ac:dyDescent="0.7">
      <c r="A216" s="60"/>
      <c r="B216" s="46"/>
    </row>
    <row r="217" spans="1:2" s="48" customFormat="1" x14ac:dyDescent="0.7">
      <c r="A217" s="60"/>
      <c r="B217" s="46"/>
    </row>
    <row r="218" spans="1:2" s="48" customFormat="1" x14ac:dyDescent="0.7">
      <c r="A218" s="60"/>
      <c r="B218" s="46"/>
    </row>
    <row r="219" spans="1:2" s="48" customFormat="1" x14ac:dyDescent="0.7">
      <c r="A219" s="60"/>
      <c r="B219" s="46"/>
    </row>
    <row r="220" spans="1:2" s="48" customFormat="1" x14ac:dyDescent="0.7">
      <c r="A220" s="60"/>
      <c r="B220" s="46"/>
    </row>
    <row r="221" spans="1:2" s="48" customFormat="1" x14ac:dyDescent="0.7">
      <c r="A221" s="60"/>
      <c r="B221" s="46"/>
    </row>
    <row r="222" spans="1:2" s="48" customFormat="1" x14ac:dyDescent="0.7">
      <c r="A222" s="60"/>
      <c r="B222" s="46"/>
    </row>
    <row r="223" spans="1:2" s="48" customFormat="1" x14ac:dyDescent="0.7">
      <c r="A223" s="60"/>
      <c r="B223" s="46"/>
    </row>
    <row r="224" spans="1:2" s="48" customFormat="1" x14ac:dyDescent="0.7">
      <c r="A224" s="60"/>
      <c r="B224" s="46"/>
    </row>
    <row r="225" spans="1:2" s="48" customFormat="1" x14ac:dyDescent="0.7">
      <c r="A225" s="60"/>
      <c r="B225" s="46"/>
    </row>
    <row r="226" spans="1:2" s="48" customFormat="1" x14ac:dyDescent="0.7">
      <c r="A226" s="60"/>
      <c r="B226" s="46"/>
    </row>
    <row r="227" spans="1:2" s="48" customFormat="1" x14ac:dyDescent="0.7">
      <c r="A227" s="60"/>
      <c r="B227" s="46"/>
    </row>
    <row r="228" spans="1:2" s="48" customFormat="1" x14ac:dyDescent="0.7">
      <c r="A228" s="60"/>
      <c r="B228" s="46"/>
    </row>
    <row r="229" spans="1:2" s="48" customFormat="1" x14ac:dyDescent="0.7">
      <c r="A229" s="60"/>
      <c r="B229" s="46"/>
    </row>
    <row r="230" spans="1:2" s="48" customFormat="1" x14ac:dyDescent="0.7">
      <c r="A230" s="60"/>
      <c r="B230" s="46"/>
    </row>
    <row r="231" spans="1:2" s="48" customFormat="1" x14ac:dyDescent="0.7">
      <c r="A231" s="60"/>
      <c r="B231" s="46"/>
    </row>
    <row r="232" spans="1:2" s="48" customFormat="1" x14ac:dyDescent="0.7">
      <c r="A232" s="60"/>
      <c r="B232" s="46"/>
    </row>
    <row r="233" spans="1:2" s="48" customFormat="1" x14ac:dyDescent="0.7">
      <c r="A233" s="60"/>
      <c r="B233" s="46"/>
    </row>
    <row r="234" spans="1:2" s="48" customFormat="1" x14ac:dyDescent="0.7">
      <c r="A234" s="60"/>
      <c r="B234" s="46"/>
    </row>
    <row r="235" spans="1:2" s="48" customFormat="1" x14ac:dyDescent="0.7">
      <c r="A235" s="60"/>
      <c r="B235" s="46"/>
    </row>
    <row r="236" spans="1:2" s="48" customFormat="1" x14ac:dyDescent="0.7">
      <c r="A236" s="60"/>
      <c r="B236" s="46"/>
    </row>
    <row r="237" spans="1:2" s="48" customFormat="1" x14ac:dyDescent="0.7">
      <c r="A237" s="60"/>
      <c r="B237" s="46"/>
    </row>
    <row r="238" spans="1:2" s="48" customFormat="1" x14ac:dyDescent="0.7">
      <c r="A238" s="60"/>
      <c r="B238" s="46"/>
    </row>
    <row r="239" spans="1:2" s="48" customFormat="1" x14ac:dyDescent="0.7">
      <c r="A239" s="60"/>
      <c r="B239" s="46"/>
    </row>
    <row r="240" spans="1:2" s="48" customFormat="1" x14ac:dyDescent="0.7">
      <c r="A240" s="60"/>
      <c r="B240" s="46"/>
    </row>
    <row r="241" spans="1:2" s="48" customFormat="1" x14ac:dyDescent="0.7">
      <c r="A241" s="60"/>
      <c r="B241" s="46"/>
    </row>
    <row r="242" spans="1:2" s="48" customFormat="1" x14ac:dyDescent="0.7">
      <c r="A242" s="60"/>
      <c r="B242" s="46"/>
    </row>
    <row r="243" spans="1:2" s="48" customFormat="1" x14ac:dyDescent="0.7">
      <c r="A243" s="60"/>
      <c r="B243" s="46"/>
    </row>
    <row r="244" spans="1:2" s="48" customFormat="1" x14ac:dyDescent="0.7">
      <c r="A244" s="60"/>
      <c r="B244" s="46"/>
    </row>
    <row r="245" spans="1:2" s="48" customFormat="1" x14ac:dyDescent="0.7">
      <c r="A245" s="60"/>
      <c r="B245" s="46"/>
    </row>
    <row r="246" spans="1:2" s="48" customFormat="1" x14ac:dyDescent="0.7">
      <c r="A246" s="60"/>
      <c r="B246" s="46"/>
    </row>
    <row r="247" spans="1:2" s="48" customFormat="1" x14ac:dyDescent="0.7">
      <c r="A247" s="60"/>
      <c r="B247" s="46"/>
    </row>
    <row r="248" spans="1:2" s="48" customFormat="1" x14ac:dyDescent="0.7">
      <c r="A248" s="60"/>
      <c r="B248" s="46"/>
    </row>
    <row r="249" spans="1:2" s="48" customFormat="1" x14ac:dyDescent="0.7">
      <c r="A249" s="60"/>
      <c r="B249" s="46"/>
    </row>
    <row r="250" spans="1:2" s="48" customFormat="1" x14ac:dyDescent="0.7">
      <c r="A250" s="60"/>
      <c r="B250" s="46"/>
    </row>
    <row r="251" spans="1:2" s="48" customFormat="1" x14ac:dyDescent="0.7">
      <c r="A251" s="60"/>
      <c r="B251" s="46"/>
    </row>
    <row r="252" spans="1:2" s="48" customFormat="1" x14ac:dyDescent="0.7">
      <c r="A252" s="60"/>
      <c r="B252" s="46"/>
    </row>
    <row r="253" spans="1:2" s="48" customFormat="1" x14ac:dyDescent="0.7">
      <c r="A253" s="60"/>
      <c r="B253" s="46"/>
    </row>
    <row r="254" spans="1:2" s="48" customFormat="1" x14ac:dyDescent="0.7">
      <c r="A254" s="60"/>
      <c r="B254" s="46"/>
    </row>
    <row r="255" spans="1:2" s="48" customFormat="1" x14ac:dyDescent="0.7">
      <c r="A255" s="60"/>
      <c r="B255" s="46"/>
    </row>
    <row r="256" spans="1:2" s="48" customFormat="1" x14ac:dyDescent="0.7">
      <c r="A256" s="60"/>
      <c r="B256" s="46"/>
    </row>
    <row r="257" spans="1:2" s="48" customFormat="1" x14ac:dyDescent="0.7">
      <c r="A257" s="60"/>
      <c r="B257" s="46"/>
    </row>
    <row r="258" spans="1:2" s="48" customFormat="1" x14ac:dyDescent="0.7">
      <c r="A258" s="60"/>
      <c r="B258" s="46"/>
    </row>
    <row r="259" spans="1:2" s="48" customFormat="1" x14ac:dyDescent="0.7">
      <c r="A259" s="60"/>
      <c r="B259" s="46"/>
    </row>
    <row r="260" spans="1:2" s="48" customFormat="1" x14ac:dyDescent="0.7">
      <c r="A260" s="60"/>
      <c r="B260" s="46"/>
    </row>
    <row r="261" spans="1:2" s="48" customFormat="1" x14ac:dyDescent="0.7">
      <c r="A261" s="60"/>
      <c r="B261" s="46"/>
    </row>
    <row r="262" spans="1:2" s="48" customFormat="1" x14ac:dyDescent="0.7">
      <c r="A262" s="60"/>
      <c r="B262" s="46"/>
    </row>
    <row r="263" spans="1:2" s="48" customFormat="1" x14ac:dyDescent="0.7">
      <c r="A263" s="60"/>
      <c r="B263" s="46"/>
    </row>
    <row r="264" spans="1:2" s="48" customFormat="1" x14ac:dyDescent="0.7">
      <c r="A264" s="60"/>
      <c r="B264" s="46"/>
    </row>
    <row r="265" spans="1:2" s="48" customFormat="1" x14ac:dyDescent="0.7">
      <c r="A265" s="60"/>
      <c r="B265" s="46"/>
    </row>
    <row r="266" spans="1:2" s="48" customFormat="1" x14ac:dyDescent="0.7">
      <c r="A266" s="60"/>
      <c r="B266" s="46"/>
    </row>
    <row r="267" spans="1:2" s="48" customFormat="1" x14ac:dyDescent="0.7">
      <c r="A267" s="60"/>
      <c r="B267" s="46"/>
    </row>
    <row r="268" spans="1:2" s="48" customFormat="1" x14ac:dyDescent="0.7">
      <c r="A268" s="60"/>
      <c r="B268" s="46"/>
    </row>
    <row r="269" spans="1:2" s="48" customFormat="1" x14ac:dyDescent="0.7">
      <c r="A269" s="60"/>
      <c r="B269" s="46"/>
    </row>
    <row r="270" spans="1:2" s="48" customFormat="1" x14ac:dyDescent="0.7">
      <c r="A270" s="60"/>
      <c r="B270" s="46"/>
    </row>
    <row r="271" spans="1:2" s="48" customFormat="1" x14ac:dyDescent="0.7">
      <c r="A271" s="60"/>
      <c r="B271" s="46"/>
    </row>
    <row r="272" spans="1:2" s="48" customFormat="1" x14ac:dyDescent="0.7">
      <c r="A272" s="60"/>
      <c r="B272" s="46"/>
    </row>
    <row r="273" spans="1:2" s="48" customFormat="1" x14ac:dyDescent="0.7">
      <c r="A273" s="60"/>
      <c r="B273" s="46"/>
    </row>
    <row r="274" spans="1:2" s="48" customFormat="1" x14ac:dyDescent="0.7">
      <c r="A274" s="60"/>
      <c r="B274" s="46"/>
    </row>
    <row r="275" spans="1:2" s="48" customFormat="1" x14ac:dyDescent="0.7">
      <c r="A275" s="60"/>
      <c r="B275" s="46"/>
    </row>
    <row r="276" spans="1:2" s="48" customFormat="1" x14ac:dyDescent="0.7">
      <c r="A276" s="60"/>
      <c r="B276" s="46"/>
    </row>
    <row r="277" spans="1:2" s="48" customFormat="1" x14ac:dyDescent="0.7">
      <c r="A277" s="60"/>
      <c r="B277" s="46"/>
    </row>
    <row r="278" spans="1:2" s="48" customFormat="1" x14ac:dyDescent="0.7">
      <c r="A278" s="60"/>
      <c r="B278" s="46"/>
    </row>
    <row r="279" spans="1:2" s="48" customFormat="1" x14ac:dyDescent="0.7">
      <c r="A279" s="60"/>
      <c r="B279" s="46"/>
    </row>
    <row r="280" spans="1:2" s="48" customFormat="1" x14ac:dyDescent="0.7">
      <c r="A280" s="60"/>
      <c r="B280" s="46"/>
    </row>
    <row r="281" spans="1:2" s="48" customFormat="1" x14ac:dyDescent="0.7">
      <c r="A281" s="60"/>
      <c r="B281" s="46"/>
    </row>
    <row r="282" spans="1:2" s="48" customFormat="1" x14ac:dyDescent="0.7">
      <c r="A282" s="60"/>
      <c r="B282" s="46"/>
    </row>
    <row r="283" spans="1:2" s="48" customFormat="1" x14ac:dyDescent="0.7">
      <c r="A283" s="60"/>
      <c r="B283" s="46"/>
    </row>
    <row r="284" spans="1:2" s="48" customFormat="1" x14ac:dyDescent="0.7">
      <c r="A284" s="60"/>
      <c r="B284" s="46"/>
    </row>
    <row r="285" spans="1:2" s="48" customFormat="1" x14ac:dyDescent="0.7">
      <c r="A285" s="60"/>
      <c r="B285" s="46"/>
    </row>
    <row r="286" spans="1:2" s="48" customFormat="1" x14ac:dyDescent="0.7">
      <c r="A286" s="60"/>
      <c r="B286" s="46"/>
    </row>
    <row r="287" spans="1:2" s="48" customFormat="1" x14ac:dyDescent="0.7">
      <c r="A287" s="60"/>
      <c r="B287" s="46"/>
    </row>
    <row r="288" spans="1:2" s="48" customFormat="1" x14ac:dyDescent="0.7">
      <c r="A288" s="60"/>
      <c r="B288" s="46"/>
    </row>
    <row r="289" spans="1:2" s="48" customFormat="1" x14ac:dyDescent="0.7">
      <c r="A289" s="60"/>
      <c r="B289" s="46"/>
    </row>
    <row r="290" spans="1:2" s="48" customFormat="1" x14ac:dyDescent="0.7">
      <c r="A290" s="60"/>
      <c r="B290" s="46"/>
    </row>
    <row r="291" spans="1:2" s="48" customFormat="1" x14ac:dyDescent="0.7">
      <c r="A291" s="60"/>
      <c r="B291" s="46"/>
    </row>
    <row r="292" spans="1:2" s="48" customFormat="1" x14ac:dyDescent="0.7">
      <c r="A292" s="60"/>
      <c r="B292" s="46"/>
    </row>
    <row r="293" spans="1:2" s="48" customFormat="1" x14ac:dyDescent="0.7">
      <c r="A293" s="60"/>
      <c r="B293" s="46"/>
    </row>
    <row r="294" spans="1:2" s="48" customFormat="1" x14ac:dyDescent="0.7">
      <c r="A294" s="60"/>
      <c r="B294" s="46"/>
    </row>
    <row r="295" spans="1:2" s="48" customFormat="1" x14ac:dyDescent="0.7">
      <c r="A295" s="60"/>
      <c r="B295" s="46"/>
    </row>
    <row r="296" spans="1:2" s="48" customFormat="1" x14ac:dyDescent="0.7">
      <c r="A296" s="60"/>
      <c r="B296" s="46"/>
    </row>
    <row r="297" spans="1:2" s="48" customFormat="1" x14ac:dyDescent="0.7">
      <c r="A297" s="60"/>
      <c r="B297" s="46"/>
    </row>
    <row r="298" spans="1:2" s="48" customFormat="1" x14ac:dyDescent="0.7">
      <c r="A298" s="60"/>
      <c r="B298" s="46"/>
    </row>
    <row r="299" spans="1:2" s="48" customFormat="1" x14ac:dyDescent="0.7">
      <c r="A299" s="60"/>
      <c r="B299" s="46"/>
    </row>
    <row r="300" spans="1:2" s="48" customFormat="1" x14ac:dyDescent="0.7">
      <c r="A300" s="60"/>
      <c r="B300" s="46"/>
    </row>
    <row r="301" spans="1:2" s="48" customFormat="1" x14ac:dyDescent="0.7">
      <c r="A301" s="60"/>
      <c r="B301" s="46"/>
    </row>
    <row r="302" spans="1:2" s="48" customFormat="1" x14ac:dyDescent="0.7">
      <c r="A302" s="60"/>
      <c r="B302" s="46"/>
    </row>
    <row r="303" spans="1:2" s="48" customFormat="1" x14ac:dyDescent="0.7">
      <c r="A303" s="60"/>
      <c r="B303" s="46"/>
    </row>
    <row r="304" spans="1:2" s="48" customFormat="1" x14ac:dyDescent="0.7">
      <c r="A304" s="60"/>
      <c r="B304" s="46"/>
    </row>
    <row r="305" spans="1:2" s="48" customFormat="1" x14ac:dyDescent="0.7">
      <c r="A305" s="60"/>
      <c r="B305" s="46"/>
    </row>
    <row r="306" spans="1:2" s="48" customFormat="1" x14ac:dyDescent="0.7">
      <c r="A306" s="60"/>
      <c r="B306" s="46"/>
    </row>
    <row r="307" spans="1:2" s="48" customFormat="1" x14ac:dyDescent="0.7">
      <c r="A307" s="60"/>
      <c r="B307" s="46"/>
    </row>
    <row r="308" spans="1:2" s="48" customFormat="1" x14ac:dyDescent="0.7">
      <c r="A308" s="60"/>
      <c r="B308" s="46"/>
    </row>
    <row r="309" spans="1:2" s="48" customFormat="1" x14ac:dyDescent="0.7">
      <c r="A309" s="60"/>
      <c r="B309" s="46"/>
    </row>
    <row r="310" spans="1:2" s="48" customFormat="1" x14ac:dyDescent="0.7">
      <c r="A310" s="60"/>
      <c r="B310" s="46"/>
    </row>
    <row r="311" spans="1:2" s="48" customFormat="1" x14ac:dyDescent="0.7">
      <c r="A311" s="60"/>
      <c r="B311" s="46"/>
    </row>
    <row r="312" spans="1:2" s="48" customFormat="1" x14ac:dyDescent="0.7">
      <c r="A312" s="60"/>
      <c r="B312" s="46"/>
    </row>
    <row r="313" spans="1:2" s="48" customFormat="1" x14ac:dyDescent="0.7">
      <c r="A313" s="60"/>
      <c r="B313" s="46"/>
    </row>
    <row r="314" spans="1:2" s="48" customFormat="1" x14ac:dyDescent="0.7">
      <c r="A314" s="60"/>
      <c r="B314" s="46"/>
    </row>
    <row r="315" spans="1:2" s="48" customFormat="1" x14ac:dyDescent="0.7">
      <c r="A315" s="60"/>
      <c r="B315" s="46"/>
    </row>
    <row r="316" spans="1:2" s="48" customFormat="1" x14ac:dyDescent="0.7">
      <c r="A316" s="60"/>
      <c r="B316" s="46"/>
    </row>
    <row r="317" spans="1:2" s="48" customFormat="1" x14ac:dyDescent="0.7">
      <c r="A317" s="60"/>
      <c r="B317" s="46"/>
    </row>
    <row r="318" spans="1:2" s="48" customFormat="1" x14ac:dyDescent="0.7">
      <c r="A318" s="60"/>
      <c r="B318" s="46"/>
    </row>
    <row r="319" spans="1:2" s="48" customFormat="1" x14ac:dyDescent="0.7">
      <c r="A319" s="60"/>
      <c r="B319" s="46"/>
    </row>
  </sheetData>
  <mergeCells count="2">
    <mergeCell ref="C4:H4"/>
    <mergeCell ref="J2:K2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J2:K2" r:id="rId1" display="Fill in one to 1" xr:uid="{01B10D2D-B982-4793-B6F9-9CFDBFA9E4E8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one to __</vt:lpstr>
      <vt:lpstr>Sheet1</vt:lpstr>
      <vt:lpstr>1 to __</vt:lpstr>
      <vt:lpstr>fill_in_1_to_one</vt:lpstr>
      <vt:lpstr>'1 to __'!Print_Area</vt:lpstr>
      <vt:lpstr>'one to __'!Print_Area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2019-08-10T17:12:03Z</dcterms:modified>
  <cp:category/>
  <cp:contentStatus/>
</cp:coreProperties>
</file>